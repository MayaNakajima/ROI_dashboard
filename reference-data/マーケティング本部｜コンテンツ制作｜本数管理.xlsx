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573167\Box\マーケティンググループ\デジタルマーケティングDiv\マーケティング本部\社内ドキュメント\"/>
    </mc:Choice>
  </mc:AlternateContent>
  <xr:revisionPtr revIDLastSave="0" documentId="13_ncr:1_{A30F1D9B-A9A1-471D-AF44-38BA14BE04E6}" xr6:coauthVersionLast="47" xr6:coauthVersionMax="47" xr10:uidLastSave="{00000000-0000-0000-0000-000000000000}"/>
  <bookViews>
    <workbookView xWindow="-110" yWindow="-110" windowWidth="19420" windowHeight="11500" firstSheet="2" activeTab="2" xr2:uid="{367F08CB-ABF9-48CD-B348-D9C7F770AA6A}"/>
  </bookViews>
  <sheets>
    <sheet name="2023~2024" sheetId="3" r:id="rId1"/>
    <sheet name="2025" sheetId="2" r:id="rId2"/>
    <sheet name="2026" sheetId="5" r:id="rId3"/>
  </sheets>
  <definedNames>
    <definedName name="_xlnm._FilterDatabase" localSheetId="1" hidden="1">'2025'!$A$65:$AS$176</definedName>
    <definedName name="_xlnm._FilterDatabase" localSheetId="2" hidden="1">'2026'!$A$1:$Y$118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3" i="5" l="1"/>
  <c r="S5" i="5"/>
  <c r="S115" i="5"/>
  <c r="S114" i="5"/>
  <c r="S111" i="5"/>
  <c r="S110" i="5"/>
  <c r="S109" i="5"/>
  <c r="S106" i="5"/>
  <c r="S105" i="5"/>
  <c r="S104" i="5"/>
  <c r="S101" i="5"/>
  <c r="S100" i="5"/>
  <c r="S99" i="5"/>
  <c r="S95" i="5"/>
  <c r="S94" i="5"/>
  <c r="S93" i="5"/>
  <c r="S92" i="5"/>
  <c r="S91" i="5"/>
  <c r="S96" i="5" s="1"/>
  <c r="S88" i="5"/>
  <c r="S87" i="5"/>
  <c r="S86" i="5"/>
  <c r="S85" i="5"/>
  <c r="S84" i="5"/>
  <c r="S89" i="5" s="1"/>
  <c r="S81" i="5"/>
  <c r="S80" i="5"/>
  <c r="S79" i="5"/>
  <c r="S78" i="5"/>
  <c r="S77" i="5"/>
  <c r="S82" i="5" s="1"/>
  <c r="S73" i="5"/>
  <c r="S72" i="5"/>
  <c r="S71" i="5"/>
  <c r="S70" i="5"/>
  <c r="S69" i="5"/>
  <c r="S74" i="5" s="1"/>
  <c r="S59" i="5"/>
  <c r="S60" i="5"/>
  <c r="S65" i="5"/>
  <c r="S64" i="5"/>
  <c r="S63" i="5"/>
  <c r="S62" i="5"/>
  <c r="S61" i="5"/>
  <c r="S66" i="5" s="1"/>
  <c r="S50" i="5"/>
  <c r="S51" i="5"/>
  <c r="S56" i="5"/>
  <c r="S55" i="5"/>
  <c r="S54" i="5"/>
  <c r="S53" i="5"/>
  <c r="S52" i="5"/>
  <c r="S57" i="5" s="1"/>
  <c r="S41" i="5"/>
  <c r="S42" i="5"/>
  <c r="S47" i="5"/>
  <c r="S46" i="5"/>
  <c r="S45" i="5"/>
  <c r="S44" i="5"/>
  <c r="S43" i="5"/>
  <c r="S48" i="5" s="1"/>
  <c r="S32" i="5"/>
  <c r="S33" i="5"/>
  <c r="S38" i="5"/>
  <c r="S37" i="5"/>
  <c r="S36" i="5"/>
  <c r="S35" i="5"/>
  <c r="S34" i="5"/>
  <c r="S39" i="5" s="1"/>
  <c r="S28" i="5"/>
  <c r="S27" i="5"/>
  <c r="S26" i="5"/>
  <c r="S25" i="5"/>
  <c r="S24" i="5"/>
  <c r="S29" i="5" s="1"/>
  <c r="S21" i="5"/>
  <c r="S20" i="5"/>
  <c r="S19" i="5"/>
  <c r="S18" i="5"/>
  <c r="S17" i="5"/>
  <c r="S22" i="5" s="1"/>
  <c r="S14" i="5"/>
  <c r="S13" i="5"/>
  <c r="S12" i="5"/>
  <c r="S11" i="5"/>
  <c r="S10" i="5"/>
  <c r="S15" i="5" s="1"/>
  <c r="S9" i="5"/>
  <c r="S7" i="5"/>
  <c r="E7" i="5"/>
  <c r="S3" i="5"/>
  <c r="S4" i="5"/>
  <c r="S6" i="5"/>
  <c r="S2" i="5"/>
  <c r="G117" i="5"/>
  <c r="H117" i="5"/>
  <c r="I117" i="5"/>
  <c r="J117" i="5"/>
  <c r="K117" i="5"/>
  <c r="L117" i="5"/>
  <c r="M117" i="5"/>
  <c r="N117" i="5"/>
  <c r="O117" i="5"/>
  <c r="P117" i="5"/>
  <c r="Q117" i="5"/>
  <c r="F117" i="5"/>
  <c r="G113" i="5"/>
  <c r="H113" i="5"/>
  <c r="I113" i="5"/>
  <c r="J113" i="5"/>
  <c r="K113" i="5"/>
  <c r="L113" i="5"/>
  <c r="M113" i="5"/>
  <c r="N113" i="5"/>
  <c r="O113" i="5"/>
  <c r="P113" i="5"/>
  <c r="Q113" i="5"/>
  <c r="F113" i="5"/>
  <c r="G108" i="5"/>
  <c r="H108" i="5"/>
  <c r="I108" i="5"/>
  <c r="J108" i="5"/>
  <c r="K108" i="5"/>
  <c r="L108" i="5"/>
  <c r="M108" i="5"/>
  <c r="N108" i="5"/>
  <c r="O108" i="5"/>
  <c r="P108" i="5"/>
  <c r="Q108" i="5"/>
  <c r="F108" i="5"/>
  <c r="G103" i="5"/>
  <c r="H103" i="5"/>
  <c r="I103" i="5"/>
  <c r="J103" i="5"/>
  <c r="K103" i="5"/>
  <c r="L103" i="5"/>
  <c r="M103" i="5"/>
  <c r="N103" i="5"/>
  <c r="O103" i="5"/>
  <c r="P103" i="5"/>
  <c r="Q103" i="5"/>
  <c r="F103" i="5"/>
  <c r="G97" i="5"/>
  <c r="H97" i="5"/>
  <c r="I97" i="5"/>
  <c r="J97" i="5"/>
  <c r="K97" i="5"/>
  <c r="L97" i="5"/>
  <c r="M97" i="5"/>
  <c r="N97" i="5"/>
  <c r="O97" i="5"/>
  <c r="P97" i="5"/>
  <c r="Q97" i="5"/>
  <c r="F97" i="5"/>
  <c r="G90" i="5"/>
  <c r="H90" i="5"/>
  <c r="I90" i="5"/>
  <c r="J90" i="5"/>
  <c r="K90" i="5"/>
  <c r="L90" i="5"/>
  <c r="M90" i="5"/>
  <c r="N90" i="5"/>
  <c r="O90" i="5"/>
  <c r="P90" i="5"/>
  <c r="Q90" i="5"/>
  <c r="F90" i="5"/>
  <c r="G83" i="5"/>
  <c r="I83" i="5"/>
  <c r="J83" i="5"/>
  <c r="K83" i="5"/>
  <c r="L83" i="5"/>
  <c r="M83" i="5"/>
  <c r="N83" i="5"/>
  <c r="O83" i="5"/>
  <c r="P83" i="5"/>
  <c r="Q83" i="5"/>
  <c r="F83" i="5"/>
  <c r="F82" i="5"/>
  <c r="G75" i="5"/>
  <c r="H75" i="5"/>
  <c r="I75" i="5"/>
  <c r="J75" i="5"/>
  <c r="K75" i="5"/>
  <c r="L75" i="5"/>
  <c r="M75" i="5"/>
  <c r="N75" i="5"/>
  <c r="O75" i="5"/>
  <c r="P75" i="5"/>
  <c r="Q75" i="5"/>
  <c r="F75" i="5"/>
  <c r="G67" i="5"/>
  <c r="H67" i="5"/>
  <c r="I67" i="5"/>
  <c r="J67" i="5"/>
  <c r="K67" i="5"/>
  <c r="L67" i="5"/>
  <c r="M67" i="5"/>
  <c r="N67" i="5"/>
  <c r="O67" i="5"/>
  <c r="P67" i="5"/>
  <c r="Q67" i="5"/>
  <c r="F67" i="5"/>
  <c r="G58" i="5"/>
  <c r="H58" i="5"/>
  <c r="I58" i="5"/>
  <c r="J58" i="5"/>
  <c r="K58" i="5"/>
  <c r="L58" i="5"/>
  <c r="M58" i="5"/>
  <c r="N58" i="5"/>
  <c r="O58" i="5"/>
  <c r="P58" i="5"/>
  <c r="Q58" i="5"/>
  <c r="F58" i="5"/>
  <c r="G49" i="5"/>
  <c r="H49" i="5"/>
  <c r="I49" i="5"/>
  <c r="J49" i="5"/>
  <c r="K49" i="5"/>
  <c r="L49" i="5"/>
  <c r="M49" i="5"/>
  <c r="N49" i="5"/>
  <c r="O49" i="5"/>
  <c r="P49" i="5"/>
  <c r="Q49" i="5"/>
  <c r="G40" i="5"/>
  <c r="H40" i="5"/>
  <c r="I40" i="5"/>
  <c r="J40" i="5"/>
  <c r="K40" i="5"/>
  <c r="L40" i="5"/>
  <c r="M40" i="5"/>
  <c r="N40" i="5"/>
  <c r="O40" i="5"/>
  <c r="P40" i="5"/>
  <c r="Q40" i="5"/>
  <c r="F40" i="5"/>
  <c r="G30" i="5"/>
  <c r="H30" i="5"/>
  <c r="I30" i="5"/>
  <c r="J30" i="5"/>
  <c r="K30" i="5"/>
  <c r="L30" i="5"/>
  <c r="M30" i="5"/>
  <c r="N30" i="5"/>
  <c r="O30" i="5"/>
  <c r="P30" i="5"/>
  <c r="Q30" i="5"/>
  <c r="F30" i="5"/>
  <c r="G23" i="5"/>
  <c r="H23" i="5"/>
  <c r="I23" i="5"/>
  <c r="J23" i="5"/>
  <c r="K23" i="5"/>
  <c r="L23" i="5"/>
  <c r="M23" i="5"/>
  <c r="N23" i="5"/>
  <c r="O23" i="5"/>
  <c r="P23" i="5"/>
  <c r="Q23" i="5"/>
  <c r="F23" i="5"/>
  <c r="G16" i="5"/>
  <c r="H16" i="5"/>
  <c r="I16" i="5"/>
  <c r="J16" i="5"/>
  <c r="K16" i="5"/>
  <c r="L16" i="5"/>
  <c r="M16" i="5"/>
  <c r="N16" i="5"/>
  <c r="O16" i="5"/>
  <c r="P16" i="5"/>
  <c r="Q16" i="5"/>
  <c r="F16" i="5"/>
  <c r="F8" i="5"/>
  <c r="H8" i="5"/>
  <c r="I8" i="5"/>
  <c r="J8" i="5"/>
  <c r="K8" i="5"/>
  <c r="L8" i="5"/>
  <c r="M8" i="5"/>
  <c r="N8" i="5"/>
  <c r="O8" i="5"/>
  <c r="P8" i="5"/>
  <c r="Q8" i="5"/>
  <c r="G8" i="5"/>
  <c r="F49" i="5"/>
  <c r="G74" i="5"/>
  <c r="H74" i="5"/>
  <c r="I74" i="5"/>
  <c r="J74" i="5"/>
  <c r="K74" i="5"/>
  <c r="L74" i="5"/>
  <c r="M74" i="5"/>
  <c r="N74" i="5"/>
  <c r="O74" i="5"/>
  <c r="P74" i="5"/>
  <c r="Q74" i="5"/>
  <c r="F74" i="5"/>
  <c r="R119" i="5"/>
  <c r="U119" i="5" s="1"/>
  <c r="S119" i="5" l="1"/>
  <c r="F66" i="5"/>
  <c r="G66" i="5"/>
  <c r="H66" i="5"/>
  <c r="I66" i="5"/>
  <c r="J66" i="5"/>
  <c r="K66" i="5"/>
  <c r="L66" i="5"/>
  <c r="M66" i="5"/>
  <c r="N66" i="5"/>
  <c r="O66" i="5"/>
  <c r="P66" i="5"/>
  <c r="Q66" i="5"/>
  <c r="E66" i="5"/>
  <c r="F57" i="5"/>
  <c r="G57" i="5"/>
  <c r="H57" i="5"/>
  <c r="I57" i="5"/>
  <c r="J57" i="5"/>
  <c r="K57" i="5"/>
  <c r="L57" i="5"/>
  <c r="M57" i="5"/>
  <c r="N57" i="5"/>
  <c r="O57" i="5"/>
  <c r="P57" i="5"/>
  <c r="Q57" i="5"/>
  <c r="E57" i="5"/>
  <c r="F48" i="5"/>
  <c r="G48" i="5"/>
  <c r="H48" i="5"/>
  <c r="I48" i="5"/>
  <c r="J48" i="5"/>
  <c r="K48" i="5"/>
  <c r="L48" i="5"/>
  <c r="M48" i="5"/>
  <c r="N48" i="5"/>
  <c r="O48" i="5"/>
  <c r="P48" i="5"/>
  <c r="Q48" i="5"/>
  <c r="E48" i="5"/>
  <c r="F39" i="5"/>
  <c r="G39" i="5"/>
  <c r="H39" i="5"/>
  <c r="I39" i="5"/>
  <c r="J39" i="5"/>
  <c r="K39" i="5"/>
  <c r="L39" i="5"/>
  <c r="M39" i="5"/>
  <c r="N39" i="5"/>
  <c r="O39" i="5"/>
  <c r="P39" i="5"/>
  <c r="Q39" i="5"/>
  <c r="E39" i="5"/>
  <c r="F29" i="5"/>
  <c r="G29" i="5"/>
  <c r="H29" i="5"/>
  <c r="I29" i="5"/>
  <c r="J29" i="5"/>
  <c r="K29" i="5"/>
  <c r="L29" i="5"/>
  <c r="M29" i="5"/>
  <c r="N29" i="5"/>
  <c r="O29" i="5"/>
  <c r="P29" i="5"/>
  <c r="Q29" i="5"/>
  <c r="E29" i="5"/>
  <c r="F22" i="5"/>
  <c r="G22" i="5"/>
  <c r="H22" i="5"/>
  <c r="I22" i="5"/>
  <c r="J22" i="5"/>
  <c r="K22" i="5"/>
  <c r="L22" i="5"/>
  <c r="M22" i="5"/>
  <c r="N22" i="5"/>
  <c r="O22" i="5"/>
  <c r="P22" i="5"/>
  <c r="Q22" i="5"/>
  <c r="E22" i="5"/>
  <c r="F15" i="5"/>
  <c r="G15" i="5"/>
  <c r="H15" i="5"/>
  <c r="I15" i="5"/>
  <c r="J15" i="5"/>
  <c r="K15" i="5"/>
  <c r="L15" i="5"/>
  <c r="M15" i="5"/>
  <c r="N15" i="5"/>
  <c r="O15" i="5"/>
  <c r="P15" i="5"/>
  <c r="Q15" i="5"/>
  <c r="E15" i="5"/>
  <c r="F7" i="5"/>
  <c r="G7" i="5"/>
  <c r="H7" i="5"/>
  <c r="I7" i="5"/>
  <c r="J7" i="5"/>
  <c r="K7" i="5"/>
  <c r="L7" i="5"/>
  <c r="M7" i="5"/>
  <c r="N7" i="5"/>
  <c r="O7" i="5"/>
  <c r="P7" i="5"/>
  <c r="Q7" i="5"/>
  <c r="F116" i="5"/>
  <c r="G116" i="5"/>
  <c r="H116" i="5"/>
  <c r="I116" i="5"/>
  <c r="J116" i="5"/>
  <c r="K116" i="5"/>
  <c r="L116" i="5"/>
  <c r="M116" i="5"/>
  <c r="N116" i="5"/>
  <c r="O116" i="5"/>
  <c r="P116" i="5"/>
  <c r="Q116" i="5"/>
  <c r="F112" i="5"/>
  <c r="G112" i="5"/>
  <c r="H112" i="5"/>
  <c r="I112" i="5"/>
  <c r="J112" i="5"/>
  <c r="K112" i="5"/>
  <c r="L112" i="5"/>
  <c r="M112" i="5"/>
  <c r="N112" i="5"/>
  <c r="O112" i="5"/>
  <c r="P112" i="5"/>
  <c r="Q112" i="5"/>
  <c r="F107" i="5"/>
  <c r="G107" i="5"/>
  <c r="H107" i="5"/>
  <c r="I107" i="5"/>
  <c r="J107" i="5"/>
  <c r="K107" i="5"/>
  <c r="L107" i="5"/>
  <c r="M107" i="5"/>
  <c r="N107" i="5"/>
  <c r="O107" i="5"/>
  <c r="P107" i="5"/>
  <c r="Q107" i="5"/>
  <c r="F102" i="5"/>
  <c r="G102" i="5"/>
  <c r="H102" i="5"/>
  <c r="I102" i="5"/>
  <c r="J102" i="5"/>
  <c r="K102" i="5"/>
  <c r="L102" i="5"/>
  <c r="M102" i="5"/>
  <c r="N102" i="5"/>
  <c r="O102" i="5"/>
  <c r="P102" i="5"/>
  <c r="Q102" i="5"/>
  <c r="F96" i="5"/>
  <c r="G96" i="5"/>
  <c r="H96" i="5"/>
  <c r="I96" i="5"/>
  <c r="J96" i="5"/>
  <c r="K96" i="5"/>
  <c r="L96" i="5"/>
  <c r="M96" i="5"/>
  <c r="N96" i="5"/>
  <c r="O96" i="5"/>
  <c r="P96" i="5"/>
  <c r="Q96" i="5"/>
  <c r="F89" i="5"/>
  <c r="G89" i="5"/>
  <c r="H89" i="5"/>
  <c r="I89" i="5"/>
  <c r="J89" i="5"/>
  <c r="K89" i="5"/>
  <c r="L89" i="5"/>
  <c r="M89" i="5"/>
  <c r="N89" i="5"/>
  <c r="O89" i="5"/>
  <c r="P89" i="5"/>
  <c r="Q89" i="5"/>
  <c r="G82" i="5"/>
  <c r="H82" i="5"/>
  <c r="I82" i="5"/>
  <c r="J82" i="5"/>
  <c r="K82" i="5"/>
  <c r="L82" i="5"/>
  <c r="M82" i="5"/>
  <c r="N82" i="5"/>
  <c r="O82" i="5"/>
  <c r="P82" i="5"/>
  <c r="Q82" i="5"/>
  <c r="E96" i="5"/>
  <c r="E89" i="5"/>
  <c r="E82" i="5"/>
  <c r="R94" i="5"/>
  <c r="U94" i="5" s="1"/>
  <c r="R87" i="5"/>
  <c r="R79" i="5"/>
  <c r="R72" i="5"/>
  <c r="R63" i="5"/>
  <c r="U63" i="5"/>
  <c r="R64" i="5"/>
  <c r="R54" i="5"/>
  <c r="R55" i="5"/>
  <c r="U55" i="5" s="1"/>
  <c r="R45" i="5"/>
  <c r="R46" i="5"/>
  <c r="R36" i="5"/>
  <c r="R37" i="5"/>
  <c r="R27" i="5"/>
  <c r="R13" i="5"/>
  <c r="R5" i="5"/>
  <c r="U5" i="5" s="1"/>
  <c r="R20" i="5"/>
  <c r="U45" i="5" l="1"/>
  <c r="U64" i="5"/>
  <c r="U54" i="5"/>
  <c r="U46" i="5"/>
  <c r="U37" i="5"/>
  <c r="U36" i="5"/>
  <c r="U13" i="5"/>
  <c r="U20" i="5"/>
  <c r="R118" i="5" l="1"/>
  <c r="T117" i="5"/>
  <c r="E117" i="5"/>
  <c r="T116" i="5"/>
  <c r="E116" i="5"/>
  <c r="R115" i="5"/>
  <c r="R114" i="5"/>
  <c r="T113" i="5"/>
  <c r="E113" i="5"/>
  <c r="T112" i="5"/>
  <c r="E112" i="5"/>
  <c r="R111" i="5"/>
  <c r="R110" i="5"/>
  <c r="R109" i="5"/>
  <c r="T108" i="5"/>
  <c r="E108" i="5"/>
  <c r="T107" i="5"/>
  <c r="E107" i="5"/>
  <c r="R106" i="5"/>
  <c r="R105" i="5"/>
  <c r="R104" i="5"/>
  <c r="T103" i="5"/>
  <c r="E103" i="5"/>
  <c r="T102" i="5"/>
  <c r="E102" i="5"/>
  <c r="R101" i="5"/>
  <c r="R100" i="5"/>
  <c r="R99" i="5"/>
  <c r="R98" i="5"/>
  <c r="T97" i="5"/>
  <c r="E97" i="5"/>
  <c r="T96" i="5"/>
  <c r="R95" i="5"/>
  <c r="R93" i="5"/>
  <c r="R92" i="5"/>
  <c r="R91" i="5"/>
  <c r="U90" i="5"/>
  <c r="T90" i="5"/>
  <c r="E90" i="5"/>
  <c r="U89" i="5"/>
  <c r="T89" i="5"/>
  <c r="R88" i="5"/>
  <c r="R86" i="5"/>
  <c r="R85" i="5"/>
  <c r="R84" i="5"/>
  <c r="T83" i="5"/>
  <c r="E83" i="5"/>
  <c r="R81" i="5"/>
  <c r="R80" i="5"/>
  <c r="R78" i="5"/>
  <c r="R77" i="5"/>
  <c r="R76" i="5"/>
  <c r="U76" i="5" s="1"/>
  <c r="T75" i="5"/>
  <c r="E75" i="5"/>
  <c r="X73" i="5"/>
  <c r="W73" i="5"/>
  <c r="R73" i="5"/>
  <c r="R74" i="5" s="1"/>
  <c r="R71" i="5"/>
  <c r="R70" i="5"/>
  <c r="R69" i="5"/>
  <c r="R68" i="5"/>
  <c r="T67" i="5"/>
  <c r="E67" i="5"/>
  <c r="T66" i="5"/>
  <c r="R65" i="5"/>
  <c r="R62" i="5"/>
  <c r="R61" i="5"/>
  <c r="R60" i="5"/>
  <c r="R59" i="5"/>
  <c r="T58" i="5"/>
  <c r="E58" i="5"/>
  <c r="T57" i="5"/>
  <c r="R56" i="5"/>
  <c r="R53" i="5"/>
  <c r="R52" i="5"/>
  <c r="R51" i="5"/>
  <c r="R50" i="5"/>
  <c r="T49" i="5"/>
  <c r="E49" i="5"/>
  <c r="T48" i="5"/>
  <c r="R47" i="5"/>
  <c r="R44" i="5"/>
  <c r="R43" i="5"/>
  <c r="R42" i="5"/>
  <c r="R41" i="5"/>
  <c r="T40" i="5"/>
  <c r="E40" i="5"/>
  <c r="T39" i="5"/>
  <c r="R38" i="5"/>
  <c r="R35" i="5"/>
  <c r="R34" i="5"/>
  <c r="R33" i="5"/>
  <c r="R32" i="5"/>
  <c r="R31" i="5"/>
  <c r="T30" i="5"/>
  <c r="E30" i="5"/>
  <c r="T29" i="5"/>
  <c r="R28" i="5"/>
  <c r="R26" i="5"/>
  <c r="R25" i="5"/>
  <c r="R24" i="5"/>
  <c r="T23" i="5"/>
  <c r="E23" i="5"/>
  <c r="T22" i="5"/>
  <c r="R21" i="5"/>
  <c r="R19" i="5"/>
  <c r="R18" i="5"/>
  <c r="R17" i="5"/>
  <c r="T16" i="5"/>
  <c r="E16" i="5"/>
  <c r="T15" i="5"/>
  <c r="R14" i="5"/>
  <c r="R12" i="5"/>
  <c r="R11" i="5"/>
  <c r="R10" i="5"/>
  <c r="R9" i="5"/>
  <c r="T8" i="5"/>
  <c r="E8" i="5"/>
  <c r="T7" i="5"/>
  <c r="R6" i="5"/>
  <c r="R4" i="5"/>
  <c r="R3" i="5"/>
  <c r="R2" i="5"/>
  <c r="AM163" i="2"/>
  <c r="AM142" i="2"/>
  <c r="AM72" i="2"/>
  <c r="AM123" i="2"/>
  <c r="AM106" i="2"/>
  <c r="AN104" i="2"/>
  <c r="AM104" i="2"/>
  <c r="AM87" i="2"/>
  <c r="AM81" i="2"/>
  <c r="AL79" i="2"/>
  <c r="AM79" i="2"/>
  <c r="AL80" i="2"/>
  <c r="AL136" i="2"/>
  <c r="AM148" i="2"/>
  <c r="AM147" i="2"/>
  <c r="AL148" i="2"/>
  <c r="AM151" i="2"/>
  <c r="AN150" i="2"/>
  <c r="AN151" i="2"/>
  <c r="AM152" i="2"/>
  <c r="AL152" i="2"/>
  <c r="AK156" i="2"/>
  <c r="AL129" i="2"/>
  <c r="AM129" i="2"/>
  <c r="AL123" i="2"/>
  <c r="AL142" i="2"/>
  <c r="AL87" i="2"/>
  <c r="AL86" i="2"/>
  <c r="AL134" i="2"/>
  <c r="AM134" i="2" s="1"/>
  <c r="AL137" i="2"/>
  <c r="AM136" i="2"/>
  <c r="AM135" i="2"/>
  <c r="AN138" i="2"/>
  <c r="AM157" i="2"/>
  <c r="AA150" i="2"/>
  <c r="AB150" i="2"/>
  <c r="AC150" i="2"/>
  <c r="AD150" i="2"/>
  <c r="AE150" i="2"/>
  <c r="AF150" i="2"/>
  <c r="AG150" i="2"/>
  <c r="AH150" i="2"/>
  <c r="AI150" i="2"/>
  <c r="AJ150" i="2"/>
  <c r="AK150" i="2"/>
  <c r="Z150" i="2"/>
  <c r="AA164" i="2"/>
  <c r="AB164" i="2"/>
  <c r="AC164" i="2"/>
  <c r="AD164" i="2"/>
  <c r="AE164" i="2"/>
  <c r="AF164" i="2"/>
  <c r="AG164" i="2"/>
  <c r="AH164" i="2"/>
  <c r="AI164" i="2"/>
  <c r="AJ164" i="2"/>
  <c r="AK164" i="2"/>
  <c r="Z164" i="2"/>
  <c r="AB160" i="2"/>
  <c r="AC160" i="2"/>
  <c r="AD160" i="2"/>
  <c r="AE160" i="2"/>
  <c r="AF160" i="2"/>
  <c r="AG160" i="2"/>
  <c r="AH160" i="2"/>
  <c r="AI160" i="2"/>
  <c r="AJ160" i="2"/>
  <c r="AK160" i="2"/>
  <c r="Z160" i="2"/>
  <c r="AA155" i="2"/>
  <c r="AB155" i="2"/>
  <c r="AC155" i="2"/>
  <c r="AD155" i="2"/>
  <c r="AE155" i="2"/>
  <c r="AF155" i="2"/>
  <c r="AG155" i="2"/>
  <c r="AH155" i="2"/>
  <c r="AI155" i="2"/>
  <c r="AJ155" i="2"/>
  <c r="AK155" i="2"/>
  <c r="Z155" i="2"/>
  <c r="AA160" i="2"/>
  <c r="AK90" i="2"/>
  <c r="AK89" i="2"/>
  <c r="AM88" i="2"/>
  <c r="AN90" i="2"/>
  <c r="AN89" i="2"/>
  <c r="AL89" i="2"/>
  <c r="AM89" i="2" s="1"/>
  <c r="AL85" i="2"/>
  <c r="AK84" i="2"/>
  <c r="AK83" i="2"/>
  <c r="AN83" i="2"/>
  <c r="AN84" i="2"/>
  <c r="AL83" i="2"/>
  <c r="AM83" i="2" s="1"/>
  <c r="AJ83" i="2"/>
  <c r="AN78" i="2"/>
  <c r="AN77" i="2"/>
  <c r="AN71" i="2"/>
  <c r="AN70" i="2"/>
  <c r="AJ78" i="2"/>
  <c r="AK78" i="2"/>
  <c r="AK77" i="2"/>
  <c r="AJ77" i="2"/>
  <c r="AL77" i="2"/>
  <c r="AK71" i="2"/>
  <c r="AK70" i="2"/>
  <c r="AJ71" i="2"/>
  <c r="AL88" i="2"/>
  <c r="AL82" i="2"/>
  <c r="AL76" i="2"/>
  <c r="AL69" i="2"/>
  <c r="AM69" i="2"/>
  <c r="AL143" i="2"/>
  <c r="Y132" i="2"/>
  <c r="AL128" i="2"/>
  <c r="AL130" i="2"/>
  <c r="AL127" i="2"/>
  <c r="AL124" i="2"/>
  <c r="AL121" i="2"/>
  <c r="AM127" i="2"/>
  <c r="AO127" i="2"/>
  <c r="AN144" i="2"/>
  <c r="AL66" i="2"/>
  <c r="AM85" i="2"/>
  <c r="AL72" i="2"/>
  <c r="AI145" i="2"/>
  <c r="AI144" i="2"/>
  <c r="AI165" i="2"/>
  <c r="AI71" i="2"/>
  <c r="AI70" i="2"/>
  <c r="AD161" i="2"/>
  <c r="AI161" i="2"/>
  <c r="AL153" i="2"/>
  <c r="AM153" i="2"/>
  <c r="AE161" i="2"/>
  <c r="Y161" i="2"/>
  <c r="AL158" i="2"/>
  <c r="AO158" i="2"/>
  <c r="AL140" i="2"/>
  <c r="AL110" i="2"/>
  <c r="AG133" i="2"/>
  <c r="AH133" i="2"/>
  <c r="Y90" i="2"/>
  <c r="Y84" i="2"/>
  <c r="Y89" i="2"/>
  <c r="AG126" i="2"/>
  <c r="AH139" i="2"/>
  <c r="AG84" i="2"/>
  <c r="AM158" i="2"/>
  <c r="AG161" i="2"/>
  <c r="AH161" i="2"/>
  <c r="AG83" i="2"/>
  <c r="AG156" i="2"/>
  <c r="AG98" i="2"/>
  <c r="AG90" i="2"/>
  <c r="AD112" i="2"/>
  <c r="AD90" i="2"/>
  <c r="AC112" i="2"/>
  <c r="AF71" i="2"/>
  <c r="AC126" i="2"/>
  <c r="AD126" i="2"/>
  <c r="AB126" i="2"/>
  <c r="AA84" i="2"/>
  <c r="AN164" i="2"/>
  <c r="AN160" i="2"/>
  <c r="AN155" i="2"/>
  <c r="AN118" i="2"/>
  <c r="AN111" i="2"/>
  <c r="AN97" i="2"/>
  <c r="AD89" i="2"/>
  <c r="AK105" i="2"/>
  <c r="AF105" i="2"/>
  <c r="AF77" i="2"/>
  <c r="AN165" i="2"/>
  <c r="AN161" i="2"/>
  <c r="AN156" i="2"/>
  <c r="AN145" i="2"/>
  <c r="AN139" i="2"/>
  <c r="AN133" i="2"/>
  <c r="AN126" i="2"/>
  <c r="AN119" i="2"/>
  <c r="AN112" i="2"/>
  <c r="AN105" i="2"/>
  <c r="AN98" i="2"/>
  <c r="AL68" i="2"/>
  <c r="AL67" i="2"/>
  <c r="AO67" i="2" s="1"/>
  <c r="AE71" i="2"/>
  <c r="AL164" i="2"/>
  <c r="Y165" i="2"/>
  <c r="Y156" i="2"/>
  <c r="Y151" i="2"/>
  <c r="Y145" i="2"/>
  <c r="Y139" i="2"/>
  <c r="Y126" i="2"/>
  <c r="Y133" i="2"/>
  <c r="Y119" i="2"/>
  <c r="Y112" i="2"/>
  <c r="Y105" i="2"/>
  <c r="Y98" i="2"/>
  <c r="Y71" i="2"/>
  <c r="Y97" i="2"/>
  <c r="Y104" i="2"/>
  <c r="AD98" i="2"/>
  <c r="AB98" i="2"/>
  <c r="AA98" i="2"/>
  <c r="Z98" i="2"/>
  <c r="Z90" i="2"/>
  <c r="AA90" i="2"/>
  <c r="AB90" i="2"/>
  <c r="AC90" i="2"/>
  <c r="AE90" i="2"/>
  <c r="AF90" i="2"/>
  <c r="AH90" i="2"/>
  <c r="AI90" i="2"/>
  <c r="AJ90" i="2"/>
  <c r="AJ84" i="2"/>
  <c r="AI78" i="2"/>
  <c r="AH78" i="2"/>
  <c r="AG78" i="2"/>
  <c r="AH71" i="2"/>
  <c r="AE70" i="2"/>
  <c r="AA70" i="2"/>
  <c r="Y70" i="2"/>
  <c r="Z70" i="2"/>
  <c r="AA161" i="2"/>
  <c r="AB133" i="2"/>
  <c r="Z126" i="2"/>
  <c r="AK165" i="2"/>
  <c r="AH165" i="2"/>
  <c r="AG165" i="2"/>
  <c r="AF165" i="2"/>
  <c r="AE165" i="2"/>
  <c r="AD165" i="2"/>
  <c r="AC165" i="2"/>
  <c r="AB165" i="2"/>
  <c r="AA165" i="2"/>
  <c r="Z165" i="2"/>
  <c r="AK161" i="2"/>
  <c r="AJ161" i="2"/>
  <c r="AF161" i="2"/>
  <c r="AJ165" i="2"/>
  <c r="AC161" i="2"/>
  <c r="AB161" i="2"/>
  <c r="Z161" i="2"/>
  <c r="AJ156" i="2"/>
  <c r="AI156" i="2"/>
  <c r="AH156" i="2"/>
  <c r="AF156" i="2"/>
  <c r="AE156" i="2"/>
  <c r="AD156" i="2"/>
  <c r="AC156" i="2"/>
  <c r="AB156" i="2"/>
  <c r="AA156" i="2"/>
  <c r="Z156" i="2"/>
  <c r="AK151" i="2"/>
  <c r="AJ151" i="2"/>
  <c r="AH151" i="2"/>
  <c r="AG151" i="2"/>
  <c r="AF151" i="2"/>
  <c r="AC151" i="2"/>
  <c r="AB151" i="2"/>
  <c r="AA151" i="2"/>
  <c r="Z151" i="2"/>
  <c r="AD151" i="2"/>
  <c r="AE151" i="2"/>
  <c r="AI151" i="2"/>
  <c r="AK145" i="2"/>
  <c r="AJ145" i="2"/>
  <c r="AH145" i="2"/>
  <c r="AG145" i="2"/>
  <c r="AF145" i="2"/>
  <c r="AE145" i="2"/>
  <c r="AD145" i="2"/>
  <c r="AC145" i="2"/>
  <c r="AB145" i="2"/>
  <c r="AA145" i="2"/>
  <c r="Z145" i="2"/>
  <c r="AK139" i="2"/>
  <c r="AJ139" i="2"/>
  <c r="AI139" i="2"/>
  <c r="AG139" i="2"/>
  <c r="AF139" i="2"/>
  <c r="AE139" i="2"/>
  <c r="AD139" i="2"/>
  <c r="AC139" i="2"/>
  <c r="AB139" i="2"/>
  <c r="AA139" i="2"/>
  <c r="Z139" i="2"/>
  <c r="AK133" i="2"/>
  <c r="AJ133" i="2"/>
  <c r="AI133" i="2"/>
  <c r="AF133" i="2"/>
  <c r="AE133" i="2"/>
  <c r="AD133" i="2"/>
  <c r="AC133" i="2"/>
  <c r="AA133" i="2"/>
  <c r="Z133" i="2"/>
  <c r="AK126" i="2"/>
  <c r="AJ126" i="2"/>
  <c r="AI126" i="2"/>
  <c r="AI125" i="2"/>
  <c r="AH126" i="2"/>
  <c r="AF126" i="2"/>
  <c r="AE126" i="2"/>
  <c r="AA126" i="2"/>
  <c r="AA119" i="2"/>
  <c r="Z119" i="2"/>
  <c r="AK119" i="2"/>
  <c r="AJ119" i="2"/>
  <c r="AI119" i="2"/>
  <c r="AH119" i="2"/>
  <c r="AG119" i="2"/>
  <c r="AF119" i="2"/>
  <c r="AE119" i="2"/>
  <c r="AD119" i="2"/>
  <c r="AC119" i="2"/>
  <c r="AB119" i="2"/>
  <c r="AK112" i="2"/>
  <c r="AH112" i="2"/>
  <c r="AJ112" i="2"/>
  <c r="AI112" i="2"/>
  <c r="AG112" i="2"/>
  <c r="AF112" i="2"/>
  <c r="AE112" i="2"/>
  <c r="AB112" i="2"/>
  <c r="AA112" i="2"/>
  <c r="Z112" i="2"/>
  <c r="AL104" i="2"/>
  <c r="AJ105" i="2"/>
  <c r="AI105" i="2"/>
  <c r="AH105" i="2"/>
  <c r="AG105" i="2"/>
  <c r="AE105" i="2"/>
  <c r="AC105" i="2"/>
  <c r="AB105" i="2"/>
  <c r="AA105" i="2"/>
  <c r="Z105" i="2"/>
  <c r="AE98" i="2"/>
  <c r="AD105" i="2"/>
  <c r="AK98" i="2"/>
  <c r="AJ98" i="2"/>
  <c r="AI98" i="2"/>
  <c r="AH98" i="2"/>
  <c r="AF98" i="2"/>
  <c r="AC98" i="2"/>
  <c r="AE84" i="2"/>
  <c r="AF84" i="2"/>
  <c r="AH84" i="2"/>
  <c r="AI84" i="2"/>
  <c r="AD84" i="2"/>
  <c r="AC84" i="2"/>
  <c r="AB84" i="2"/>
  <c r="Z84" i="2"/>
  <c r="AF78" i="2"/>
  <c r="AE78" i="2"/>
  <c r="AD78" i="2"/>
  <c r="AC78" i="2"/>
  <c r="AB78" i="2"/>
  <c r="AA78" i="2"/>
  <c r="Z78" i="2"/>
  <c r="Z71" i="2"/>
  <c r="AJ70" i="2"/>
  <c r="AG71" i="2"/>
  <c r="AD71" i="2"/>
  <c r="AC71" i="2"/>
  <c r="AB71" i="2"/>
  <c r="AA71" i="2"/>
  <c r="Y78" i="2"/>
  <c r="Y83" i="2"/>
  <c r="Y111" i="2"/>
  <c r="AL141" i="2"/>
  <c r="AL135" i="2"/>
  <c r="AO128" i="2"/>
  <c r="AL122" i="2"/>
  <c r="AO122" i="2" s="1"/>
  <c r="AL114" i="2"/>
  <c r="AO114" i="2" s="1"/>
  <c r="AL115" i="2"/>
  <c r="AL116" i="2"/>
  <c r="AO116" i="2" s="1"/>
  <c r="AL107" i="2"/>
  <c r="AO107" i="2" s="1"/>
  <c r="AL108" i="2"/>
  <c r="AO108" i="2" s="1"/>
  <c r="AL109" i="2"/>
  <c r="AO109" i="2" s="1"/>
  <c r="AL100" i="2"/>
  <c r="AO100" i="2" s="1"/>
  <c r="AL101" i="2"/>
  <c r="AO101" i="2" s="1"/>
  <c r="AL102" i="2"/>
  <c r="AO102" i="2" s="1"/>
  <c r="AL103" i="2"/>
  <c r="AL93" i="2"/>
  <c r="AO93" i="2" s="1"/>
  <c r="AL94" i="2"/>
  <c r="AO94" i="2" s="1"/>
  <c r="AL95" i="2"/>
  <c r="AO95" i="2" s="1"/>
  <c r="AL96" i="2"/>
  <c r="AL81" i="2"/>
  <c r="AO81" i="2" s="1"/>
  <c r="AL73" i="2"/>
  <c r="AL74" i="2"/>
  <c r="AO74" i="2" s="1"/>
  <c r="AL75" i="2"/>
  <c r="AO75" i="2" s="1"/>
  <c r="Y144" i="2"/>
  <c r="Y138" i="2"/>
  <c r="Y125" i="2"/>
  <c r="Y118" i="2"/>
  <c r="AM73" i="2"/>
  <c r="AM78" i="2" s="1"/>
  <c r="AM74" i="2"/>
  <c r="AM75" i="2"/>
  <c r="AM80" i="2"/>
  <c r="AM84" i="2" s="1"/>
  <c r="AM86" i="2"/>
  <c r="AM93" i="2"/>
  <c r="AM94" i="2"/>
  <c r="AM95" i="2"/>
  <c r="AM100" i="2"/>
  <c r="AM101" i="2"/>
  <c r="AM102" i="2"/>
  <c r="AM107" i="2"/>
  <c r="AM108" i="2"/>
  <c r="AM109" i="2"/>
  <c r="AM114" i="2"/>
  <c r="AM116" i="2"/>
  <c r="AM122" i="2"/>
  <c r="AM128" i="2"/>
  <c r="AG70" i="2"/>
  <c r="AL131" i="2"/>
  <c r="AL97" i="2"/>
  <c r="AL99" i="2"/>
  <c r="AL106" i="2"/>
  <c r="AL113" i="2"/>
  <c r="AL117" i="2"/>
  <c r="AL118" i="2"/>
  <c r="AO72" i="2"/>
  <c r="AH89" i="2"/>
  <c r="AI89" i="2"/>
  <c r="AJ89" i="2"/>
  <c r="AG89" i="2"/>
  <c r="AH83" i="2"/>
  <c r="AI83" i="2"/>
  <c r="AG77" i="2"/>
  <c r="AH77" i="2"/>
  <c r="AI77" i="2"/>
  <c r="AH70" i="2"/>
  <c r="AD83" i="2"/>
  <c r="AC83" i="2"/>
  <c r="AF70" i="2"/>
  <c r="AE144" i="2"/>
  <c r="AF144" i="2"/>
  <c r="AG144" i="2"/>
  <c r="AH144" i="2"/>
  <c r="AJ144" i="2"/>
  <c r="AK144" i="2"/>
  <c r="Z144" i="2"/>
  <c r="AA144" i="2"/>
  <c r="AB144" i="2"/>
  <c r="AC144" i="2"/>
  <c r="AD144" i="2"/>
  <c r="AE138" i="2"/>
  <c r="AF138" i="2"/>
  <c r="AG138" i="2"/>
  <c r="AH138" i="2"/>
  <c r="AI138" i="2"/>
  <c r="AJ138" i="2"/>
  <c r="AK138" i="2"/>
  <c r="Z138" i="2"/>
  <c r="AA138" i="2"/>
  <c r="AB138" i="2"/>
  <c r="AC138" i="2"/>
  <c r="AD138" i="2"/>
  <c r="AK132" i="2"/>
  <c r="AJ132" i="2"/>
  <c r="AI132" i="2"/>
  <c r="AH132" i="2"/>
  <c r="AG132" i="2"/>
  <c r="AF132" i="2"/>
  <c r="AE132" i="2"/>
  <c r="AD132" i="2"/>
  <c r="AC132" i="2"/>
  <c r="AB132" i="2"/>
  <c r="AA132" i="2"/>
  <c r="Z132" i="2"/>
  <c r="AL132" i="2" s="1"/>
  <c r="AM132" i="2" s="1"/>
  <c r="AK125" i="2"/>
  <c r="AJ125" i="2"/>
  <c r="AH125" i="2"/>
  <c r="AG125" i="2"/>
  <c r="AF125" i="2"/>
  <c r="AD125" i="2"/>
  <c r="AB125" i="2"/>
  <c r="AA125" i="2"/>
  <c r="Z125" i="2"/>
  <c r="AL125" i="2" s="1"/>
  <c r="Y164" i="2"/>
  <c r="Y160" i="2"/>
  <c r="Y155" i="2"/>
  <c r="Y150" i="2"/>
  <c r="AR124" i="2"/>
  <c r="AQ124" i="2"/>
  <c r="E124" i="2"/>
  <c r="AD111" i="2"/>
  <c r="AL111" i="2" s="1"/>
  <c r="X118" i="2"/>
  <c r="X97" i="2"/>
  <c r="X104" i="2"/>
  <c r="X111" i="2"/>
  <c r="AL163" i="2"/>
  <c r="V163" i="2"/>
  <c r="AL159" i="2"/>
  <c r="AO159" i="2" s="1"/>
  <c r="V159" i="2"/>
  <c r="AL154" i="2"/>
  <c r="V154" i="2"/>
  <c r="AL149" i="2"/>
  <c r="V149" i="2"/>
  <c r="AL166" i="2"/>
  <c r="V164" i="2"/>
  <c r="AL162" i="2"/>
  <c r="V162" i="2"/>
  <c r="W162" i="2" s="1"/>
  <c r="AL160" i="2"/>
  <c r="V160" i="2"/>
  <c r="AL157" i="2"/>
  <c r="V157" i="2"/>
  <c r="W157" i="2" s="1"/>
  <c r="AL155" i="2"/>
  <c r="V155" i="2"/>
  <c r="V152" i="2"/>
  <c r="W152" i="2" s="1"/>
  <c r="AL150" i="2"/>
  <c r="V150" i="2"/>
  <c r="AL147" i="2"/>
  <c r="AO147" i="2" s="1"/>
  <c r="V147" i="2"/>
  <c r="W147" i="2" s="1"/>
  <c r="AL92" i="2"/>
  <c r="V125" i="2"/>
  <c r="V127" i="2"/>
  <c r="V132" i="2"/>
  <c r="V134" i="2"/>
  <c r="V138" i="2"/>
  <c r="V140" i="2"/>
  <c r="V144" i="2"/>
  <c r="V97" i="2"/>
  <c r="V99" i="2"/>
  <c r="W99" i="2"/>
  <c r="V104" i="2"/>
  <c r="V106" i="2"/>
  <c r="W106" i="2"/>
  <c r="V111" i="2"/>
  <c r="V113" i="2"/>
  <c r="W113" i="2"/>
  <c r="V118" i="2"/>
  <c r="R116" i="5" l="1"/>
  <c r="R48" i="5"/>
  <c r="R102" i="5"/>
  <c r="R107" i="5"/>
  <c r="R57" i="5"/>
  <c r="R29" i="5"/>
  <c r="R82" i="5"/>
  <c r="R39" i="5"/>
  <c r="R96" i="5"/>
  <c r="R112" i="5"/>
  <c r="R66" i="5"/>
  <c r="S90" i="5"/>
  <c r="R89" i="5"/>
  <c r="R22" i="5"/>
  <c r="R15" i="5"/>
  <c r="U2" i="5"/>
  <c r="R7" i="5"/>
  <c r="AO66" i="2"/>
  <c r="AL71" i="2"/>
  <c r="U3" i="5"/>
  <c r="U4" i="5"/>
  <c r="U6" i="5"/>
  <c r="U9" i="5"/>
  <c r="U11" i="5"/>
  <c r="U12" i="5"/>
  <c r="U14" i="5"/>
  <c r="U17" i="5"/>
  <c r="U19" i="5"/>
  <c r="U21" i="5"/>
  <c r="U24" i="5"/>
  <c r="U28" i="5"/>
  <c r="U32" i="5"/>
  <c r="U33" i="5"/>
  <c r="U34" i="5"/>
  <c r="U35" i="5"/>
  <c r="U41" i="5"/>
  <c r="U42" i="5"/>
  <c r="U43" i="5"/>
  <c r="U44" i="5"/>
  <c r="U50" i="5"/>
  <c r="U51" i="5"/>
  <c r="U52" i="5"/>
  <c r="U53" i="5"/>
  <c r="U59" i="5"/>
  <c r="U60" i="5"/>
  <c r="U61" i="5"/>
  <c r="U62" i="5"/>
  <c r="U69" i="5"/>
  <c r="U70" i="5"/>
  <c r="S76" i="5"/>
  <c r="U77" i="5"/>
  <c r="U91" i="5"/>
  <c r="U92" i="5"/>
  <c r="U93" i="5"/>
  <c r="U99" i="5"/>
  <c r="U101" i="5"/>
  <c r="U104" i="5"/>
  <c r="U105" i="5"/>
  <c r="U106" i="5"/>
  <c r="U109" i="5"/>
  <c r="U110" i="5"/>
  <c r="U111" i="5"/>
  <c r="U114" i="5"/>
  <c r="U115" i="5"/>
  <c r="AL78" i="2"/>
  <c r="AM90" i="2"/>
  <c r="AL90" i="2"/>
  <c r="AO90" i="2"/>
  <c r="AO89" i="2"/>
  <c r="AL84" i="2"/>
  <c r="AO69" i="2"/>
  <c r="AO88" i="2"/>
  <c r="AO82" i="2"/>
  <c r="AM82" i="2"/>
  <c r="AO76" i="2"/>
  <c r="AM76" i="2"/>
  <c r="AM125" i="2"/>
  <c r="AL144" i="2"/>
  <c r="AM144" i="2" s="1"/>
  <c r="AO142" i="2"/>
  <c r="AO141" i="2"/>
  <c r="AM141" i="2"/>
  <c r="AM92" i="2"/>
  <c r="AO92" i="2"/>
  <c r="AO98" i="2" s="1"/>
  <c r="AO152" i="2"/>
  <c r="AM149" i="2"/>
  <c r="AO149" i="2"/>
  <c r="AM154" i="2"/>
  <c r="AO154" i="2"/>
  <c r="AO85" i="2"/>
  <c r="AM113" i="2"/>
  <c r="AO113" i="2"/>
  <c r="AO106" i="2"/>
  <c r="AM99" i="2"/>
  <c r="AO99" i="2"/>
  <c r="AO97" i="2"/>
  <c r="AO115" i="2"/>
  <c r="AO118" i="2" s="1"/>
  <c r="AM115" i="2"/>
  <c r="AL70" i="2"/>
  <c r="AM70" i="2" s="1"/>
  <c r="AM67" i="2"/>
  <c r="AM68" i="2"/>
  <c r="AO68" i="2"/>
  <c r="AO121" i="2"/>
  <c r="AO125" i="2" s="1"/>
  <c r="AM121" i="2"/>
  <c r="AM162" i="2"/>
  <c r="AO162" i="2"/>
  <c r="AO163" i="2"/>
  <c r="AO165" i="2" s="1"/>
  <c r="AO164" i="2"/>
  <c r="AO153" i="2"/>
  <c r="AO155" i="2"/>
  <c r="AO157" i="2"/>
  <c r="AM66" i="2"/>
  <c r="AM71" i="2" s="1"/>
  <c r="AO112" i="2"/>
  <c r="AO111" i="2"/>
  <c r="AO133" i="2"/>
  <c r="AM159" i="2"/>
  <c r="AO161" i="2"/>
  <c r="AO138" i="2"/>
  <c r="AO139" i="2"/>
  <c r="AO79" i="2"/>
  <c r="AO126" i="2"/>
  <c r="AM140" i="2"/>
  <c r="AO140" i="2"/>
  <c r="AO144" i="2" s="1"/>
  <c r="AO156" i="2"/>
  <c r="AO160" i="2"/>
  <c r="AM111" i="2"/>
  <c r="AM97" i="2"/>
  <c r="AM155" i="2"/>
  <c r="AM160" i="2"/>
  <c r="AM164" i="2"/>
  <c r="AM118" i="2"/>
  <c r="AL138" i="2"/>
  <c r="AM138" i="2" s="1"/>
  <c r="AD90" i="3"/>
  <c r="AE90" i="3" s="1"/>
  <c r="AD89" i="3"/>
  <c r="T89" i="3"/>
  <c r="W89" i="3" s="1"/>
  <c r="AE89" i="3" s="1"/>
  <c r="AD88" i="3"/>
  <c r="T88" i="3"/>
  <c r="W88" i="3" s="1"/>
  <c r="AE88" i="3" s="1"/>
  <c r="AD87" i="3"/>
  <c r="T87" i="3"/>
  <c r="W87" i="3" s="1"/>
  <c r="AE87" i="3" s="1"/>
  <c r="AD86" i="3"/>
  <c r="T86" i="3"/>
  <c r="W86" i="3" s="1"/>
  <c r="AE86" i="3" s="1"/>
  <c r="AD85" i="3"/>
  <c r="AE85" i="3" s="1"/>
  <c r="AD84" i="3"/>
  <c r="T84" i="3"/>
  <c r="W84" i="3" s="1"/>
  <c r="AE84" i="3" s="1"/>
  <c r="AD83" i="3"/>
  <c r="T83" i="3"/>
  <c r="W83" i="3" s="1"/>
  <c r="AE83" i="3" s="1"/>
  <c r="AD82" i="3"/>
  <c r="T82" i="3"/>
  <c r="W82" i="3" s="1"/>
  <c r="AE82" i="3" s="1"/>
  <c r="AD81" i="3"/>
  <c r="T81" i="3"/>
  <c r="W81" i="3" s="1"/>
  <c r="AE81" i="3" s="1"/>
  <c r="AD80" i="3"/>
  <c r="AD79" i="3"/>
  <c r="T79" i="3"/>
  <c r="W79" i="3" s="1"/>
  <c r="AE79" i="3" s="1"/>
  <c r="AM79" i="3" s="1"/>
  <c r="AD78" i="3"/>
  <c r="T78" i="3"/>
  <c r="W78" i="3" s="1"/>
  <c r="AE78" i="3" s="1"/>
  <c r="AM78" i="3" s="1"/>
  <c r="AD77" i="3"/>
  <c r="T77" i="3"/>
  <c r="W77" i="3" s="1"/>
  <c r="AE77" i="3" s="1"/>
  <c r="AM77" i="3" s="1"/>
  <c r="AD76" i="3"/>
  <c r="T76" i="3"/>
  <c r="W76" i="3" s="1"/>
  <c r="AE76" i="3" s="1"/>
  <c r="AD75" i="3"/>
  <c r="AD74" i="3"/>
  <c r="T74" i="3"/>
  <c r="W74" i="3" s="1"/>
  <c r="AE74" i="3" s="1"/>
  <c r="AM74" i="3" s="1"/>
  <c r="AD73" i="3"/>
  <c r="T73" i="3"/>
  <c r="W73" i="3" s="1"/>
  <c r="AE73" i="3" s="1"/>
  <c r="AM73" i="3" s="1"/>
  <c r="AD72" i="3"/>
  <c r="T72" i="3"/>
  <c r="W72" i="3" s="1"/>
  <c r="AE72" i="3" s="1"/>
  <c r="AM72" i="3" s="1"/>
  <c r="AD71" i="3"/>
  <c r="T71" i="3"/>
  <c r="W71" i="3" s="1"/>
  <c r="AE71" i="3" s="1"/>
  <c r="AD70" i="3"/>
  <c r="AD69" i="3"/>
  <c r="T69" i="3"/>
  <c r="W69" i="3" s="1"/>
  <c r="AE69" i="3" s="1"/>
  <c r="AM69" i="3" s="1"/>
  <c r="AD68" i="3"/>
  <c r="T68" i="3"/>
  <c r="W68" i="3" s="1"/>
  <c r="AE68" i="3" s="1"/>
  <c r="AM68" i="3" s="1"/>
  <c r="AD67" i="3"/>
  <c r="T67" i="3"/>
  <c r="W67" i="3" s="1"/>
  <c r="AE67" i="3" s="1"/>
  <c r="AM67" i="3" s="1"/>
  <c r="AD66" i="3"/>
  <c r="T66" i="3"/>
  <c r="W66" i="3" s="1"/>
  <c r="AE66" i="3" s="1"/>
  <c r="AD65" i="3"/>
  <c r="AE65" i="3" s="1"/>
  <c r="AD60" i="3"/>
  <c r="AE60" i="3" s="1"/>
  <c r="AD55" i="3"/>
  <c r="AE55" i="3" s="1"/>
  <c r="AD50" i="3"/>
  <c r="AE50" i="3" s="1"/>
  <c r="AD45" i="3"/>
  <c r="AE45" i="3" s="1"/>
  <c r="AD40" i="3"/>
  <c r="AE40" i="3" s="1"/>
  <c r="T28" i="3"/>
  <c r="T27" i="3"/>
  <c r="T26" i="3"/>
  <c r="T25" i="3"/>
  <c r="T23" i="3"/>
  <c r="T22" i="3"/>
  <c r="T21" i="3"/>
  <c r="T20" i="3"/>
  <c r="T18" i="3"/>
  <c r="T17" i="3"/>
  <c r="T16" i="3"/>
  <c r="T15" i="3"/>
  <c r="T13" i="3"/>
  <c r="T12" i="3"/>
  <c r="T11" i="3"/>
  <c r="T10" i="3"/>
  <c r="T8" i="3"/>
  <c r="T7" i="3"/>
  <c r="T6" i="3"/>
  <c r="T5" i="3"/>
  <c r="V168" i="2"/>
  <c r="W168" i="2" s="1"/>
  <c r="V167" i="2"/>
  <c r="W167" i="2" s="1"/>
  <c r="V170" i="2"/>
  <c r="V169" i="2"/>
  <c r="W169" i="2" s="1"/>
  <c r="W134" i="2"/>
  <c r="V121" i="2"/>
  <c r="V92" i="2"/>
  <c r="W92" i="2" s="1"/>
  <c r="V72" i="2"/>
  <c r="W72" i="2" s="1"/>
  <c r="V79" i="2"/>
  <c r="W79" i="2" s="1"/>
  <c r="V85" i="2"/>
  <c r="W85" i="2" s="1"/>
  <c r="V66" i="2"/>
  <c r="W66" i="2" s="1"/>
  <c r="W140" i="2"/>
  <c r="AL176" i="2"/>
  <c r="AM176" i="2" s="1"/>
  <c r="AL173" i="2"/>
  <c r="V173" i="2"/>
  <c r="W173" i="2" s="1"/>
  <c r="AL172" i="2"/>
  <c r="V172" i="2"/>
  <c r="AL175" i="2"/>
  <c r="V175" i="2"/>
  <c r="W175" i="2" s="1"/>
  <c r="AL174" i="2"/>
  <c r="V174" i="2"/>
  <c r="W174" i="2" s="1"/>
  <c r="AL171" i="2"/>
  <c r="AM171" i="2" s="1"/>
  <c r="AL168" i="2"/>
  <c r="AL167" i="2"/>
  <c r="AL170" i="2"/>
  <c r="W170" i="2"/>
  <c r="AL169" i="2"/>
  <c r="AL146" i="2"/>
  <c r="AL120" i="2"/>
  <c r="AL91" i="2"/>
  <c r="V28" i="2"/>
  <c r="V27" i="2"/>
  <c r="V26" i="2"/>
  <c r="V25" i="2"/>
  <c r="V23" i="2"/>
  <c r="V22" i="2"/>
  <c r="V21" i="2"/>
  <c r="V20" i="2"/>
  <c r="V18" i="2"/>
  <c r="V17" i="2"/>
  <c r="V16" i="2"/>
  <c r="V15" i="2"/>
  <c r="V13" i="2"/>
  <c r="V12" i="2"/>
  <c r="V11" i="2"/>
  <c r="V10" i="2"/>
  <c r="V8" i="2"/>
  <c r="V7" i="2"/>
  <c r="V6" i="2"/>
  <c r="V5" i="2"/>
  <c r="U16" i="5" l="1"/>
  <c r="U116" i="5"/>
  <c r="U112" i="5"/>
  <c r="U107" i="5"/>
  <c r="U103" i="5"/>
  <c r="U102" i="5"/>
  <c r="S97" i="5"/>
  <c r="U97" i="5"/>
  <c r="U96" i="5"/>
  <c r="S83" i="5"/>
  <c r="U83" i="5"/>
  <c r="S75" i="5"/>
  <c r="U75" i="5"/>
  <c r="U74" i="5"/>
  <c r="S67" i="5"/>
  <c r="U67" i="5"/>
  <c r="U66" i="5"/>
  <c r="S58" i="5"/>
  <c r="U58" i="5"/>
  <c r="U57" i="5"/>
  <c r="S49" i="5"/>
  <c r="U49" i="5"/>
  <c r="U48" i="5"/>
  <c r="S40" i="5"/>
  <c r="U40" i="5"/>
  <c r="U39" i="5"/>
  <c r="U30" i="5"/>
  <c r="U29" i="5"/>
  <c r="U23" i="5"/>
  <c r="U22" i="5"/>
  <c r="U15" i="5"/>
  <c r="U7" i="5"/>
  <c r="AO78" i="2"/>
  <c r="AO77" i="2"/>
  <c r="AO84" i="2"/>
  <c r="AO83" i="2"/>
  <c r="AO71" i="2"/>
  <c r="AO70" i="2"/>
  <c r="AM146" i="2"/>
  <c r="AO104" i="2"/>
  <c r="AO105" i="2"/>
  <c r="AO119" i="2"/>
  <c r="AO150" i="2"/>
  <c r="AO145" i="2"/>
  <c r="AM120" i="2"/>
  <c r="AM166" i="2"/>
  <c r="AE70" i="3"/>
  <c r="AM66" i="3"/>
  <c r="AE75" i="3"/>
  <c r="AM71" i="3"/>
  <c r="AE80" i="3"/>
  <c r="AM76" i="3"/>
  <c r="Y168" i="2"/>
  <c r="AM168" i="2" s="1"/>
  <c r="Y174" i="2"/>
  <c r="AM174" i="2" s="1"/>
  <c r="W172" i="2"/>
  <c r="Y172" i="2" s="1"/>
  <c r="AM172" i="2" s="1"/>
  <c r="Y175" i="2"/>
  <c r="AM175" i="2" s="1"/>
  <c r="W121" i="2"/>
  <c r="W127" i="2"/>
  <c r="Y173" i="2"/>
  <c r="AM173" i="2" s="1"/>
  <c r="Y167" i="2"/>
  <c r="AM167" i="2" s="1"/>
  <c r="Y169" i="2"/>
  <c r="AM169" i="2" s="1"/>
  <c r="Y170" i="2"/>
  <c r="AM170" i="2" s="1"/>
  <c r="S68" i="5" l="1"/>
  <c r="Y77" i="2"/>
  <c r="AM77" i="2" s="1"/>
  <c r="AM81" i="3"/>
  <c r="AM91" i="2" l="1"/>
  <c r="AL165" i="2" l="1"/>
  <c r="AL161" i="2"/>
  <c r="AL156" i="2"/>
  <c r="AL145" i="2"/>
  <c r="AL139" i="2"/>
  <c r="AL133" i="2"/>
  <c r="AM165" i="2"/>
  <c r="AM161" i="2"/>
  <c r="AL151" i="2"/>
  <c r="AM145" i="2"/>
  <c r="AM139" i="2"/>
  <c r="AM133" i="2"/>
  <c r="AM126" i="2"/>
  <c r="AM119" i="2"/>
  <c r="AL119" i="2"/>
  <c r="AL112" i="2"/>
  <c r="AM112" i="2"/>
  <c r="AM105" i="2"/>
  <c r="AL105" i="2"/>
  <c r="AM98" i="2"/>
  <c r="AL98" i="2"/>
  <c r="AM156" i="2"/>
  <c r="AO151" i="2"/>
  <c r="AL126" i="2"/>
  <c r="U117" i="5"/>
  <c r="S117" i="5"/>
  <c r="R117" i="5"/>
  <c r="U113" i="5"/>
  <c r="S113" i="5"/>
  <c r="R113" i="5"/>
  <c r="U108" i="5"/>
  <c r="S108" i="5"/>
  <c r="R108" i="5"/>
  <c r="S103" i="5"/>
  <c r="R103" i="5"/>
  <c r="R97" i="5"/>
  <c r="R90" i="5"/>
  <c r="R83" i="5"/>
  <c r="R75" i="5"/>
  <c r="R67" i="5"/>
  <c r="R58" i="5"/>
  <c r="R49" i="5"/>
  <c r="R40" i="5"/>
  <c r="S30" i="5"/>
  <c r="R30" i="5"/>
  <c r="S23" i="5"/>
  <c r="R23" i="5"/>
  <c r="S16" i="5"/>
  <c r="R16" i="5"/>
  <c r="U8" i="5"/>
  <c r="S8" i="5"/>
  <c r="R8" i="5"/>
  <c r="S31" i="5" l="1"/>
  <c r="S98" i="5"/>
  <c r="S102" i="5" s="1"/>
  <c r="S107" i="5" l="1"/>
  <c r="S112" i="5" s="1"/>
  <c r="S116" i="5" s="1"/>
  <c r="S118" i="5"/>
  <c r="E7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tc={CC13FC15-AC42-4423-9F19-D4BB8CE97213}</author>
    <author>tc={E01FF4E5-AE9A-4DD8-B896-5B40EEDDDB92}</author>
    <author>tc={3C7DF13A-F640-4C77-87C8-91303D3A0FC7}</author>
    <author>tc={A3D1591F-C74D-4FA8-BCA3-E7452555229A}</author>
    <author>tc={F6DDFABA-6861-46D7-BD63-4B4224EA8A15}</author>
    <author>tc={AEA24A3B-F78D-4CA8-8F06-2A037542C945}</author>
    <author>tc={9B9895F2-2AD4-4B54-B1F3-0C27F17D0FA4}</author>
    <author>tc={9C063151-EBF0-4C9D-BE23-FCFFA1E852C7}</author>
    <author>tc={85087DB0-C16F-420B-AF11-EDFA0BD1E33B}</author>
    <author>tc={A081E34B-56D4-4037-81FC-3DA69EFAFBC0}</author>
  </authors>
  <commentList>
    <comment ref="AF75" authorId="0" shapeId="0" xr:uid="{CC13FC15-AC42-4423-9F19-D4BB8CE9721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FLUED、Basic制作</t>
      </text>
    </comment>
    <comment ref="AM125" authorId="1" shapeId="0" xr:uid="{E01FF4E5-AE9A-4DD8-B896-5B40EEDDDB9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内製が入ってしまっているので、合っています。</t>
      </text>
    </comment>
    <comment ref="AH127" authorId="2" shapeId="0" xr:uid="{3C7DF13A-F640-4C77-87C8-91303D3A0FC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No17（A/B）は施策表と合わせて1本でカウント
返信:
ご認識の通りです。</t>
      </text>
    </comment>
    <comment ref="AO129" authorId="3" shapeId="0" xr:uid="{A3D1591F-C74D-4FA8-BCA3-E7452555229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修正済み。
FLUEDの完全未着手は2月納品分2本が残っています。着手済みはNo.22,23の2本です。
返信:
施策表でNo.27,28が進行中なのでココはゼロにします</t>
      </text>
    </comment>
    <comment ref="AD131" authorId="4" shapeId="0" xr:uid="{F6DDFABA-6861-46D7-BD63-4B4224EA8A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コンペとしてBasic制作</t>
      </text>
    </comment>
    <comment ref="AE131" authorId="5" shapeId="0" xr:uid="{AEA24A3B-F78D-4CA8-8F06-2A037542C94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コンペとしてFLUED作成</t>
      </text>
    </comment>
    <comment ref="AI136" authorId="6" shapeId="0" xr:uid="{9B9895F2-2AD4-4B54-B1F3-0C27F17D0F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完全未着手（2月納品分）の1本が残っているはずです。この配信済みの1本はFLDではない可能性が高いです。
返信:
ゼロに変更いたしました。</t>
      </text>
    </comment>
    <comment ref="AP136" authorId="7" shapeId="0" xr:uid="{9C063151-EBF0-4C9D-BE23-FCFFA1E852C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FLDコンテンツ制作予定数
コラム
UN:12(1),2(1)
SCH:11(1),12(1),2(1)
MED:12(1),2(1)
IS:12(1),2(1)
メルマガ
UN:11(1),12(1),2(1)
SCH:11(1),12(1),2(1)
MED:11(2),12(2),2(1)
IS:12(2),2(2)</t>
      </text>
    </comment>
    <comment ref="AI137" authorId="8" shapeId="0" xr:uid="{85087DB0-C16F-420B-AF11-EDFA0BD1E33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2本の内訳を教えてください。（HS上では1本に見えます…）
返信:
内製メルマガNo.24
内製メルマガNo.23
合計2本
上記は異なりますでしょうか？
返信:
失礼しました、合っておりました！</t>
      </text>
    </comment>
    <comment ref="AI159" authorId="9" shapeId="0" xr:uid="{A081E34B-56D4-4037-81FC-3DA69EFAFB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若林さんが確認してくださった下記だと3では？
※内訳　
ルネサンス：TM
相鉄：FLUIDさんUL
大成建設グループ：FLUIDさんUL
ルピシア：FLUIDさんUL
返信:
失礼しました、３ですね。
変更しました！</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tc={176A6469-D490-497B-B7B5-65D27016976D}</author>
  </authors>
  <commentList>
    <comment ref="T78" authorId="0" shapeId="0" xr:uid="{176A6469-D490-497B-B7B5-65D27016976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シナリオメールは1本を1.75本で計算（4本分を7本で購入しているため）</t>
      </text>
    </comment>
  </commentList>
</comments>
</file>

<file path=xl/sharedStrings.xml><?xml version="1.0" encoding="utf-8"?>
<sst xmlns="http://schemas.openxmlformats.org/spreadsheetml/2006/main" count="704" uniqueCount="127">
  <si>
    <t>■現状の予定</t>
  </si>
  <si>
    <t>制作数</t>
  </si>
  <si>
    <t>制作予定数</t>
  </si>
  <si>
    <t>作業/費用項目</t>
  </si>
  <si>
    <t>事業部</t>
  </si>
  <si>
    <t>9月末時点の使用数</t>
  </si>
  <si>
    <t>10月</t>
  </si>
  <si>
    <t>11月</t>
  </si>
  <si>
    <t>12月</t>
  </si>
  <si>
    <t>1月</t>
  </si>
  <si>
    <t>2月</t>
  </si>
  <si>
    <t>合計</t>
  </si>
  <si>
    <t>3月</t>
  </si>
  <si>
    <t>4月</t>
  </si>
  <si>
    <t>5月</t>
  </si>
  <si>
    <t>6月</t>
  </si>
  <si>
    <t>7月</t>
  </si>
  <si>
    <t>8月</t>
  </si>
  <si>
    <t>コラム記事</t>
  </si>
  <si>
    <t>メディカル</t>
  </si>
  <si>
    <t>インサイトセールス</t>
  </si>
  <si>
    <t>企業U</t>
  </si>
  <si>
    <t>学生服</t>
  </si>
  <si>
    <t>ホワイトペーパー</t>
  </si>
  <si>
    <t>メールマガジン</t>
  </si>
  <si>
    <t>効果分析・改善提案</t>
  </si>
  <si>
    <t>リスティング広告</t>
  </si>
  <si>
    <t>■コンテンツ制作</t>
  </si>
  <si>
    <t>2023年度</t>
    <rPh sb="4" eb="5">
      <t>ネン</t>
    </rPh>
    <rPh sb="5" eb="6">
      <t>ド</t>
    </rPh>
    <phoneticPr fontId="1"/>
  </si>
  <si>
    <t>2024年度</t>
    <rPh sb="4" eb="5">
      <t>ネン</t>
    </rPh>
    <rPh sb="5" eb="6">
      <t>ド</t>
    </rPh>
    <phoneticPr fontId="1"/>
  </si>
  <si>
    <t>2025/8/5現在</t>
  </si>
  <si>
    <t>2024度制作
予定数</t>
    <phoneticPr fontId="1"/>
  </si>
  <si>
    <t>9月</t>
  </si>
  <si>
    <t>2024年度制作数
合計</t>
  </si>
  <si>
    <t>2025年度制作
契約数</t>
  </si>
  <si>
    <t>2025年度制作
予定数</t>
  </si>
  <si>
    <t>2025年度制作数
合計</t>
  </si>
  <si>
    <t>2025年度
残り制作数</t>
  </si>
  <si>
    <t>配信・公開分
以下No.まで配信・公開済</t>
  </si>
  <si>
    <t>着手分
以下No.まで着手済</t>
  </si>
  <si>
    <t>コミュニケーションコンテンツ設計</t>
  </si>
  <si>
    <t>マーケティングプロセス策定</t>
  </si>
  <si>
    <t>注力活動計画</t>
  </si>
  <si>
    <t>企画設計</t>
  </si>
  <si>
    <t>合計</t>
    <phoneticPr fontId="1"/>
  </si>
  <si>
    <t>サイト制作</t>
  </si>
  <si>
    <t>ガイドライン作成</t>
  </si>
  <si>
    <t>コラム記事
11万/本</t>
    <rPh sb="8" eb="9">
      <t>マン</t>
    </rPh>
    <rPh sb="10" eb="11">
      <t>ホン</t>
    </rPh>
    <phoneticPr fontId="1"/>
  </si>
  <si>
    <t>No20</t>
  </si>
  <si>
    <t>No21、22、No.3、16リライト</t>
  </si>
  <si>
    <t>※7月リライト2本でコラム1本分</t>
  </si>
  <si>
    <t>内2本はサイト改修費用、内1本は事例UL費用に充当予定</t>
  </si>
  <si>
    <t>No5</t>
  </si>
  <si>
    <t>No6、7、10、11</t>
  </si>
  <si>
    <t>※8：フルード、9：ベーシック</t>
  </si>
  <si>
    <t>No9</t>
  </si>
  <si>
    <t>No10、11、12、13、14</t>
  </si>
  <si>
    <t>※7月リライト1本公開。残り1本は未定</t>
  </si>
  <si>
    <t>No8</t>
  </si>
  <si>
    <t>No9、10</t>
  </si>
  <si>
    <t>ホワイトペーパー
50万/本</t>
    <rPh sb="11" eb="12">
      <t>マン</t>
    </rPh>
    <rPh sb="13" eb="14">
      <t>ホン</t>
    </rPh>
    <phoneticPr fontId="1"/>
  </si>
  <si>
    <t>No1</t>
    <phoneticPr fontId="1"/>
  </si>
  <si>
    <t>No2は自社制作</t>
  </si>
  <si>
    <t>No2、3、4</t>
  </si>
  <si>
    <t>0.5本分×3本になるかも？</t>
  </si>
  <si>
    <t>No1</t>
  </si>
  <si>
    <t>No3</t>
  </si>
  <si>
    <t>※2：自社制作</t>
  </si>
  <si>
    <t>メールマガジン
3万/本</t>
    <rPh sb="9" eb="10">
      <t>マン</t>
    </rPh>
    <rPh sb="11" eb="12">
      <t>ホン</t>
    </rPh>
    <phoneticPr fontId="1"/>
  </si>
  <si>
    <t>No25</t>
  </si>
  <si>
    <t>No26、30、31</t>
  </si>
  <si>
    <t>※27－29：TV告知</t>
  </si>
  <si>
    <t>内2本はサイト改修費用に充当予定</t>
    <rPh sb="0" eb="1">
      <t>ウチ</t>
    </rPh>
    <rPh sb="2" eb="3">
      <t>ホン</t>
    </rPh>
    <rPh sb="7" eb="11">
      <t>カイシュウヒヨウ</t>
    </rPh>
    <rPh sb="12" eb="16">
      <t>ジュウトウヨテイ</t>
    </rPh>
    <phoneticPr fontId="1"/>
  </si>
  <si>
    <t>No13</t>
  </si>
  <si>
    <t>No15,16</t>
  </si>
  <si>
    <t>※19－21：TV告知、※13、14は別ベンダー制作</t>
  </si>
  <si>
    <t>No11</t>
  </si>
  <si>
    <t>No12、13、14、15、16、17</t>
  </si>
  <si>
    <t>※18-20：TV告知、14（7/25配信予定）、12（7/31配信予定）</t>
  </si>
  <si>
    <t>No10、14</t>
  </si>
  <si>
    <t>※11－13：TV告知、15：Web展示会告知</t>
  </si>
  <si>
    <t>リスティング広告
20万/1事業部/月</t>
    <rPh sb="11" eb="12">
      <t>マン</t>
    </rPh>
    <rPh sb="14" eb="17">
      <t>ジギョウブ</t>
    </rPh>
    <rPh sb="18" eb="19">
      <t>ツキ</t>
    </rPh>
    <phoneticPr fontId="1"/>
  </si>
  <si>
    <t>詳細</t>
    <rPh sb="0" eb="2">
      <t>ショウサイ</t>
    </rPh>
    <phoneticPr fontId="1"/>
  </si>
  <si>
    <t>単価</t>
  </si>
  <si>
    <t>2025年度繰越本数</t>
  </si>
  <si>
    <t>2月
※3/5更新</t>
  </si>
  <si>
    <t>2025年度公開・配信済合計</t>
  </si>
  <si>
    <t>着手済み</t>
  </si>
  <si>
    <t>完全未着手</t>
  </si>
  <si>
    <t>備考</t>
  </si>
  <si>
    <t>コラム記事</t>
    <phoneticPr fontId="1"/>
  </si>
  <si>
    <t>TM</t>
  </si>
  <si>
    <t>TM｜リライト</t>
  </si>
  <si>
    <t>FLD</t>
  </si>
  <si>
    <t>FG｜トライアル</t>
  </si>
  <si>
    <t>合計本数</t>
  </si>
  <si>
    <t>合計額</t>
  </si>
  <si>
    <t>1本（実績事例11本UL充当）、No6、7、10、11</t>
  </si>
  <si>
    <t>その他</t>
  </si>
  <si>
    <t>No10、11、12、13、14</t>
    <phoneticPr fontId="1"/>
  </si>
  <si>
    <t>ホワイトペーパー</t>
    <phoneticPr fontId="1"/>
  </si>
  <si>
    <t>TM｜ボリューム</t>
  </si>
  <si>
    <t>TM｜簡易版</t>
  </si>
  <si>
    <t>FLD｜ボリューム</t>
  </si>
  <si>
    <t>FLD｜簡易版</t>
  </si>
  <si>
    <t>内製</t>
  </si>
  <si>
    <t>No2</t>
    <phoneticPr fontId="1"/>
  </si>
  <si>
    <t>※2：自社制作</t>
    <phoneticPr fontId="1"/>
  </si>
  <si>
    <t>合計金額</t>
  </si>
  <si>
    <t>※11－13：TV告知</t>
  </si>
  <si>
    <t>実績事例</t>
  </si>
  <si>
    <t>TM｜インタビュー</t>
  </si>
  <si>
    <t>TM｜UL</t>
  </si>
  <si>
    <t>FLD｜UL</t>
  </si>
  <si>
    <t>リスティング広告</t>
    <phoneticPr fontId="1"/>
  </si>
  <si>
    <t>リスティング広告は2024年度から2025年度の一部を消化しています(分かりやすいよう8月分まで入力しています)</t>
    <rPh sb="6" eb="8">
      <t>コウコク</t>
    </rPh>
    <rPh sb="13" eb="14">
      <t>ネン</t>
    </rPh>
    <rPh sb="14" eb="15">
      <t>ド</t>
    </rPh>
    <rPh sb="21" eb="23">
      <t>ネンド</t>
    </rPh>
    <rPh sb="24" eb="26">
      <t>イチブ</t>
    </rPh>
    <rPh sb="27" eb="29">
      <t>ショウカ</t>
    </rPh>
    <rPh sb="35" eb="36">
      <t>ワ</t>
    </rPh>
    <rPh sb="44" eb="46">
      <t>ガツブン</t>
    </rPh>
    <rPh sb="48" eb="50">
      <t>ニュウリョク</t>
    </rPh>
    <phoneticPr fontId="1"/>
  </si>
  <si>
    <t>リスティング広告施策内訳</t>
    <rPh sb="6" eb="8">
      <t>コウコク</t>
    </rPh>
    <rPh sb="8" eb="12">
      <t>シサクウチワケ</t>
    </rPh>
    <phoneticPr fontId="1"/>
  </si>
  <si>
    <r>
      <rPr>
        <sz val="11"/>
        <color theme="5"/>
        <rFont val="Meiryo UI"/>
        <family val="3"/>
        <charset val="128"/>
      </rPr>
      <t>■</t>
    </r>
    <r>
      <rPr>
        <sz val="11"/>
        <color rgb="FF000000"/>
        <rFont val="Meiryo UI"/>
        <family val="3"/>
        <charset val="128"/>
      </rPr>
      <t>：2024年度施策</t>
    </r>
    <rPh sb="6" eb="7">
      <t>ネン</t>
    </rPh>
    <rPh sb="7" eb="8">
      <t>ド</t>
    </rPh>
    <rPh sb="8" eb="10">
      <t>シサク</t>
    </rPh>
    <phoneticPr fontId="1"/>
  </si>
  <si>
    <r>
      <rPr>
        <sz val="11"/>
        <color rgb="FF00B050"/>
        <rFont val="Meiryo UI"/>
        <family val="3"/>
        <charset val="128"/>
      </rPr>
      <t>■</t>
    </r>
    <r>
      <rPr>
        <sz val="11"/>
        <color rgb="FF000000"/>
        <rFont val="Meiryo UI"/>
        <family val="3"/>
        <charset val="128"/>
      </rPr>
      <t>：2025年度施策</t>
    </r>
    <rPh sb="6" eb="7">
      <t>ネン</t>
    </rPh>
    <rPh sb="7" eb="8">
      <t>ド</t>
    </rPh>
    <rPh sb="8" eb="10">
      <t>シサク</t>
    </rPh>
    <phoneticPr fontId="1"/>
  </si>
  <si>
    <t>2026年度制作
予定数</t>
  </si>
  <si>
    <t>2026年度公開・配信済合計</t>
  </si>
  <si>
    <t>2026年度
残り制作数</t>
  </si>
  <si>
    <t>FG</t>
    <phoneticPr fontId="1"/>
  </si>
  <si>
    <t>FG｜ボリューム版</t>
    <rPh sb="8" eb="9">
      <t>バン</t>
    </rPh>
    <phoneticPr fontId="1"/>
  </si>
  <si>
    <t>FG｜簡易版</t>
    <rPh sb="3" eb="6">
      <t>カンイバン</t>
    </rPh>
    <phoneticPr fontId="1"/>
  </si>
  <si>
    <t>動画</t>
    <rPh sb="0" eb="2">
      <t>ドウガ</t>
    </rPh>
    <phoneticPr fontId="1"/>
  </si>
  <si>
    <t>サイト改修</t>
    <rPh sb="3" eb="5">
      <t>カイシュウ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</si>
</sst>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_);\(#,##0\)"/>
  </numFmts>
  <fonts count="20" x14ac:knownFonts="1">
    <font>
      <sz val="11"/>
      <color theme="1"/>
      <name val="游ゴシック"/>
      <family val="2"/>
      <charset val="128"/>
      <scheme val="minor"/>
    </font>
    <font>
      <sz val="6"/>
      <name val="游ゴシック"/>
      <family val="2"/>
      <charset val="128"/>
      <scheme val="minor"/>
    </font>
    <font>
      <sz val="11"/>
      <color rgb="FF000000"/>
      <name val="Meiryo UI"/>
      <family val="3"/>
      <charset val="128"/>
    </font>
    <font>
      <b/>
      <sz val="17"/>
      <color rgb="FF000000"/>
      <name val="Meiryo UI"/>
      <family val="3"/>
      <charset val="128"/>
    </font>
    <font>
      <sz val="11"/>
      <color rgb="FFFF0000"/>
      <name val="Meiryo UI"/>
      <family val="3"/>
      <charset val="128"/>
    </font>
    <font>
      <sz val="11"/>
      <color theme="1"/>
      <name val="Meiryo UI"/>
      <family val="3"/>
      <charset val="128"/>
    </font>
    <font>
      <sz val="11"/>
      <color theme="0"/>
      <name val="Meiryo UI"/>
      <family val="3"/>
      <charset val="128"/>
    </font>
    <font>
      <b/>
      <sz val="11"/>
      <color theme="5"/>
      <name val="Meiryo UI"/>
      <family val="3"/>
      <charset val="128"/>
    </font>
    <font>
      <b/>
      <sz val="11"/>
      <color rgb="FF00B050"/>
      <name val="Meiryo UI"/>
      <family val="3"/>
      <charset val="128"/>
    </font>
    <font>
      <b/>
      <sz val="11"/>
      <color theme="9"/>
      <name val="Meiryo UI"/>
      <family val="3"/>
      <charset val="128"/>
    </font>
    <font>
      <b/>
      <sz val="11"/>
      <color theme="1"/>
      <name val="游ゴシック"/>
      <family val="3"/>
      <charset val="128"/>
      <scheme val="minor"/>
    </font>
    <font>
      <sz val="11"/>
      <color theme="5"/>
      <name val="Meiryo UI"/>
      <family val="3"/>
      <charset val="128"/>
    </font>
    <font>
      <sz val="11"/>
      <color rgb="FF00B050"/>
      <name val="Meiryo UI"/>
      <family val="3"/>
      <charset val="128"/>
    </font>
    <font>
      <sz val="11"/>
      <name val="Meiryo UI"/>
      <family val="3"/>
      <charset val="128"/>
    </font>
    <font>
      <sz val="11"/>
      <color rgb="FFFF0000"/>
      <name val="游ゴシック"/>
      <family val="2"/>
      <charset val="128"/>
      <scheme val="minor"/>
    </font>
    <font>
      <sz val="11"/>
      <color rgb="FF000000"/>
      <name val="游ゴシック"/>
      <family val="2"/>
      <charset val="128"/>
      <scheme val="minor"/>
    </font>
    <font>
      <sz val="11"/>
      <color rgb="FF000000"/>
      <name val="游ゴシック"/>
      <family val="2"/>
      <scheme val="minor"/>
    </font>
    <font>
      <sz val="11"/>
      <color rgb="FF000000"/>
      <name val="Aptos Narrow"/>
      <family val="2"/>
    </font>
    <font>
      <sz val="11"/>
      <color rgb="FF000000"/>
      <name val="Meiryo UI"/>
      <family val="3"/>
    </font>
    <font>
      <sz val="11"/>
      <color theme="1"/>
      <name val="Meiryo UI"/>
      <family val="3"/>
    </font>
  </fonts>
  <fills count="16">
    <fill>
      <patternFill patternType="none"/>
    </fill>
    <fill>
      <patternFill patternType="gray125"/>
    </fill>
    <fill>
      <patternFill patternType="solid">
        <fgColor rgb="FFF8CBAD"/>
        <bgColor rgb="FF000000"/>
      </patternFill>
    </fill>
    <fill>
      <patternFill patternType="solid">
        <fgColor rgb="FFD9D9D9"/>
        <bgColor rgb="FF000000"/>
      </patternFill>
    </fill>
    <fill>
      <patternFill patternType="solid">
        <fgColor rgb="FFFFC000"/>
        <bgColor rgb="FF000000"/>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000000"/>
      </patternFill>
    </fill>
    <fill>
      <patternFill patternType="solid">
        <fgColor rgb="FFFFFF00"/>
        <bgColor indexed="64"/>
      </patternFill>
    </fill>
    <fill>
      <patternFill patternType="solid">
        <fgColor rgb="FFFF0000"/>
        <bgColor rgb="FF000000"/>
      </patternFill>
    </fill>
    <fill>
      <patternFill patternType="solid">
        <fgColor theme="2" tint="-9.9978637043366805E-2"/>
        <bgColor indexed="64"/>
      </patternFill>
    </fill>
    <fill>
      <patternFill patternType="solid">
        <fgColor rgb="FFFFFFFF"/>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59999389629810485"/>
        <bgColor indexed="64"/>
      </patternFill>
    </fill>
  </fills>
  <borders count="3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rgb="FF000000"/>
      </left>
      <right style="thin">
        <color rgb="FF000000"/>
      </right>
      <top/>
      <bottom/>
      <diagonal/>
    </border>
    <border>
      <left style="medium">
        <color indexed="64"/>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s>
  <cellStyleXfs count="1">
    <xf numFmtId="0" fontId="0" fillId="0" borderId="0">
      <alignment vertical="center"/>
    </xf>
  </cellStyleXfs>
  <cellXfs count="180">
    <xf numFmtId="0" fontId="0" fillId="0" borderId="0" xfId="0">
      <alignment vertical="center"/>
    </xf>
    <xf numFmtId="0" fontId="2" fillId="0" borderId="0" xfId="0" applyFont="1">
      <alignment vertical="center"/>
    </xf>
    <xf numFmtId="0" fontId="3" fillId="0" borderId="0" xfId="0" applyFont="1">
      <alignment vertical="center"/>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0" borderId="6" xfId="0" applyFont="1" applyBorder="1">
      <alignment vertical="center"/>
    </xf>
    <xf numFmtId="0" fontId="2" fillId="0" borderId="7" xfId="0" applyFont="1" applyBorder="1">
      <alignment vertical="center"/>
    </xf>
    <xf numFmtId="0" fontId="2" fillId="4" borderId="10" xfId="0" applyFont="1" applyFill="1" applyBorder="1">
      <alignment vertical="center"/>
    </xf>
    <xf numFmtId="0" fontId="2" fillId="0" borderId="5" xfId="0" applyFont="1" applyBorder="1">
      <alignment vertical="center"/>
    </xf>
    <xf numFmtId="0" fontId="2" fillId="3" borderId="10" xfId="0" applyFont="1" applyFill="1" applyBorder="1">
      <alignment vertical="center"/>
    </xf>
    <xf numFmtId="0" fontId="2" fillId="0" borderId="14" xfId="0" applyFont="1" applyBorder="1">
      <alignment vertical="center"/>
    </xf>
    <xf numFmtId="0" fontId="2" fillId="0" borderId="15" xfId="0" applyFont="1" applyBorder="1">
      <alignment vertical="center"/>
    </xf>
    <xf numFmtId="0" fontId="2" fillId="0" borderId="16" xfId="0" applyFont="1" applyBorder="1">
      <alignment vertical="center"/>
    </xf>
    <xf numFmtId="0" fontId="2" fillId="0" borderId="12" xfId="0" applyFont="1" applyBorder="1">
      <alignment vertical="center"/>
    </xf>
    <xf numFmtId="0" fontId="2" fillId="0" borderId="0" xfId="0" applyFont="1" applyAlignment="1">
      <alignment horizontal="center" vertical="center"/>
    </xf>
    <xf numFmtId="0" fontId="2" fillId="0" borderId="16" xfId="0" applyFont="1" applyBorder="1" applyAlignment="1">
      <alignment horizontal="center" vertical="center"/>
    </xf>
    <xf numFmtId="0" fontId="2" fillId="2" borderId="2"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4" borderId="10" xfId="0" applyFont="1" applyFill="1" applyBorder="1" applyAlignment="1">
      <alignment horizontal="center" vertical="center"/>
    </xf>
    <xf numFmtId="0" fontId="0" fillId="0" borderId="0" xfId="0" applyAlignment="1">
      <alignment horizontal="center" vertical="center"/>
    </xf>
    <xf numFmtId="56" fontId="0" fillId="0" borderId="0" xfId="0" applyNumberFormat="1" applyAlignment="1">
      <alignment horizontal="center" vertical="center"/>
    </xf>
    <xf numFmtId="0" fontId="2" fillId="2" borderId="0" xfId="0" applyFont="1" applyFill="1" applyAlignment="1">
      <alignment vertical="center" wrapText="1"/>
    </xf>
    <xf numFmtId="0" fontId="2" fillId="4" borderId="0" xfId="0" applyFont="1" applyFill="1">
      <alignment vertical="center"/>
    </xf>
    <xf numFmtId="0" fontId="2" fillId="0" borderId="17" xfId="0" applyFont="1" applyBorder="1">
      <alignment vertical="center"/>
    </xf>
    <xf numFmtId="0" fontId="2" fillId="0" borderId="18" xfId="0" applyFont="1" applyBorder="1">
      <alignment vertical="center"/>
    </xf>
    <xf numFmtId="0" fontId="2" fillId="4" borderId="8" xfId="0" applyFont="1" applyFill="1" applyBorder="1">
      <alignment vertical="center"/>
    </xf>
    <xf numFmtId="0" fontId="2" fillId="0" borderId="19" xfId="0" applyFont="1" applyBorder="1">
      <alignment vertical="center"/>
    </xf>
    <xf numFmtId="0" fontId="2" fillId="0" borderId="20" xfId="0" applyFont="1" applyBorder="1">
      <alignment vertical="center"/>
    </xf>
    <xf numFmtId="0" fontId="2" fillId="4" borderId="21" xfId="0" applyFont="1" applyFill="1" applyBorder="1">
      <alignment vertical="center"/>
    </xf>
    <xf numFmtId="0" fontId="2" fillId="0" borderId="22" xfId="0" applyFont="1" applyBorder="1">
      <alignment vertical="center"/>
    </xf>
    <xf numFmtId="0" fontId="2" fillId="2" borderId="23" xfId="0" applyFont="1" applyFill="1" applyBorder="1" applyAlignment="1">
      <alignment vertical="center" wrapText="1"/>
    </xf>
    <xf numFmtId="0" fontId="2" fillId="2" borderId="24" xfId="0" applyFont="1" applyFill="1" applyBorder="1" applyAlignment="1">
      <alignment vertical="center" wrapText="1"/>
    </xf>
    <xf numFmtId="0" fontId="2" fillId="0" borderId="7" xfId="0" applyFont="1" applyBorder="1" applyAlignment="1">
      <alignment vertical="center" wrapText="1"/>
    </xf>
    <xf numFmtId="0" fontId="4" fillId="2" borderId="2" xfId="0" applyFont="1" applyFill="1" applyBorder="1" applyAlignment="1">
      <alignment vertical="center" wrapText="1"/>
    </xf>
    <xf numFmtId="0" fontId="2" fillId="6" borderId="7" xfId="0" applyFont="1" applyFill="1" applyBorder="1" applyAlignment="1">
      <alignment vertical="center" wrapText="1"/>
    </xf>
    <xf numFmtId="0" fontId="2" fillId="7" borderId="7" xfId="0" applyFont="1" applyFill="1" applyBorder="1" applyAlignment="1">
      <alignment horizontal="center" vertical="center" wrapText="1"/>
    </xf>
    <xf numFmtId="0" fontId="2" fillId="8" borderId="7" xfId="0" applyFont="1" applyFill="1" applyBorder="1">
      <alignment vertical="center"/>
    </xf>
    <xf numFmtId="0" fontId="2" fillId="8" borderId="6" xfId="0" applyFont="1" applyFill="1" applyBorder="1">
      <alignment vertical="center"/>
    </xf>
    <xf numFmtId="0" fontId="2" fillId="5" borderId="12" xfId="0" applyFont="1" applyFill="1" applyBorder="1">
      <alignment vertical="center"/>
    </xf>
    <xf numFmtId="0" fontId="2" fillId="5" borderId="7" xfId="0" applyFont="1" applyFill="1" applyBorder="1">
      <alignment vertical="center"/>
    </xf>
    <xf numFmtId="0" fontId="2" fillId="5" borderId="6" xfId="0" applyFont="1" applyFill="1" applyBorder="1">
      <alignment vertical="center"/>
    </xf>
    <xf numFmtId="0" fontId="2" fillId="5" borderId="5" xfId="0" applyFont="1" applyFill="1" applyBorder="1">
      <alignment vertical="center"/>
    </xf>
    <xf numFmtId="0" fontId="5" fillId="8" borderId="7" xfId="0" applyFont="1" applyFill="1" applyBorder="1">
      <alignment vertical="center"/>
    </xf>
    <xf numFmtId="0" fontId="6" fillId="9" borderId="2" xfId="0" applyFont="1" applyFill="1" applyBorder="1" applyAlignment="1">
      <alignment vertical="center" wrapText="1"/>
    </xf>
    <xf numFmtId="0" fontId="7" fillId="8" borderId="7" xfId="0" applyFont="1" applyFill="1" applyBorder="1">
      <alignment vertical="center"/>
    </xf>
    <xf numFmtId="0" fontId="9" fillId="8" borderId="6" xfId="0" applyFont="1" applyFill="1" applyBorder="1">
      <alignment vertical="center"/>
    </xf>
    <xf numFmtId="0" fontId="9" fillId="8" borderId="7" xfId="0" applyFont="1" applyFill="1" applyBorder="1">
      <alignment vertical="center"/>
    </xf>
    <xf numFmtId="0" fontId="9" fillId="5" borderId="7" xfId="0" applyFont="1" applyFill="1" applyBorder="1">
      <alignment vertical="center"/>
    </xf>
    <xf numFmtId="0" fontId="10" fillId="0" borderId="0" xfId="0" applyFont="1">
      <alignment vertical="center"/>
    </xf>
    <xf numFmtId="0" fontId="5" fillId="0" borderId="12" xfId="0" applyFont="1" applyBorder="1">
      <alignment vertical="center"/>
    </xf>
    <xf numFmtId="0" fontId="5" fillId="0" borderId="7" xfId="0" applyFont="1" applyBorder="1">
      <alignment vertical="center"/>
    </xf>
    <xf numFmtId="0" fontId="5" fillId="3" borderId="9" xfId="0" applyFont="1" applyFill="1" applyBorder="1">
      <alignment vertical="center"/>
    </xf>
    <xf numFmtId="0" fontId="5" fillId="0" borderId="6" xfId="0" applyFont="1" applyBorder="1">
      <alignment vertical="center"/>
    </xf>
    <xf numFmtId="0" fontId="5" fillId="3" borderId="13" xfId="0" applyFont="1" applyFill="1" applyBorder="1">
      <alignment vertical="center"/>
    </xf>
    <xf numFmtId="0" fontId="5" fillId="5" borderId="12" xfId="0" applyFont="1" applyFill="1" applyBorder="1">
      <alignment vertical="center"/>
    </xf>
    <xf numFmtId="0" fontId="5" fillId="5" borderId="7" xfId="0" applyFont="1" applyFill="1" applyBorder="1">
      <alignment vertical="center"/>
    </xf>
    <xf numFmtId="0" fontId="5" fillId="5" borderId="6" xfId="0" applyFont="1" applyFill="1" applyBorder="1">
      <alignment vertical="center"/>
    </xf>
    <xf numFmtId="0" fontId="5" fillId="8" borderId="6" xfId="0" applyFont="1" applyFill="1" applyBorder="1">
      <alignment vertical="center"/>
    </xf>
    <xf numFmtId="0" fontId="7" fillId="0" borderId="12" xfId="0" applyFont="1" applyBorder="1" applyAlignment="1">
      <alignment horizontal="right" vertical="center"/>
    </xf>
    <xf numFmtId="0" fontId="8" fillId="0" borderId="12" xfId="0" applyFont="1" applyBorder="1" applyAlignment="1">
      <alignment horizontal="right" vertical="center"/>
    </xf>
    <xf numFmtId="0" fontId="13" fillId="0" borderId="7" xfId="0" applyFont="1" applyBorder="1" applyAlignment="1">
      <alignment vertical="center" wrapText="1"/>
    </xf>
    <xf numFmtId="0" fontId="13" fillId="0" borderId="6" xfId="0" applyFont="1" applyBorder="1">
      <alignment vertical="center"/>
    </xf>
    <xf numFmtId="0" fontId="13" fillId="0" borderId="7" xfId="0" applyFont="1" applyBorder="1">
      <alignment vertical="center"/>
    </xf>
    <xf numFmtId="0" fontId="13" fillId="0" borderId="12" xfId="0" applyFont="1" applyBorder="1">
      <alignment vertical="center"/>
    </xf>
    <xf numFmtId="0" fontId="2" fillId="10" borderId="6" xfId="0" applyFont="1" applyFill="1" applyBorder="1">
      <alignment vertical="center"/>
    </xf>
    <xf numFmtId="0" fontId="2" fillId="10" borderId="19" xfId="0" applyFont="1" applyFill="1" applyBorder="1">
      <alignment vertical="center"/>
    </xf>
    <xf numFmtId="0" fontId="2" fillId="10" borderId="22" xfId="0" applyFont="1" applyFill="1" applyBorder="1">
      <alignment vertical="center"/>
    </xf>
    <xf numFmtId="0" fontId="2" fillId="10" borderId="7" xfId="0" applyFont="1" applyFill="1" applyBorder="1">
      <alignment vertical="center"/>
    </xf>
    <xf numFmtId="0" fontId="2" fillId="10" borderId="20" xfId="0" applyFont="1" applyFill="1" applyBorder="1">
      <alignment vertical="center"/>
    </xf>
    <xf numFmtId="0" fontId="2" fillId="10" borderId="17" xfId="0" applyFont="1" applyFill="1" applyBorder="1">
      <alignment vertical="center"/>
    </xf>
    <xf numFmtId="0" fontId="2" fillId="10" borderId="10" xfId="0" applyFont="1" applyFill="1" applyBorder="1">
      <alignment vertical="center"/>
    </xf>
    <xf numFmtId="0" fontId="2" fillId="10" borderId="8" xfId="0" applyFont="1" applyFill="1" applyBorder="1">
      <alignment vertical="center"/>
    </xf>
    <xf numFmtId="0" fontId="2" fillId="10" borderId="21" xfId="0" applyFont="1" applyFill="1" applyBorder="1">
      <alignment vertical="center"/>
    </xf>
    <xf numFmtId="0" fontId="2" fillId="8" borderId="0" xfId="0" applyFont="1" applyFill="1">
      <alignment vertical="center"/>
    </xf>
    <xf numFmtId="0" fontId="4" fillId="0" borderId="7" xfId="0" applyFont="1" applyBorder="1">
      <alignment vertical="center"/>
    </xf>
    <xf numFmtId="0" fontId="2" fillId="0" borderId="0" xfId="0" applyFont="1" applyAlignment="1">
      <alignment vertical="center" wrapText="1"/>
    </xf>
    <xf numFmtId="0" fontId="2" fillId="3" borderId="7" xfId="0" applyFont="1" applyFill="1" applyBorder="1">
      <alignment vertical="center"/>
    </xf>
    <xf numFmtId="0" fontId="2" fillId="4" borderId="7" xfId="0" applyFont="1" applyFill="1" applyBorder="1">
      <alignment vertical="center"/>
    </xf>
    <xf numFmtId="0" fontId="0" fillId="0" borderId="7" xfId="0" applyBorder="1">
      <alignment vertical="center"/>
    </xf>
    <xf numFmtId="0" fontId="5" fillId="3" borderId="7" xfId="0" applyFont="1" applyFill="1" applyBorder="1">
      <alignment vertical="center"/>
    </xf>
    <xf numFmtId="0" fontId="7" fillId="0" borderId="7" xfId="0" applyFont="1" applyBorder="1" applyAlignment="1">
      <alignment horizontal="right" vertical="center"/>
    </xf>
    <xf numFmtId="0" fontId="8" fillId="0" borderId="7" xfId="0" applyFont="1" applyBorder="1" applyAlignment="1">
      <alignment horizontal="right" vertical="center"/>
    </xf>
    <xf numFmtId="0" fontId="14" fillId="0" borderId="7" xfId="0" applyFont="1" applyBorder="1">
      <alignment vertical="center"/>
    </xf>
    <xf numFmtId="0" fontId="2" fillId="6" borderId="7" xfId="0" applyFont="1" applyFill="1" applyBorder="1">
      <alignment vertical="center"/>
    </xf>
    <xf numFmtId="0" fontId="13" fillId="6" borderId="7" xfId="0" applyFont="1" applyFill="1" applyBorder="1">
      <alignment vertical="center"/>
    </xf>
    <xf numFmtId="0" fontId="5" fillId="6" borderId="7" xfId="0" applyFont="1" applyFill="1" applyBorder="1">
      <alignment vertical="center"/>
    </xf>
    <xf numFmtId="0" fontId="13" fillId="8" borderId="7" xfId="0" applyFont="1" applyFill="1" applyBorder="1">
      <alignment vertical="center"/>
    </xf>
    <xf numFmtId="0" fontId="2" fillId="8" borderId="7" xfId="0" applyFont="1" applyFill="1" applyBorder="1" applyAlignment="1">
      <alignment horizontal="center" vertical="center"/>
    </xf>
    <xf numFmtId="0" fontId="2" fillId="8" borderId="1" xfId="0" applyFont="1" applyFill="1" applyBorder="1" applyAlignment="1">
      <alignment horizontal="center" vertical="center"/>
    </xf>
    <xf numFmtId="0" fontId="15" fillId="0" borderId="7" xfId="0" applyFont="1" applyBorder="1">
      <alignment vertical="center"/>
    </xf>
    <xf numFmtId="0" fontId="13" fillId="6" borderId="7" xfId="0" applyFont="1" applyFill="1" applyBorder="1" applyAlignment="1">
      <alignment vertical="center" wrapText="1"/>
    </xf>
    <xf numFmtId="0" fontId="13" fillId="8" borderId="7" xfId="0" applyFont="1" applyFill="1" applyBorder="1" applyAlignment="1">
      <alignment vertical="center" wrapText="1"/>
    </xf>
    <xf numFmtId="0" fontId="2" fillId="8" borderId="12" xfId="0" applyFont="1" applyFill="1" applyBorder="1" applyAlignment="1">
      <alignment horizontal="center" vertical="center"/>
    </xf>
    <xf numFmtId="0" fontId="0" fillId="8" borderId="7" xfId="0" applyFill="1" applyBorder="1">
      <alignment vertical="center"/>
    </xf>
    <xf numFmtId="0" fontId="0" fillId="0" borderId="17" xfId="0" applyBorder="1">
      <alignment vertical="center"/>
    </xf>
    <xf numFmtId="0" fontId="2" fillId="0" borderId="26" xfId="0" applyFont="1" applyBorder="1">
      <alignment vertical="center"/>
    </xf>
    <xf numFmtId="0" fontId="5" fillId="11" borderId="7" xfId="0" applyFont="1" applyFill="1" applyBorder="1">
      <alignment vertical="center"/>
    </xf>
    <xf numFmtId="0" fontId="5" fillId="8" borderId="12" xfId="0" applyFont="1" applyFill="1" applyBorder="1">
      <alignment vertical="center"/>
    </xf>
    <xf numFmtId="0" fontId="5" fillId="10" borderId="7" xfId="0" applyFont="1" applyFill="1" applyBorder="1">
      <alignment vertical="center"/>
    </xf>
    <xf numFmtId="0" fontId="13" fillId="10" borderId="7" xfId="0" applyFont="1" applyFill="1" applyBorder="1">
      <alignment vertical="center"/>
    </xf>
    <xf numFmtId="0" fontId="2" fillId="12" borderId="7" xfId="0" applyFont="1" applyFill="1" applyBorder="1">
      <alignment vertical="center"/>
    </xf>
    <xf numFmtId="0" fontId="16" fillId="0" borderId="7" xfId="0" applyFont="1" applyBorder="1">
      <alignment vertical="center"/>
    </xf>
    <xf numFmtId="0" fontId="17" fillId="0" borderId="7" xfId="0" applyFont="1" applyBorder="1">
      <alignment vertical="center"/>
    </xf>
    <xf numFmtId="0" fontId="5" fillId="8" borderId="20" xfId="0" applyFont="1" applyFill="1" applyBorder="1">
      <alignment vertical="center"/>
    </xf>
    <xf numFmtId="0" fontId="2" fillId="0" borderId="1" xfId="0" applyFont="1" applyBorder="1">
      <alignment vertical="center"/>
    </xf>
    <xf numFmtId="0" fontId="5" fillId="8" borderId="27" xfId="0" applyFont="1" applyFill="1" applyBorder="1">
      <alignment vertical="center"/>
    </xf>
    <xf numFmtId="0" fontId="0" fillId="0" borderId="22" xfId="0" applyBorder="1">
      <alignment vertical="center"/>
    </xf>
    <xf numFmtId="0" fontId="2" fillId="0" borderId="28" xfId="0" applyFont="1" applyBorder="1">
      <alignment vertical="center"/>
    </xf>
    <xf numFmtId="3" fontId="2" fillId="0" borderId="7" xfId="0" applyNumberFormat="1" applyFont="1" applyBorder="1">
      <alignment vertical="center"/>
    </xf>
    <xf numFmtId="3" fontId="5" fillId="8" borderId="7" xfId="0" applyNumberFormat="1" applyFont="1" applyFill="1" applyBorder="1">
      <alignment vertical="center"/>
    </xf>
    <xf numFmtId="0" fontId="5" fillId="8" borderId="1" xfId="0" applyFont="1" applyFill="1" applyBorder="1">
      <alignment vertical="center"/>
    </xf>
    <xf numFmtId="0" fontId="13" fillId="8" borderId="17" xfId="0" applyFont="1" applyFill="1" applyBorder="1">
      <alignment vertical="center"/>
    </xf>
    <xf numFmtId="0" fontId="13" fillId="8" borderId="20" xfId="0" applyFont="1" applyFill="1" applyBorder="1">
      <alignment vertical="center"/>
    </xf>
    <xf numFmtId="0" fontId="13" fillId="8" borderId="1" xfId="0" applyFont="1" applyFill="1" applyBorder="1">
      <alignment vertical="center"/>
    </xf>
    <xf numFmtId="0" fontId="13" fillId="8" borderId="29" xfId="0" applyFont="1" applyFill="1" applyBorder="1">
      <alignment vertical="center"/>
    </xf>
    <xf numFmtId="0" fontId="2" fillId="8" borderId="1" xfId="0" applyFont="1" applyFill="1" applyBorder="1">
      <alignment vertical="center"/>
    </xf>
    <xf numFmtId="0" fontId="18" fillId="4" borderId="7" xfId="0" applyFont="1" applyFill="1" applyBorder="1">
      <alignment vertical="center"/>
    </xf>
    <xf numFmtId="0" fontId="18" fillId="0" borderId="7" xfId="0" applyFont="1" applyBorder="1">
      <alignment vertical="center"/>
    </xf>
    <xf numFmtId="0" fontId="18" fillId="8" borderId="7" xfId="0" applyFont="1" applyFill="1" applyBorder="1">
      <alignment vertical="center"/>
    </xf>
    <xf numFmtId="0" fontId="18" fillId="12" borderId="7" xfId="0" applyFont="1" applyFill="1" applyBorder="1">
      <alignment vertical="center"/>
    </xf>
    <xf numFmtId="0" fontId="18" fillId="10" borderId="7" xfId="0" applyFont="1" applyFill="1" applyBorder="1">
      <alignment vertical="center"/>
    </xf>
    <xf numFmtId="0" fontId="2" fillId="13" borderId="7" xfId="0" applyFont="1" applyFill="1" applyBorder="1" applyAlignment="1">
      <alignment vertical="center" wrapText="1"/>
    </xf>
    <xf numFmtId="0" fontId="18" fillId="13" borderId="7" xfId="0" applyFont="1" applyFill="1" applyBorder="1" applyAlignment="1">
      <alignment vertical="center" wrapText="1"/>
    </xf>
    <xf numFmtId="0" fontId="0" fillId="14" borderId="0" xfId="0" applyFill="1" applyAlignment="1">
      <alignment horizontal="center" vertical="center"/>
    </xf>
    <xf numFmtId="0" fontId="18" fillId="14" borderId="7" xfId="0" applyFont="1" applyFill="1" applyBorder="1" applyAlignment="1">
      <alignment vertical="center" wrapText="1"/>
    </xf>
    <xf numFmtId="0" fontId="2" fillId="14" borderId="1" xfId="0" applyFont="1" applyFill="1" applyBorder="1" applyAlignment="1">
      <alignment vertical="center" wrapText="1"/>
    </xf>
    <xf numFmtId="0" fontId="2" fillId="14" borderId="7" xfId="0" applyFont="1" applyFill="1" applyBorder="1" applyAlignment="1">
      <alignment vertical="center" wrapText="1"/>
    </xf>
    <xf numFmtId="0" fontId="6" fillId="14" borderId="7" xfId="0" applyFont="1" applyFill="1" applyBorder="1" applyAlignment="1">
      <alignment vertical="center" wrapText="1"/>
    </xf>
    <xf numFmtId="0" fontId="4" fillId="14" borderId="7" xfId="0" applyFont="1" applyFill="1" applyBorder="1" applyAlignment="1">
      <alignment vertical="center" wrapText="1"/>
    </xf>
    <xf numFmtId="0" fontId="18" fillId="15" borderId="7" xfId="0" applyFont="1" applyFill="1" applyBorder="1">
      <alignment vertical="center"/>
    </xf>
    <xf numFmtId="0" fontId="2" fillId="15" borderId="7" xfId="0" applyFont="1" applyFill="1" applyBorder="1">
      <alignment vertical="center"/>
    </xf>
    <xf numFmtId="0" fontId="19" fillId="10" borderId="7" xfId="0" applyFont="1" applyFill="1" applyBorder="1">
      <alignment vertical="center"/>
    </xf>
    <xf numFmtId="3" fontId="18" fillId="0" borderId="7" xfId="0" applyNumberFormat="1" applyFont="1" applyBorder="1">
      <alignment vertical="center"/>
    </xf>
    <xf numFmtId="0" fontId="18" fillId="15" borderId="7" xfId="0" applyFont="1" applyFill="1" applyBorder="1" applyAlignment="1">
      <alignment vertical="center" wrapText="1"/>
    </xf>
    <xf numFmtId="176" fontId="5" fillId="8" borderId="7" xfId="0" applyNumberFormat="1" applyFont="1" applyFill="1" applyBorder="1">
      <alignment vertical="center"/>
    </xf>
    <xf numFmtId="177" fontId="5" fillId="8" borderId="7" xfId="0" applyNumberFormat="1" applyFont="1" applyFill="1" applyBorder="1">
      <alignment vertical="center"/>
    </xf>
    <xf numFmtId="176" fontId="13" fillId="8" borderId="7" xfId="0" applyNumberFormat="1" applyFont="1" applyFill="1" applyBorder="1">
      <alignment vertical="center"/>
    </xf>
    <xf numFmtId="0" fontId="2" fillId="0" borderId="11" xfId="0" applyFont="1" applyBorder="1" applyAlignment="1">
      <alignment horizontal="center" vertical="center" wrapText="1"/>
    </xf>
    <xf numFmtId="0" fontId="5" fillId="8" borderId="17" xfId="0" applyFont="1" applyFill="1" applyBorder="1">
      <alignment vertical="center"/>
    </xf>
    <xf numFmtId="0" fontId="18" fillId="10" borderId="1" xfId="0" applyFont="1" applyFill="1" applyBorder="1">
      <alignment vertical="center"/>
    </xf>
    <xf numFmtId="0" fontId="18" fillId="15" borderId="12" xfId="0" applyFont="1" applyFill="1" applyBorder="1">
      <alignment vertical="center"/>
    </xf>
    <xf numFmtId="0" fontId="2" fillId="8" borderId="17" xfId="0" applyFont="1" applyFill="1" applyBorder="1">
      <alignment vertical="center"/>
    </xf>
    <xf numFmtId="0" fontId="18" fillId="8" borderId="30" xfId="0" applyFont="1" applyFill="1" applyBorder="1">
      <alignment vertical="center"/>
    </xf>
    <xf numFmtId="0" fontId="2" fillId="10" borderId="1" xfId="0" applyFont="1" applyFill="1" applyBorder="1">
      <alignment vertical="center"/>
    </xf>
    <xf numFmtId="0" fontId="5" fillId="8" borderId="30" xfId="0" applyFont="1" applyFill="1" applyBorder="1">
      <alignment vertical="center"/>
    </xf>
    <xf numFmtId="0" fontId="5" fillId="8" borderId="22" xfId="0" applyFont="1" applyFill="1" applyBorder="1">
      <alignment vertical="center"/>
    </xf>
    <xf numFmtId="0" fontId="2" fillId="0" borderId="27" xfId="0" applyFont="1" applyBorder="1">
      <alignment vertical="center"/>
    </xf>
    <xf numFmtId="0" fontId="5" fillId="8" borderId="24" xfId="0" applyFont="1" applyFill="1" applyBorder="1">
      <alignment vertical="center"/>
    </xf>
    <xf numFmtId="0" fontId="2" fillId="0" borderId="31" xfId="0" applyFont="1" applyBorder="1">
      <alignment vertical="center"/>
    </xf>
    <xf numFmtId="0" fontId="2" fillId="0" borderId="2" xfId="0" applyFont="1" applyBorder="1">
      <alignment vertical="center"/>
    </xf>
    <xf numFmtId="0" fontId="13" fillId="0" borderId="0" xfId="0" applyFont="1">
      <alignment vertical="center"/>
    </xf>
    <xf numFmtId="0" fontId="2" fillId="3" borderId="8" xfId="0" applyFont="1" applyFill="1" applyBorder="1">
      <alignment vertical="center"/>
    </xf>
    <xf numFmtId="0" fontId="2" fillId="3" borderId="9" xfId="0" applyFont="1" applyFill="1" applyBorder="1">
      <alignment vertical="center"/>
    </xf>
    <xf numFmtId="0" fontId="2" fillId="3" borderId="13" xfId="0" applyFont="1" applyFill="1" applyBorder="1">
      <alignment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12"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12"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3" borderId="8" xfId="0" applyFont="1" applyFill="1" applyBorder="1">
      <alignment vertical="center"/>
    </xf>
    <xf numFmtId="0" fontId="2" fillId="3" borderId="9" xfId="0" applyFont="1" applyFill="1" applyBorder="1">
      <alignment vertical="center"/>
    </xf>
    <xf numFmtId="0" fontId="2" fillId="0" borderId="11" xfId="0" applyFont="1" applyBorder="1" applyAlignment="1">
      <alignment vertical="center" wrapText="1"/>
    </xf>
    <xf numFmtId="0" fontId="2" fillId="3" borderId="13" xfId="0" applyFont="1" applyFill="1" applyBorder="1">
      <alignment vertical="center"/>
    </xf>
    <xf numFmtId="0" fontId="2" fillId="8" borderId="7" xfId="0" applyFont="1" applyFill="1" applyBorder="1" applyAlignment="1">
      <alignment horizontal="left" vertical="center"/>
    </xf>
    <xf numFmtId="0" fontId="2" fillId="8" borderId="1" xfId="0" applyFont="1" applyFill="1" applyBorder="1" applyAlignment="1">
      <alignment horizontal="left" vertical="center"/>
    </xf>
    <xf numFmtId="0" fontId="2" fillId="8" borderId="2" xfId="0" applyFont="1" applyFill="1" applyBorder="1" applyAlignment="1">
      <alignment horizontal="left" vertical="center"/>
    </xf>
    <xf numFmtId="0" fontId="2" fillId="8" borderId="12" xfId="0" applyFont="1"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182632</xdr:colOff>
      <xdr:row>65</xdr:row>
      <xdr:rowOff>217695</xdr:rowOff>
    </xdr:from>
    <xdr:to>
      <xdr:col>0</xdr:col>
      <xdr:colOff>1159564</xdr:colOff>
      <xdr:row>73</xdr:row>
      <xdr:rowOff>0</xdr:rowOff>
    </xdr:to>
    <xdr:sp macro="" textlink="">
      <xdr:nvSpPr>
        <xdr:cNvPr id="2" name="四角形: 角を丸くする 1">
          <a:extLst>
            <a:ext uri="{FF2B5EF4-FFF2-40B4-BE49-F238E27FC236}">
              <a16:creationId xmlns:a16="http://schemas.microsoft.com/office/drawing/2014/main" id="{233F0486-9E01-C123-84AE-E3A06BEF7836}"/>
            </a:ext>
          </a:extLst>
        </xdr:cNvPr>
        <xdr:cNvSpPr/>
      </xdr:nvSpPr>
      <xdr:spPr>
        <a:xfrm>
          <a:off x="182632" y="11261173"/>
          <a:ext cx="976932" cy="1659697"/>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t>当ファイルの行の追加・削除は本部に相談！</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182632</xdr:colOff>
      <xdr:row>1</xdr:row>
      <xdr:rowOff>217695</xdr:rowOff>
    </xdr:from>
    <xdr:to>
      <xdr:col>0</xdr:col>
      <xdr:colOff>1159564</xdr:colOff>
      <xdr:row>10</xdr:row>
      <xdr:rowOff>0</xdr:rowOff>
    </xdr:to>
    <xdr:sp macro="" textlink="">
      <xdr:nvSpPr>
        <xdr:cNvPr id="2" name="四角形: 角を丸くする 1">
          <a:extLst>
            <a:ext uri="{FF2B5EF4-FFF2-40B4-BE49-F238E27FC236}">
              <a16:creationId xmlns:a16="http://schemas.microsoft.com/office/drawing/2014/main" id="{502B01C5-1BF9-43A6-84E5-67695EE66905}"/>
            </a:ext>
          </a:extLst>
        </xdr:cNvPr>
        <xdr:cNvSpPr/>
      </xdr:nvSpPr>
      <xdr:spPr>
        <a:xfrm>
          <a:off x="182632" y="11066670"/>
          <a:ext cx="976932" cy="168730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t>当ファイルの行の追加・削除は本部に相談！</a:t>
          </a:r>
        </a:p>
      </xdr:txBody>
    </xdr:sp>
    <xdr:clientData/>
  </xdr:twoCellAnchor>
</xdr:wsDr>
</file>

<file path=xl/persons/person.xml><?xml version="1.0" encoding="utf-8"?>
<personList xmlns="http://schemas.microsoft.com/office/spreadsheetml/2018/threadedcomments" xmlns:x="http://schemas.openxmlformats.org/spreadsheetml/2006/main">
  <person displayName="若林　あや" id="{E3145A97-371F-4D4F-9D6B-DACFB90CBC0D}" userId="" providerId=""/>
  <person displayName="神吉　まあや" id="{5F05E8B4-D9E9-45A9-85C3-032F03896975}" userId="" providerId=""/>
  <person displayName="神吉 まあや (Kanki, Maaya)" id="{02D4EC63-26F9-4136-98DA-0D916E414A51}" userId="S::m-kanki@onward.co.jp::323b030d-3703-43a0-ab5a-3f93c9881e61"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F75" dT="2025-09-28T21:56:41.36" personId="{02D4EC63-26F9-4136-98DA-0D916E414A51}" id="{CC13FC15-AC42-4423-9F19-D4BB8CE97213}">
    <text>FLUED、Basic制作</text>
  </threadedComment>
  <threadedComment ref="AM125" dT="2026-02-06T01:18:50.46" personId="{E3145A97-371F-4D4F-9D6B-DACFB90CBC0D}" id="{E01FF4E5-AE9A-4DD8-B896-5B40EEDDDB92}">
    <text>内製が入ってしまっているので、合っています。</text>
  </threadedComment>
  <threadedComment ref="AH127" dT="2026-02-06T01:31:26.92" personId="{E3145A97-371F-4D4F-9D6B-DACFB90CBC0D}" id="{3C7DF13A-F640-4C77-87C8-91303D3A0FC7}">
    <text>No17（A/B）は施策表と合わせて1本でカウント</text>
  </threadedComment>
  <threadedComment ref="AH127" dT="2026-02-06T02:38:46.02" personId="{5F05E8B4-D9E9-45A9-85C3-032F03896975}" id="{103ABAE1-A0DD-40FF-AAF0-49D48AEBD457}" parentId="{3C7DF13A-F640-4C77-87C8-91303D3A0FC7}">
    <text>ご認識の通りです。</text>
  </threadedComment>
  <threadedComment ref="AO129" dT="2026-01-14T02:23:23.42" personId="{5F05E8B4-D9E9-45A9-85C3-032F03896975}" id="{A3D1591F-C74D-4FA8-BCA3-E7452555229A}">
    <text>修正済み。
FLUEDの完全未着手は2月納品分2本が残っています。着手済みはNo.22,23の2本です。</text>
  </threadedComment>
  <threadedComment ref="AO129" dT="2026-02-06T03:30:10.53" personId="{E3145A97-371F-4D4F-9D6B-DACFB90CBC0D}" id="{74652AE4-B4F4-47D6-A8C2-42EC74E1CC7F}" parentId="{A3D1591F-C74D-4FA8-BCA3-E7452555229A}">
    <text>施策表でNo.27,28が進行中なのでココはゼロにします</text>
  </threadedComment>
  <threadedComment ref="AD131" dT="2025-10-08T03:15:11.67" personId="{5F05E8B4-D9E9-45A9-85C3-032F03896975}" id="{F6DDFABA-6861-46D7-BD63-4B4224EA8A15}">
    <text>コンペとしてBasic制作</text>
  </threadedComment>
  <threadedComment ref="AE131" dT="2025-10-08T03:15:30.61" personId="{5F05E8B4-D9E9-45A9-85C3-032F03896975}" id="{AEA24A3B-F78D-4CA8-8F06-2A037542C945}">
    <text>コンペとしてFLUED作成</text>
  </threadedComment>
  <threadedComment ref="AI136" dT="2026-01-14T02:21:05.81" personId="{5F05E8B4-D9E9-45A9-85C3-032F03896975}" id="{9B9895F2-2AD4-4B54-B1F3-0C27F17D0FA4}" done="1">
    <text>完全未着手（2月納品分）の1本が残っているはずです。この配信済みの1本はFLDではない可能性が高いです。</text>
  </threadedComment>
  <threadedComment ref="AI136" dT="2026-01-14T05:07:39.80" personId="{E3145A97-371F-4D4F-9D6B-DACFB90CBC0D}" id="{D1ED77E4-F1EC-4F76-BAB1-985CE8B147CF}" parentId="{9B9895F2-2AD4-4B54-B1F3-0C27F17D0FA4}">
    <text>ゼロに変更いたしました。</text>
  </threadedComment>
  <threadedComment ref="AP136" dT="2025-12-22T06:51:36.02" personId="{5F05E8B4-D9E9-45A9-85C3-032F03896975}" id="{9C063151-EBF0-4C9D-BE23-FCFFA1E852C7}">
    <text>FLDコンテンツ制作予定数
コラム
UN:12(1),2(1)
SCH:11(1),12(1),2(1)
MED:12(1),2(1)
IS:12(1),2(1)
メルマガ
UN:11(1),12(1),2(1)
SCH:11(1),12(1),2(1)
MED:11(2),12(2),2(1)
IS:12(2),2(2)</text>
  </threadedComment>
  <threadedComment ref="AI137" dT="2026-02-06T02:47:00.70" personId="{5F05E8B4-D9E9-45A9-85C3-032F03896975}" id="{85087DB0-C16F-420B-AF11-EDFA0BD1E33B}" done="1">
    <text>2本の内訳を教えてください。（HS上では1本に見えます…）</text>
  </threadedComment>
  <threadedComment ref="AI137" dT="2026-02-06T03:10:09.11" personId="{E3145A97-371F-4D4F-9D6B-DACFB90CBC0D}" id="{76A920C0-5795-4288-BDF5-6624ADDD9BD7}" parentId="{85087DB0-C16F-420B-AF11-EDFA0BD1E33B}">
    <text>内製メルマガNo.24
内製メルマガNo.23
合計2本
上記は異なりますでしょうか？</text>
  </threadedComment>
  <threadedComment ref="AI137" dT="2026-02-06T04:30:57.91" personId="{5F05E8B4-D9E9-45A9-85C3-032F03896975}" id="{24D351DC-6056-459F-B3FD-EF53D238985D}" parentId="{85087DB0-C16F-420B-AF11-EDFA0BD1E33B}">
    <text>失礼しました、合っておりました！</text>
  </threadedComment>
  <threadedComment ref="AI159" dT="2026-02-06T02:47:36.35" personId="{5F05E8B4-D9E9-45A9-85C3-032F03896975}" id="{A081E34B-56D4-4037-81FC-3DA69EFAFBC0}" done="1">
    <text>若林さんが確認してくださった下記だと3では？
※内訳　
ルネサンス：TM
相鉄：FLUIDさんUL
大成建設グループ：FLUIDさんUL
ルピシア：FLUIDさんUL</text>
  </threadedComment>
  <threadedComment ref="AI159" dT="2026-02-06T03:12:52.57" personId="{E3145A97-371F-4D4F-9D6B-DACFB90CBC0D}" id="{7B2EEFA2-E913-4A78-B2B5-25F4DA3DB848}" parentId="{A081E34B-56D4-4037-81FC-3DA69EFAFBC0}">
    <text>失礼しました、３ですね。
変更しました！</text>
  </threadedComment>
</ThreadedComments>
</file>

<file path=xl/threadedComments/threadedComment2.xml><?xml version="1.0" encoding="utf-8"?>
<ThreadedComments xmlns="http://schemas.microsoft.com/office/spreadsheetml/2018/threadedcomments" xmlns:x="http://schemas.openxmlformats.org/spreadsheetml/2006/main">
  <threadedComment ref="T78" dT="2026-03-30T07:22:28.95" personId="{02D4EC63-26F9-4136-98DA-0D916E414A51}" id="{176A6469-D490-497B-B7B5-65D27016976D}">
    <text>シナリオメールは1本を1.75本で計算（4本分を7本で購入しているため）</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A86D-BF02-4E86-8E50-51D9AC2B118B}">
  <dimension ref="A1:AM95"/>
  <sheetViews>
    <sheetView topLeftCell="A33" zoomScale="80" zoomScaleNormal="80" workbookViewId="0">
      <pane xSplit="2" ySplit="3" topLeftCell="C36" activePane="bottomRight" state="frozen"/>
      <selection pane="topRight" activeCell="C33" sqref="C33"/>
      <selection pane="bottomLeft" activeCell="A36" sqref="A36"/>
      <selection pane="bottomRight" activeCell="AQ90" sqref="AQ90"/>
    </sheetView>
  </sheetViews>
  <sheetFormatPr defaultRowHeight="15.75" customHeight="1" x14ac:dyDescent="0.55000000000000004"/>
  <cols>
    <col min="1" max="1" width="24.08203125" customWidth="1"/>
    <col min="33" max="33" width="21.83203125" customWidth="1"/>
    <col min="34" max="34" width="21.25" style="20" customWidth="1"/>
  </cols>
  <sheetData>
    <row r="1" spans="1:34" ht="18" hidden="1" x14ac:dyDescent="0.5500000000000000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4"/>
      <c r="AH1" s="14"/>
    </row>
    <row r="2" spans="1:34" ht="23" hidden="1" x14ac:dyDescent="0.5500000000000000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4"/>
      <c r="AH2" s="14"/>
    </row>
    <row r="3" spans="1:34" ht="18.75" hidden="1" customHeight="1" x14ac:dyDescent="0.55000000000000004">
      <c r="A3" s="1"/>
      <c r="B3" s="1"/>
      <c r="C3" s="1"/>
      <c r="D3" s="1"/>
      <c r="E3" s="1"/>
      <c r="F3" s="1"/>
      <c r="G3" s="11"/>
      <c r="H3" s="1"/>
      <c r="I3" s="1"/>
      <c r="J3" s="1"/>
      <c r="K3" s="1"/>
      <c r="L3" s="1"/>
      <c r="M3" s="1"/>
      <c r="N3" s="1"/>
      <c r="O3" s="10" t="s">
        <v>1</v>
      </c>
      <c r="P3" s="11"/>
      <c r="Q3" s="11"/>
      <c r="R3" s="11"/>
      <c r="S3" s="11"/>
      <c r="T3" s="11"/>
      <c r="U3" s="11"/>
      <c r="V3" s="11"/>
      <c r="W3" s="11"/>
      <c r="X3" s="10" t="s">
        <v>2</v>
      </c>
      <c r="Y3" s="11"/>
      <c r="Z3" s="11"/>
      <c r="AA3" s="11"/>
      <c r="AB3" s="11"/>
      <c r="AC3" s="11"/>
      <c r="AD3" s="12"/>
      <c r="AE3" s="1"/>
      <c r="AF3" s="1"/>
      <c r="AG3" s="15"/>
      <c r="AH3" s="15"/>
    </row>
    <row r="4" spans="1:34" ht="45" hidden="1" x14ac:dyDescent="0.55000000000000004">
      <c r="A4" s="3" t="s">
        <v>3</v>
      </c>
      <c r="B4" s="3" t="s">
        <v>4</v>
      </c>
      <c r="C4" s="3"/>
      <c r="D4" s="3"/>
      <c r="E4" s="3"/>
      <c r="F4" s="3"/>
      <c r="G4" s="4"/>
      <c r="H4" s="3"/>
      <c r="I4" s="3"/>
      <c r="J4" s="3"/>
      <c r="K4" s="3"/>
      <c r="L4" s="3"/>
      <c r="M4" s="3"/>
      <c r="N4" s="3" t="s">
        <v>5</v>
      </c>
      <c r="O4" s="4" t="s">
        <v>6</v>
      </c>
      <c r="P4" s="4" t="s">
        <v>7</v>
      </c>
      <c r="Q4" s="4" t="s">
        <v>8</v>
      </c>
      <c r="R4" s="4" t="s">
        <v>9</v>
      </c>
      <c r="S4" s="4" t="s">
        <v>10</v>
      </c>
      <c r="T4" s="4" t="s">
        <v>11</v>
      </c>
      <c r="U4" s="4"/>
      <c r="V4" s="4"/>
      <c r="W4" s="4"/>
      <c r="X4" s="4" t="s">
        <v>12</v>
      </c>
      <c r="Y4" s="4" t="s">
        <v>13</v>
      </c>
      <c r="Z4" s="4" t="s">
        <v>14</v>
      </c>
      <c r="AA4" s="4" t="s">
        <v>15</v>
      </c>
      <c r="AB4" s="4" t="s">
        <v>16</v>
      </c>
      <c r="AC4" s="4" t="s">
        <v>17</v>
      </c>
      <c r="AD4" s="4" t="s">
        <v>11</v>
      </c>
      <c r="AE4" s="22"/>
      <c r="AF4" s="1"/>
      <c r="AG4" s="16" t="s">
        <v>11</v>
      </c>
      <c r="AH4" s="16" t="s">
        <v>11</v>
      </c>
    </row>
    <row r="5" spans="1:34" ht="18.75" hidden="1" customHeight="1" x14ac:dyDescent="0.55000000000000004">
      <c r="A5" s="170" t="s">
        <v>18</v>
      </c>
      <c r="B5" s="5" t="s">
        <v>19</v>
      </c>
      <c r="C5" s="5"/>
      <c r="D5" s="5"/>
      <c r="E5" s="5"/>
      <c r="F5" s="5"/>
      <c r="G5" s="5"/>
      <c r="H5" s="5"/>
      <c r="I5" s="5"/>
      <c r="J5" s="5"/>
      <c r="K5" s="5"/>
      <c r="L5" s="5"/>
      <c r="M5" s="5"/>
      <c r="N5" s="5">
        <v>10</v>
      </c>
      <c r="O5" s="5">
        <v>2</v>
      </c>
      <c r="P5" s="5"/>
      <c r="Q5" s="5"/>
      <c r="R5" s="5"/>
      <c r="S5" s="5"/>
      <c r="T5" s="5">
        <f>SUM(N5:S5)</f>
        <v>12</v>
      </c>
      <c r="U5" s="5"/>
      <c r="V5" s="5"/>
      <c r="W5" s="5"/>
      <c r="X5" s="5"/>
      <c r="Y5" s="5"/>
      <c r="Z5" s="5"/>
      <c r="AA5" s="5"/>
      <c r="AB5" s="5"/>
      <c r="AC5" s="5"/>
      <c r="AD5" s="5">
        <v>12</v>
      </c>
      <c r="AE5" s="1"/>
      <c r="AF5" s="1"/>
      <c r="AG5" s="17">
        <v>12</v>
      </c>
      <c r="AH5" s="17">
        <v>12</v>
      </c>
    </row>
    <row r="6" spans="1:34" ht="18.75" hidden="1" customHeight="1" x14ac:dyDescent="0.55000000000000004">
      <c r="A6" s="171"/>
      <c r="B6" s="6" t="s">
        <v>20</v>
      </c>
      <c r="C6" s="6"/>
      <c r="D6" s="6"/>
      <c r="E6" s="6"/>
      <c r="F6" s="6"/>
      <c r="G6" s="6"/>
      <c r="H6" s="6"/>
      <c r="I6" s="6"/>
      <c r="J6" s="6"/>
      <c r="K6" s="6"/>
      <c r="L6" s="6"/>
      <c r="M6" s="6"/>
      <c r="N6" s="6">
        <v>2</v>
      </c>
      <c r="O6" s="6">
        <v>2</v>
      </c>
      <c r="P6" s="6">
        <v>2</v>
      </c>
      <c r="Q6" s="6">
        <v>2</v>
      </c>
      <c r="R6" s="6">
        <v>2</v>
      </c>
      <c r="S6" s="6">
        <v>2</v>
      </c>
      <c r="T6" s="6">
        <f>SUM(N6:S6)</f>
        <v>12</v>
      </c>
      <c r="U6" s="6"/>
      <c r="V6" s="6"/>
      <c r="W6" s="6"/>
      <c r="X6" s="6"/>
      <c r="Y6" s="6"/>
      <c r="Z6" s="6"/>
      <c r="AA6" s="6"/>
      <c r="AB6" s="6"/>
      <c r="AC6" s="6"/>
      <c r="AD6" s="6">
        <v>12</v>
      </c>
      <c r="AE6" s="1"/>
      <c r="AF6" s="1"/>
      <c r="AG6" s="18">
        <v>12</v>
      </c>
      <c r="AH6" s="18">
        <v>12</v>
      </c>
    </row>
    <row r="7" spans="1:34" ht="18.75" hidden="1" customHeight="1" x14ac:dyDescent="0.55000000000000004">
      <c r="A7" s="171"/>
      <c r="B7" s="6" t="s">
        <v>21</v>
      </c>
      <c r="C7" s="6"/>
      <c r="D7" s="6"/>
      <c r="E7" s="6"/>
      <c r="F7" s="6"/>
      <c r="G7" s="6"/>
      <c r="H7" s="6"/>
      <c r="I7" s="6"/>
      <c r="J7" s="6"/>
      <c r="K7" s="6"/>
      <c r="L7" s="6"/>
      <c r="M7" s="6"/>
      <c r="N7" s="6">
        <v>2</v>
      </c>
      <c r="O7" s="6">
        <v>2</v>
      </c>
      <c r="P7" s="6">
        <v>2</v>
      </c>
      <c r="Q7" s="6">
        <v>2</v>
      </c>
      <c r="R7" s="6">
        <v>2</v>
      </c>
      <c r="S7" s="6">
        <v>2</v>
      </c>
      <c r="T7" s="6">
        <f>SUM(N7:S7)</f>
        <v>12</v>
      </c>
      <c r="U7" s="6"/>
      <c r="V7" s="6"/>
      <c r="W7" s="6"/>
      <c r="X7" s="6"/>
      <c r="Y7" s="6"/>
      <c r="Z7" s="6"/>
      <c r="AA7" s="6"/>
      <c r="AB7" s="6"/>
      <c r="AC7" s="6"/>
      <c r="AD7" s="6">
        <v>12</v>
      </c>
      <c r="AE7" s="1"/>
      <c r="AF7" s="1"/>
      <c r="AG7" s="18">
        <v>12</v>
      </c>
      <c r="AH7" s="18">
        <v>12</v>
      </c>
    </row>
    <row r="8" spans="1:34" ht="18.75" hidden="1" customHeight="1" x14ac:dyDescent="0.55000000000000004">
      <c r="A8" s="171"/>
      <c r="B8" s="6" t="s">
        <v>22</v>
      </c>
      <c r="C8" s="6"/>
      <c r="D8" s="6"/>
      <c r="E8" s="6"/>
      <c r="F8" s="6"/>
      <c r="G8" s="6"/>
      <c r="H8" s="6"/>
      <c r="I8" s="6"/>
      <c r="J8" s="6"/>
      <c r="K8" s="6"/>
      <c r="L8" s="6"/>
      <c r="M8" s="6"/>
      <c r="N8" s="6">
        <v>2</v>
      </c>
      <c r="O8" s="6">
        <v>2</v>
      </c>
      <c r="P8" s="6">
        <v>2</v>
      </c>
      <c r="Q8" s="6">
        <v>2</v>
      </c>
      <c r="R8" s="6">
        <v>2</v>
      </c>
      <c r="S8" s="6">
        <v>2</v>
      </c>
      <c r="T8" s="6">
        <f>SUM(N8:S8)</f>
        <v>12</v>
      </c>
      <c r="U8" s="6"/>
      <c r="V8" s="6"/>
      <c r="W8" s="6"/>
      <c r="X8" s="6"/>
      <c r="Y8" s="6"/>
      <c r="Z8" s="6"/>
      <c r="AA8" s="6"/>
      <c r="AB8" s="6"/>
      <c r="AC8" s="6"/>
      <c r="AD8" s="6">
        <v>12</v>
      </c>
      <c r="AE8" s="1"/>
      <c r="AF8" s="1"/>
      <c r="AG8" s="18">
        <v>12</v>
      </c>
      <c r="AH8" s="18">
        <v>12</v>
      </c>
    </row>
    <row r="9" spans="1:34" ht="18.75" hidden="1" customHeight="1" x14ac:dyDescent="0.55000000000000004">
      <c r="A9" s="171"/>
      <c r="B9" s="172" t="s">
        <v>11</v>
      </c>
      <c r="C9" s="173"/>
      <c r="D9" s="173"/>
      <c r="E9" s="173"/>
      <c r="F9" s="173"/>
      <c r="G9" s="173"/>
      <c r="H9" s="173"/>
      <c r="I9" s="173"/>
      <c r="J9" s="173"/>
      <c r="K9" s="173"/>
      <c r="L9" s="173"/>
      <c r="M9" s="173"/>
      <c r="N9" s="173"/>
      <c r="O9" s="173"/>
      <c r="P9" s="173"/>
      <c r="Q9" s="173"/>
      <c r="R9" s="173"/>
      <c r="S9" s="173"/>
      <c r="T9" s="153"/>
      <c r="U9" s="153"/>
      <c r="V9" s="153"/>
      <c r="W9" s="153"/>
      <c r="X9" s="153"/>
      <c r="Y9" s="153"/>
      <c r="Z9" s="153"/>
      <c r="AA9" s="153"/>
      <c r="AB9" s="153"/>
      <c r="AC9" s="153"/>
      <c r="AD9" s="7">
        <v>48</v>
      </c>
      <c r="AE9" s="23"/>
      <c r="AF9" s="1"/>
      <c r="AG9" s="19">
        <v>48</v>
      </c>
      <c r="AH9" s="19">
        <v>48</v>
      </c>
    </row>
    <row r="10" spans="1:34" ht="18" hidden="1" x14ac:dyDescent="0.55000000000000004">
      <c r="A10" s="170" t="s">
        <v>23</v>
      </c>
      <c r="B10" s="5" t="s">
        <v>19</v>
      </c>
      <c r="C10" s="5"/>
      <c r="D10" s="5"/>
      <c r="E10" s="5"/>
      <c r="F10" s="5"/>
      <c r="G10" s="5"/>
      <c r="H10" s="5"/>
      <c r="I10" s="5"/>
      <c r="J10" s="5"/>
      <c r="K10" s="5"/>
      <c r="L10" s="5"/>
      <c r="M10" s="5"/>
      <c r="N10" s="5">
        <v>1</v>
      </c>
      <c r="O10" s="5"/>
      <c r="P10" s="5">
        <v>1</v>
      </c>
      <c r="Q10" s="8"/>
      <c r="R10" s="5"/>
      <c r="S10" s="5"/>
      <c r="T10" s="5">
        <f>SUM(N10:S10)</f>
        <v>2</v>
      </c>
      <c r="U10" s="5"/>
      <c r="V10" s="5"/>
      <c r="W10" s="5"/>
      <c r="X10" s="5"/>
      <c r="Y10" s="5"/>
      <c r="Z10" s="5"/>
      <c r="AA10" s="5"/>
      <c r="AB10" s="5"/>
      <c r="AC10" s="5"/>
      <c r="AD10" s="5">
        <v>2</v>
      </c>
      <c r="AE10" s="1"/>
      <c r="AF10" s="1"/>
      <c r="AG10" s="17">
        <v>2</v>
      </c>
      <c r="AH10" s="17">
        <v>2</v>
      </c>
    </row>
    <row r="11" spans="1:34" ht="18.75" hidden="1" customHeight="1" x14ac:dyDescent="0.55000000000000004">
      <c r="A11" s="171"/>
      <c r="B11" s="6" t="s">
        <v>20</v>
      </c>
      <c r="C11" s="6"/>
      <c r="D11" s="6"/>
      <c r="E11" s="6"/>
      <c r="F11" s="6"/>
      <c r="G11" s="6"/>
      <c r="H11" s="6"/>
      <c r="I11" s="6"/>
      <c r="J11" s="6"/>
      <c r="K11" s="6"/>
      <c r="L11" s="6"/>
      <c r="M11" s="6"/>
      <c r="N11" s="6">
        <v>1</v>
      </c>
      <c r="O11" s="6"/>
      <c r="P11" s="6"/>
      <c r="Q11" s="6">
        <v>1</v>
      </c>
      <c r="R11" s="6"/>
      <c r="S11" s="6"/>
      <c r="T11" s="6">
        <f>SUM(N11:S11)</f>
        <v>2</v>
      </c>
      <c r="U11" s="6"/>
      <c r="V11" s="6"/>
      <c r="W11" s="6"/>
      <c r="X11" s="6"/>
      <c r="Y11" s="6"/>
      <c r="Z11" s="6"/>
      <c r="AA11" s="6"/>
      <c r="AB11" s="6"/>
      <c r="AC11" s="6"/>
      <c r="AD11" s="6">
        <v>2</v>
      </c>
      <c r="AE11" s="1"/>
      <c r="AF11" s="1"/>
      <c r="AG11" s="18">
        <v>2</v>
      </c>
      <c r="AH11" s="18">
        <v>2</v>
      </c>
    </row>
    <row r="12" spans="1:34" ht="18.75" hidden="1" customHeight="1" x14ac:dyDescent="0.55000000000000004">
      <c r="A12" s="171"/>
      <c r="B12" s="6" t="s">
        <v>21</v>
      </c>
      <c r="C12" s="6"/>
      <c r="D12" s="6"/>
      <c r="E12" s="6"/>
      <c r="F12" s="6"/>
      <c r="G12" s="6"/>
      <c r="H12" s="6"/>
      <c r="I12" s="6"/>
      <c r="J12" s="6"/>
      <c r="K12" s="6"/>
      <c r="L12" s="6"/>
      <c r="M12" s="6"/>
      <c r="N12" s="6">
        <v>1</v>
      </c>
      <c r="O12" s="6"/>
      <c r="P12" s="6"/>
      <c r="Q12" s="6">
        <v>1</v>
      </c>
      <c r="R12" s="6"/>
      <c r="S12" s="6"/>
      <c r="T12" s="6">
        <f>SUM(N12:S12)</f>
        <v>2</v>
      </c>
      <c r="U12" s="6"/>
      <c r="V12" s="6"/>
      <c r="W12" s="6"/>
      <c r="X12" s="6"/>
      <c r="Y12" s="6"/>
      <c r="Z12" s="6"/>
      <c r="AA12" s="6"/>
      <c r="AB12" s="6"/>
      <c r="AC12" s="6"/>
      <c r="AD12" s="6">
        <v>2</v>
      </c>
      <c r="AE12" s="1"/>
      <c r="AF12" s="1"/>
      <c r="AG12" s="18">
        <v>2</v>
      </c>
      <c r="AH12" s="18">
        <v>2</v>
      </c>
    </row>
    <row r="13" spans="1:34" ht="18.75" hidden="1" customHeight="1" x14ac:dyDescent="0.55000000000000004">
      <c r="A13" s="171"/>
      <c r="B13" s="6" t="s">
        <v>22</v>
      </c>
      <c r="C13" s="6"/>
      <c r="D13" s="6"/>
      <c r="E13" s="6"/>
      <c r="F13" s="6"/>
      <c r="G13" s="6"/>
      <c r="H13" s="6"/>
      <c r="I13" s="6"/>
      <c r="J13" s="6"/>
      <c r="K13" s="6"/>
      <c r="L13" s="6"/>
      <c r="M13" s="6"/>
      <c r="N13" s="6">
        <v>1</v>
      </c>
      <c r="O13" s="6"/>
      <c r="P13" s="6"/>
      <c r="Q13" s="6">
        <v>1</v>
      </c>
      <c r="R13" s="6"/>
      <c r="S13" s="6"/>
      <c r="T13" s="6">
        <f>SUM(N13:S13)</f>
        <v>2</v>
      </c>
      <c r="U13" s="6"/>
      <c r="V13" s="6"/>
      <c r="W13" s="6"/>
      <c r="X13" s="6"/>
      <c r="Y13" s="6"/>
      <c r="Z13" s="6"/>
      <c r="AA13" s="6"/>
      <c r="AB13" s="6"/>
      <c r="AC13" s="6"/>
      <c r="AD13" s="6">
        <v>2</v>
      </c>
      <c r="AE13" s="1"/>
      <c r="AF13" s="1"/>
      <c r="AG13" s="18">
        <v>2</v>
      </c>
      <c r="AH13" s="18">
        <v>2</v>
      </c>
    </row>
    <row r="14" spans="1:34" ht="18.75" hidden="1" customHeight="1" x14ac:dyDescent="0.55000000000000004">
      <c r="A14" s="174"/>
      <c r="B14" s="172" t="s">
        <v>11</v>
      </c>
      <c r="C14" s="173"/>
      <c r="D14" s="173"/>
      <c r="E14" s="173"/>
      <c r="F14" s="173"/>
      <c r="G14" s="173"/>
      <c r="H14" s="173"/>
      <c r="I14" s="173"/>
      <c r="J14" s="173"/>
      <c r="K14" s="173"/>
      <c r="L14" s="173"/>
      <c r="M14" s="173"/>
      <c r="N14" s="173"/>
      <c r="O14" s="173"/>
      <c r="P14" s="173"/>
      <c r="Q14" s="173"/>
      <c r="R14" s="173"/>
      <c r="S14" s="175"/>
      <c r="T14" s="154"/>
      <c r="U14" s="154"/>
      <c r="V14" s="154"/>
      <c r="W14" s="154"/>
      <c r="X14" s="9"/>
      <c r="Y14" s="9"/>
      <c r="Z14" s="9"/>
      <c r="AA14" s="9"/>
      <c r="AB14" s="9"/>
      <c r="AC14" s="9"/>
      <c r="AD14" s="7">
        <v>8</v>
      </c>
      <c r="AE14" s="23"/>
      <c r="AF14" s="1"/>
      <c r="AG14" s="19">
        <v>8</v>
      </c>
      <c r="AH14" s="19">
        <v>8</v>
      </c>
    </row>
    <row r="15" spans="1:34" ht="18" hidden="1" x14ac:dyDescent="0.55000000000000004">
      <c r="A15" s="170" t="s">
        <v>24</v>
      </c>
      <c r="B15" s="5" t="s">
        <v>19</v>
      </c>
      <c r="C15" s="5"/>
      <c r="D15" s="5"/>
      <c r="E15" s="5"/>
      <c r="F15" s="5"/>
      <c r="G15" s="5"/>
      <c r="H15" s="5"/>
      <c r="I15" s="5"/>
      <c r="J15" s="5"/>
      <c r="K15" s="5"/>
      <c r="L15" s="5"/>
      <c r="M15" s="5"/>
      <c r="N15" s="5">
        <v>10</v>
      </c>
      <c r="O15" s="5">
        <v>2</v>
      </c>
      <c r="P15" s="5"/>
      <c r="Q15" s="5"/>
      <c r="R15" s="5"/>
      <c r="S15" s="5"/>
      <c r="T15" s="5">
        <f>SUM(N15:S15)</f>
        <v>12</v>
      </c>
      <c r="U15" s="5"/>
      <c r="V15" s="5"/>
      <c r="W15" s="5"/>
      <c r="X15" s="5"/>
      <c r="Y15" s="5"/>
      <c r="Z15" s="5"/>
      <c r="AA15" s="5"/>
      <c r="AB15" s="5"/>
      <c r="AC15" s="5"/>
      <c r="AD15" s="5">
        <v>12</v>
      </c>
      <c r="AE15" s="1"/>
      <c r="AF15" s="1"/>
      <c r="AG15" s="17">
        <v>12</v>
      </c>
      <c r="AH15" s="17">
        <v>12</v>
      </c>
    </row>
    <row r="16" spans="1:34" ht="18.75" hidden="1" customHeight="1" x14ac:dyDescent="0.55000000000000004">
      <c r="A16" s="171"/>
      <c r="B16" s="6" t="s">
        <v>20</v>
      </c>
      <c r="C16" s="6"/>
      <c r="D16" s="6"/>
      <c r="E16" s="6"/>
      <c r="F16" s="6"/>
      <c r="G16" s="6"/>
      <c r="H16" s="6"/>
      <c r="I16" s="6"/>
      <c r="J16" s="6"/>
      <c r="K16" s="6"/>
      <c r="L16" s="6"/>
      <c r="M16" s="6"/>
      <c r="N16" s="6">
        <v>2</v>
      </c>
      <c r="O16" s="6">
        <v>2</v>
      </c>
      <c r="P16" s="6">
        <v>2</v>
      </c>
      <c r="Q16" s="6">
        <v>2</v>
      </c>
      <c r="R16" s="6">
        <v>2</v>
      </c>
      <c r="S16" s="6">
        <v>2</v>
      </c>
      <c r="T16" s="6">
        <f>SUM(N16:S16)</f>
        <v>12</v>
      </c>
      <c r="U16" s="6"/>
      <c r="V16" s="6"/>
      <c r="W16" s="6"/>
      <c r="X16" s="6"/>
      <c r="Y16" s="6"/>
      <c r="Z16" s="6"/>
      <c r="AA16" s="6"/>
      <c r="AB16" s="6"/>
      <c r="AC16" s="6"/>
      <c r="AD16" s="6">
        <v>12</v>
      </c>
      <c r="AE16" s="1"/>
      <c r="AF16" s="1"/>
      <c r="AG16" s="18">
        <v>12</v>
      </c>
      <c r="AH16" s="18">
        <v>12</v>
      </c>
    </row>
    <row r="17" spans="1:34" ht="18.75" hidden="1" customHeight="1" x14ac:dyDescent="0.55000000000000004">
      <c r="A17" s="171"/>
      <c r="B17" s="6" t="s">
        <v>21</v>
      </c>
      <c r="C17" s="6"/>
      <c r="D17" s="6"/>
      <c r="E17" s="6"/>
      <c r="F17" s="6"/>
      <c r="G17" s="6"/>
      <c r="H17" s="6"/>
      <c r="I17" s="6"/>
      <c r="J17" s="6"/>
      <c r="K17" s="6"/>
      <c r="L17" s="6"/>
      <c r="M17" s="6"/>
      <c r="N17" s="6">
        <v>2</v>
      </c>
      <c r="O17" s="6">
        <v>2</v>
      </c>
      <c r="P17" s="6">
        <v>2</v>
      </c>
      <c r="Q17" s="6">
        <v>2</v>
      </c>
      <c r="R17" s="6">
        <v>2</v>
      </c>
      <c r="S17" s="6">
        <v>2</v>
      </c>
      <c r="T17" s="6">
        <f>SUM(N17:S17)</f>
        <v>12</v>
      </c>
      <c r="U17" s="6"/>
      <c r="V17" s="6"/>
      <c r="W17" s="6"/>
      <c r="X17" s="6"/>
      <c r="Y17" s="6"/>
      <c r="Z17" s="6"/>
      <c r="AA17" s="6"/>
      <c r="AB17" s="6"/>
      <c r="AC17" s="6"/>
      <c r="AD17" s="6">
        <v>12</v>
      </c>
      <c r="AE17" s="1"/>
      <c r="AF17" s="1"/>
      <c r="AG17" s="18">
        <v>12</v>
      </c>
      <c r="AH17" s="18">
        <v>12</v>
      </c>
    </row>
    <row r="18" spans="1:34" ht="18.75" hidden="1" customHeight="1" x14ac:dyDescent="0.55000000000000004">
      <c r="A18" s="171"/>
      <c r="B18" s="6" t="s">
        <v>22</v>
      </c>
      <c r="C18" s="6"/>
      <c r="D18" s="6"/>
      <c r="E18" s="6"/>
      <c r="F18" s="6"/>
      <c r="G18" s="6"/>
      <c r="H18" s="6"/>
      <c r="I18" s="6"/>
      <c r="J18" s="6"/>
      <c r="K18" s="6"/>
      <c r="L18" s="6"/>
      <c r="M18" s="6"/>
      <c r="N18" s="6">
        <v>2</v>
      </c>
      <c r="O18" s="6">
        <v>2</v>
      </c>
      <c r="P18" s="6">
        <v>2</v>
      </c>
      <c r="Q18" s="6">
        <v>2</v>
      </c>
      <c r="R18" s="6">
        <v>2</v>
      </c>
      <c r="S18" s="6">
        <v>2</v>
      </c>
      <c r="T18" s="6">
        <f>SUM(N18:S18)</f>
        <v>12</v>
      </c>
      <c r="U18" s="6"/>
      <c r="V18" s="6"/>
      <c r="W18" s="6"/>
      <c r="X18" s="6"/>
      <c r="Y18" s="6"/>
      <c r="Z18" s="6"/>
      <c r="AA18" s="6"/>
      <c r="AB18" s="6"/>
      <c r="AC18" s="6"/>
      <c r="AD18" s="6">
        <v>12</v>
      </c>
      <c r="AE18" s="1"/>
      <c r="AF18" s="1"/>
      <c r="AG18" s="18">
        <v>12</v>
      </c>
      <c r="AH18" s="18">
        <v>12</v>
      </c>
    </row>
    <row r="19" spans="1:34" ht="18.75" hidden="1" customHeight="1" x14ac:dyDescent="0.55000000000000004">
      <c r="A19" s="174"/>
      <c r="B19" s="172" t="s">
        <v>11</v>
      </c>
      <c r="C19" s="173"/>
      <c r="D19" s="173"/>
      <c r="E19" s="173"/>
      <c r="F19" s="173"/>
      <c r="G19" s="173"/>
      <c r="H19" s="173"/>
      <c r="I19" s="173"/>
      <c r="J19" s="173"/>
      <c r="K19" s="173"/>
      <c r="L19" s="173"/>
      <c r="M19" s="173"/>
      <c r="N19" s="173"/>
      <c r="O19" s="173"/>
      <c r="P19" s="173"/>
      <c r="Q19" s="173"/>
      <c r="R19" s="173"/>
      <c r="S19" s="175"/>
      <c r="T19" s="154"/>
      <c r="U19" s="154"/>
      <c r="V19" s="154"/>
      <c r="W19" s="154"/>
      <c r="X19" s="9"/>
      <c r="Y19" s="9"/>
      <c r="Z19" s="9"/>
      <c r="AA19" s="9"/>
      <c r="AB19" s="9"/>
      <c r="AC19" s="9"/>
      <c r="AD19" s="7">
        <v>48</v>
      </c>
      <c r="AE19" s="23"/>
      <c r="AF19" s="1"/>
      <c r="AG19" s="19">
        <v>48</v>
      </c>
      <c r="AH19" s="19">
        <v>48</v>
      </c>
    </row>
    <row r="20" spans="1:34" ht="18" hidden="1" x14ac:dyDescent="0.55000000000000004">
      <c r="A20" s="170" t="s">
        <v>25</v>
      </c>
      <c r="B20" s="5" t="s">
        <v>19</v>
      </c>
      <c r="C20" s="5"/>
      <c r="D20" s="5"/>
      <c r="E20" s="5"/>
      <c r="F20" s="5"/>
      <c r="G20" s="5"/>
      <c r="H20" s="5"/>
      <c r="I20" s="5"/>
      <c r="J20" s="5"/>
      <c r="K20" s="5"/>
      <c r="L20" s="5"/>
      <c r="M20" s="5"/>
      <c r="N20" s="5">
        <v>5</v>
      </c>
      <c r="O20" s="5">
        <v>1</v>
      </c>
      <c r="P20" s="5"/>
      <c r="Q20" s="5"/>
      <c r="R20" s="5"/>
      <c r="S20" s="5"/>
      <c r="T20" s="5">
        <f>SUM(N20:S20)</f>
        <v>6</v>
      </c>
      <c r="U20" s="5"/>
      <c r="V20" s="5"/>
      <c r="W20" s="5"/>
      <c r="X20" s="5"/>
      <c r="Y20" s="5"/>
      <c r="Z20" s="5"/>
      <c r="AA20" s="5"/>
      <c r="AB20" s="5"/>
      <c r="AC20" s="5"/>
      <c r="AD20" s="5">
        <v>6</v>
      </c>
      <c r="AE20" s="1"/>
      <c r="AF20" s="1"/>
      <c r="AG20" s="17">
        <v>6</v>
      </c>
      <c r="AH20" s="17">
        <v>6</v>
      </c>
    </row>
    <row r="21" spans="1:34" ht="18.75" hidden="1" customHeight="1" x14ac:dyDescent="0.55000000000000004">
      <c r="A21" s="171"/>
      <c r="B21" s="6" t="s">
        <v>20</v>
      </c>
      <c r="C21" s="6"/>
      <c r="D21" s="6"/>
      <c r="E21" s="6"/>
      <c r="F21" s="6"/>
      <c r="G21" s="6"/>
      <c r="H21" s="6"/>
      <c r="I21" s="6"/>
      <c r="J21" s="6"/>
      <c r="K21" s="6"/>
      <c r="L21" s="6"/>
      <c r="M21" s="6"/>
      <c r="N21" s="6">
        <v>1</v>
      </c>
      <c r="O21" s="6">
        <v>1</v>
      </c>
      <c r="P21" s="6">
        <v>1</v>
      </c>
      <c r="Q21" s="6">
        <v>1</v>
      </c>
      <c r="R21" s="6">
        <v>1</v>
      </c>
      <c r="S21" s="6">
        <v>1</v>
      </c>
      <c r="T21" s="6">
        <f>SUM(N21:S21)</f>
        <v>6</v>
      </c>
      <c r="U21" s="6"/>
      <c r="V21" s="6"/>
      <c r="W21" s="6"/>
      <c r="X21" s="6"/>
      <c r="Y21" s="6"/>
      <c r="Z21" s="6"/>
      <c r="AA21" s="6"/>
      <c r="AB21" s="6"/>
      <c r="AC21" s="6"/>
      <c r="AD21" s="6">
        <v>6</v>
      </c>
      <c r="AE21" s="1"/>
      <c r="AF21" s="1"/>
      <c r="AG21" s="18">
        <v>6</v>
      </c>
      <c r="AH21" s="18">
        <v>6</v>
      </c>
    </row>
    <row r="22" spans="1:34" ht="18.75" hidden="1" customHeight="1" x14ac:dyDescent="0.55000000000000004">
      <c r="A22" s="171"/>
      <c r="B22" s="6" t="s">
        <v>21</v>
      </c>
      <c r="C22" s="6"/>
      <c r="D22" s="6"/>
      <c r="E22" s="6"/>
      <c r="F22" s="6"/>
      <c r="G22" s="6"/>
      <c r="H22" s="6"/>
      <c r="I22" s="6"/>
      <c r="J22" s="6"/>
      <c r="K22" s="6"/>
      <c r="L22" s="6"/>
      <c r="M22" s="6"/>
      <c r="N22" s="6">
        <v>0</v>
      </c>
      <c r="O22" s="6">
        <v>1</v>
      </c>
      <c r="P22" s="6">
        <v>1</v>
      </c>
      <c r="Q22" s="6">
        <v>1</v>
      </c>
      <c r="R22" s="6">
        <v>1</v>
      </c>
      <c r="S22" s="6">
        <v>1</v>
      </c>
      <c r="T22" s="6">
        <f>SUM(N22:S22)</f>
        <v>5</v>
      </c>
      <c r="U22" s="6"/>
      <c r="V22" s="6"/>
      <c r="W22" s="6"/>
      <c r="X22" s="6">
        <v>1</v>
      </c>
      <c r="Y22" s="6"/>
      <c r="Z22" s="6"/>
      <c r="AA22" s="6"/>
      <c r="AB22" s="6"/>
      <c r="AC22" s="6"/>
      <c r="AD22" s="6">
        <v>6</v>
      </c>
      <c r="AE22" s="1"/>
      <c r="AF22" s="1"/>
      <c r="AG22" s="18">
        <v>6</v>
      </c>
      <c r="AH22" s="18">
        <v>6</v>
      </c>
    </row>
    <row r="23" spans="1:34" ht="18.75" hidden="1" customHeight="1" x14ac:dyDescent="0.55000000000000004">
      <c r="A23" s="171"/>
      <c r="B23" s="6" t="s">
        <v>22</v>
      </c>
      <c r="C23" s="6"/>
      <c r="D23" s="6"/>
      <c r="E23" s="6"/>
      <c r="F23" s="6"/>
      <c r="G23" s="6"/>
      <c r="H23" s="6"/>
      <c r="I23" s="6"/>
      <c r="J23" s="6"/>
      <c r="K23" s="6"/>
      <c r="L23" s="6"/>
      <c r="M23" s="6"/>
      <c r="N23" s="6">
        <v>0</v>
      </c>
      <c r="O23" s="6">
        <v>1</v>
      </c>
      <c r="P23" s="6">
        <v>1</v>
      </c>
      <c r="Q23" s="6">
        <v>1</v>
      </c>
      <c r="R23" s="6">
        <v>1</v>
      </c>
      <c r="S23" s="6">
        <v>1</v>
      </c>
      <c r="T23" s="6">
        <f>SUM(N23:S23)</f>
        <v>5</v>
      </c>
      <c r="U23" s="6"/>
      <c r="V23" s="6"/>
      <c r="W23" s="6"/>
      <c r="X23" s="6">
        <v>1</v>
      </c>
      <c r="Y23" s="6"/>
      <c r="Z23" s="6"/>
      <c r="AA23" s="6"/>
      <c r="AB23" s="6"/>
      <c r="AC23" s="6"/>
      <c r="AD23" s="6">
        <v>6</v>
      </c>
      <c r="AE23" s="1"/>
      <c r="AF23" s="1"/>
      <c r="AG23" s="18">
        <v>6</v>
      </c>
      <c r="AH23" s="18">
        <v>6</v>
      </c>
    </row>
    <row r="24" spans="1:34" ht="18.75" hidden="1" customHeight="1" x14ac:dyDescent="0.55000000000000004">
      <c r="A24" s="174"/>
      <c r="B24" s="172" t="s">
        <v>11</v>
      </c>
      <c r="C24" s="173"/>
      <c r="D24" s="173"/>
      <c r="E24" s="173"/>
      <c r="F24" s="173"/>
      <c r="G24" s="173"/>
      <c r="H24" s="173"/>
      <c r="I24" s="173"/>
      <c r="J24" s="173"/>
      <c r="K24" s="173"/>
      <c r="L24" s="173"/>
      <c r="M24" s="173"/>
      <c r="N24" s="173"/>
      <c r="O24" s="173"/>
      <c r="P24" s="173"/>
      <c r="Q24" s="173"/>
      <c r="R24" s="173"/>
      <c r="S24" s="175"/>
      <c r="T24" s="154"/>
      <c r="U24" s="154"/>
      <c r="V24" s="154"/>
      <c r="W24" s="154"/>
      <c r="X24" s="9"/>
      <c r="Y24" s="9"/>
      <c r="Z24" s="9"/>
      <c r="AA24" s="9"/>
      <c r="AB24" s="9"/>
      <c r="AC24" s="9"/>
      <c r="AD24" s="7">
        <v>24</v>
      </c>
      <c r="AE24" s="23"/>
      <c r="AF24" s="1"/>
      <c r="AG24" s="19">
        <v>24</v>
      </c>
      <c r="AH24" s="19">
        <v>24</v>
      </c>
    </row>
    <row r="25" spans="1:34" ht="18" hidden="1" x14ac:dyDescent="0.55000000000000004">
      <c r="A25" s="170" t="s">
        <v>26</v>
      </c>
      <c r="B25" s="5" t="s">
        <v>19</v>
      </c>
      <c r="C25" s="5"/>
      <c r="D25" s="5"/>
      <c r="E25" s="5"/>
      <c r="F25" s="5"/>
      <c r="G25" s="5"/>
      <c r="H25" s="5"/>
      <c r="I25" s="5"/>
      <c r="J25" s="5"/>
      <c r="K25" s="5"/>
      <c r="L25" s="5"/>
      <c r="M25" s="5"/>
      <c r="N25" s="5"/>
      <c r="O25" s="6">
        <v>1</v>
      </c>
      <c r="P25" s="6">
        <v>1</v>
      </c>
      <c r="Q25" s="6">
        <v>1</v>
      </c>
      <c r="R25" s="5"/>
      <c r="S25" s="5"/>
      <c r="T25" s="5">
        <f>SUM(N25:S25)</f>
        <v>3</v>
      </c>
      <c r="U25" s="5"/>
      <c r="V25" s="5"/>
      <c r="W25" s="5"/>
      <c r="X25" s="5"/>
      <c r="Y25" s="5"/>
      <c r="Z25" s="5"/>
      <c r="AA25" s="5"/>
      <c r="AB25" s="5"/>
      <c r="AC25" s="5"/>
      <c r="AD25" s="5">
        <v>3</v>
      </c>
      <c r="AE25" s="1"/>
      <c r="AF25" s="1"/>
      <c r="AG25" s="17">
        <v>3</v>
      </c>
      <c r="AH25" s="17">
        <v>3</v>
      </c>
    </row>
    <row r="26" spans="1:34" ht="18.75" hidden="1" customHeight="1" x14ac:dyDescent="0.55000000000000004">
      <c r="A26" s="171"/>
      <c r="B26" s="6" t="s">
        <v>20</v>
      </c>
      <c r="C26" s="6"/>
      <c r="D26" s="6"/>
      <c r="E26" s="6"/>
      <c r="F26" s="6"/>
      <c r="G26" s="6"/>
      <c r="H26" s="6"/>
      <c r="I26" s="6"/>
      <c r="J26" s="6"/>
      <c r="K26" s="6"/>
      <c r="L26" s="6"/>
      <c r="M26" s="6"/>
      <c r="N26" s="6"/>
      <c r="O26" s="6">
        <v>1</v>
      </c>
      <c r="P26" s="6">
        <v>1</v>
      </c>
      <c r="Q26" s="6">
        <v>1</v>
      </c>
      <c r="R26" s="6"/>
      <c r="S26" s="6"/>
      <c r="T26" s="6">
        <f>SUM(N26:S26)</f>
        <v>3</v>
      </c>
      <c r="U26" s="6"/>
      <c r="V26" s="6"/>
      <c r="W26" s="6"/>
      <c r="X26" s="6"/>
      <c r="Y26" s="6"/>
      <c r="Z26" s="6"/>
      <c r="AA26" s="6"/>
      <c r="AB26" s="6"/>
      <c r="AC26" s="6"/>
      <c r="AD26" s="6">
        <v>3</v>
      </c>
      <c r="AE26" s="1"/>
      <c r="AF26" s="1"/>
      <c r="AG26" s="18">
        <v>3</v>
      </c>
      <c r="AH26" s="18">
        <v>3</v>
      </c>
    </row>
    <row r="27" spans="1:34" ht="18.75" hidden="1" customHeight="1" x14ac:dyDescent="0.55000000000000004">
      <c r="A27" s="171"/>
      <c r="B27" s="6" t="s">
        <v>21</v>
      </c>
      <c r="C27" s="6"/>
      <c r="D27" s="6"/>
      <c r="E27" s="6"/>
      <c r="F27" s="6"/>
      <c r="G27" s="6"/>
      <c r="H27" s="6"/>
      <c r="I27" s="6"/>
      <c r="J27" s="6"/>
      <c r="K27" s="6"/>
      <c r="L27" s="6"/>
      <c r="M27" s="6"/>
      <c r="N27" s="6"/>
      <c r="O27" s="6">
        <v>1</v>
      </c>
      <c r="P27" s="6">
        <v>1</v>
      </c>
      <c r="Q27" s="6">
        <v>1</v>
      </c>
      <c r="R27" s="6"/>
      <c r="S27" s="6"/>
      <c r="T27" s="6">
        <f>SUM(N27:S27)</f>
        <v>3</v>
      </c>
      <c r="U27" s="6"/>
      <c r="V27" s="6"/>
      <c r="W27" s="6"/>
      <c r="X27" s="6"/>
      <c r="Y27" s="6"/>
      <c r="Z27" s="6"/>
      <c r="AA27" s="6"/>
      <c r="AB27" s="6"/>
      <c r="AC27" s="6"/>
      <c r="AD27" s="6">
        <v>3</v>
      </c>
      <c r="AE27" s="1"/>
      <c r="AF27" s="1"/>
      <c r="AG27" s="18">
        <v>3</v>
      </c>
      <c r="AH27" s="18">
        <v>3</v>
      </c>
    </row>
    <row r="28" spans="1:34" ht="18.75" hidden="1" customHeight="1" x14ac:dyDescent="0.55000000000000004">
      <c r="A28" s="171"/>
      <c r="B28" s="6" t="s">
        <v>22</v>
      </c>
      <c r="C28" s="6"/>
      <c r="D28" s="6"/>
      <c r="E28" s="6"/>
      <c r="F28" s="6"/>
      <c r="G28" s="6"/>
      <c r="H28" s="6"/>
      <c r="I28" s="6"/>
      <c r="J28" s="6"/>
      <c r="K28" s="6"/>
      <c r="L28" s="6"/>
      <c r="M28" s="6"/>
      <c r="N28" s="6"/>
      <c r="O28" s="6">
        <v>1</v>
      </c>
      <c r="P28" s="6">
        <v>1</v>
      </c>
      <c r="Q28" s="6">
        <v>1</v>
      </c>
      <c r="R28" s="6"/>
      <c r="S28" s="6"/>
      <c r="T28" s="6">
        <f>SUM(N28:S28)</f>
        <v>3</v>
      </c>
      <c r="U28" s="6"/>
      <c r="V28" s="6"/>
      <c r="W28" s="6"/>
      <c r="X28" s="6"/>
      <c r="Y28" s="6"/>
      <c r="Z28" s="6"/>
      <c r="AA28" s="6"/>
      <c r="AB28" s="6"/>
      <c r="AC28" s="6"/>
      <c r="AD28" s="6">
        <v>3</v>
      </c>
      <c r="AE28" s="1"/>
      <c r="AF28" s="1"/>
      <c r="AG28" s="18">
        <v>3</v>
      </c>
      <c r="AH28" s="18">
        <v>3</v>
      </c>
    </row>
    <row r="29" spans="1:34" ht="18.75" hidden="1" customHeight="1" x14ac:dyDescent="0.55000000000000004">
      <c r="A29" s="174"/>
      <c r="B29" s="172" t="s">
        <v>11</v>
      </c>
      <c r="C29" s="173"/>
      <c r="D29" s="173"/>
      <c r="E29" s="173"/>
      <c r="F29" s="173"/>
      <c r="G29" s="173"/>
      <c r="H29" s="173"/>
      <c r="I29" s="173"/>
      <c r="J29" s="173"/>
      <c r="K29" s="173"/>
      <c r="L29" s="173"/>
      <c r="M29" s="173"/>
      <c r="N29" s="173"/>
      <c r="O29" s="173"/>
      <c r="P29" s="173"/>
      <c r="Q29" s="173"/>
      <c r="R29" s="173"/>
      <c r="S29" s="175"/>
      <c r="T29" s="154"/>
      <c r="U29" s="154"/>
      <c r="V29" s="154"/>
      <c r="W29" s="154"/>
      <c r="X29" s="9"/>
      <c r="Y29" s="9"/>
      <c r="Z29" s="9"/>
      <c r="AA29" s="9"/>
      <c r="AB29" s="9"/>
      <c r="AC29" s="9"/>
      <c r="AD29" s="7">
        <v>12</v>
      </c>
      <c r="AE29" s="23"/>
      <c r="AF29" s="1"/>
      <c r="AG29" s="19">
        <v>12</v>
      </c>
      <c r="AH29" s="19">
        <v>12</v>
      </c>
    </row>
    <row r="30" spans="1:34" ht="18" hidden="1" x14ac:dyDescent="0.55000000000000004">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4"/>
      <c r="AH30" s="14"/>
    </row>
    <row r="31" spans="1:34" ht="18" hidden="1" x14ac:dyDescent="0.55000000000000004">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4"/>
      <c r="AH31" s="14"/>
    </row>
    <row r="32" spans="1:34" ht="18" hidden="1" x14ac:dyDescent="0.55000000000000004">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4"/>
      <c r="AH32" s="14"/>
    </row>
    <row r="33" spans="1:34" ht="23" x14ac:dyDescent="0.55000000000000004">
      <c r="A33" s="2" t="s">
        <v>27</v>
      </c>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4"/>
      <c r="AH33" s="14"/>
    </row>
    <row r="34" spans="1:34" ht="18.75" customHeight="1" x14ac:dyDescent="0.55000000000000004">
      <c r="A34" s="1"/>
      <c r="B34" s="1"/>
      <c r="C34" s="1" t="s">
        <v>28</v>
      </c>
      <c r="D34" s="1"/>
      <c r="F34" s="1"/>
      <c r="G34" s="1" t="s">
        <v>29</v>
      </c>
      <c r="H34" s="1"/>
      <c r="I34" s="1"/>
      <c r="J34" s="1"/>
      <c r="K34" s="1"/>
      <c r="L34" s="1"/>
      <c r="M34" s="1"/>
      <c r="N34" s="1"/>
      <c r="O34" s="1"/>
      <c r="P34" s="1"/>
      <c r="Q34" s="1"/>
      <c r="R34" s="1"/>
      <c r="S34" s="1"/>
      <c r="T34" s="1"/>
      <c r="U34" s="1"/>
      <c r="V34" s="1"/>
      <c r="W34" s="1"/>
      <c r="X34" s="1"/>
      <c r="Y34" s="1"/>
      <c r="Z34" s="1"/>
      <c r="AA34" s="1"/>
      <c r="AB34" s="1"/>
      <c r="AC34" s="1"/>
      <c r="AD34" s="1"/>
      <c r="AE34" s="1"/>
      <c r="AF34" s="1"/>
      <c r="AG34" s="21" t="s">
        <v>30</v>
      </c>
      <c r="AH34" s="21" t="s">
        <v>30</v>
      </c>
    </row>
    <row r="35" spans="1:34" ht="60" x14ac:dyDescent="0.55000000000000004">
      <c r="A35" s="3" t="s">
        <v>3</v>
      </c>
      <c r="B35" s="3" t="s">
        <v>4</v>
      </c>
      <c r="C35" s="4" t="s">
        <v>7</v>
      </c>
      <c r="D35" s="4" t="s">
        <v>8</v>
      </c>
      <c r="E35" s="4" t="s">
        <v>9</v>
      </c>
      <c r="F35" s="4" t="s">
        <v>10</v>
      </c>
      <c r="G35" s="44" t="s">
        <v>31</v>
      </c>
      <c r="H35" s="4" t="s">
        <v>12</v>
      </c>
      <c r="I35" s="4" t="s">
        <v>13</v>
      </c>
      <c r="J35" s="4" t="s">
        <v>14</v>
      </c>
      <c r="K35" s="4" t="s">
        <v>15</v>
      </c>
      <c r="L35" s="4" t="s">
        <v>16</v>
      </c>
      <c r="M35" s="4" t="s">
        <v>17</v>
      </c>
      <c r="N35" s="4" t="s">
        <v>32</v>
      </c>
      <c r="O35" s="4" t="s">
        <v>6</v>
      </c>
      <c r="P35" s="4" t="s">
        <v>7</v>
      </c>
      <c r="Q35" s="4" t="s">
        <v>8</v>
      </c>
      <c r="R35" s="4" t="s">
        <v>9</v>
      </c>
      <c r="S35" s="4" t="s">
        <v>10</v>
      </c>
      <c r="T35" s="4" t="s">
        <v>33</v>
      </c>
      <c r="U35" s="4"/>
      <c r="V35" s="44" t="s">
        <v>34</v>
      </c>
      <c r="W35" s="34" t="s">
        <v>35</v>
      </c>
      <c r="X35" s="4" t="s">
        <v>12</v>
      </c>
      <c r="Y35" s="4" t="s">
        <v>13</v>
      </c>
      <c r="Z35" s="4" t="s">
        <v>14</v>
      </c>
      <c r="AA35" s="4" t="s">
        <v>15</v>
      </c>
      <c r="AB35" s="4" t="s">
        <v>16</v>
      </c>
      <c r="AC35" s="4" t="s">
        <v>17</v>
      </c>
      <c r="AD35" s="31" t="s">
        <v>36</v>
      </c>
      <c r="AE35" s="32" t="s">
        <v>37</v>
      </c>
      <c r="AF35" s="1"/>
      <c r="AG35" s="16" t="s">
        <v>38</v>
      </c>
      <c r="AH35" s="16" t="s">
        <v>39</v>
      </c>
    </row>
    <row r="36" spans="1:34" ht="18" x14ac:dyDescent="0.55000000000000004">
      <c r="A36" s="176" t="s">
        <v>40</v>
      </c>
      <c r="B36" s="13" t="s">
        <v>19</v>
      </c>
      <c r="C36" s="33">
        <v>1</v>
      </c>
      <c r="D36" s="33"/>
      <c r="E36" s="33"/>
      <c r="F36" s="33"/>
      <c r="G36" s="33"/>
      <c r="H36" s="33"/>
      <c r="I36" s="33"/>
      <c r="J36" s="33"/>
      <c r="K36" s="33"/>
      <c r="L36" s="33"/>
      <c r="M36" s="33"/>
      <c r="N36" s="33"/>
      <c r="O36" s="33"/>
      <c r="P36" s="33"/>
      <c r="Q36" s="33"/>
      <c r="R36" s="33"/>
      <c r="S36" s="33"/>
      <c r="T36" s="33"/>
      <c r="U36" s="35"/>
      <c r="V36" s="35"/>
      <c r="W36" s="35"/>
      <c r="X36" s="35"/>
      <c r="Y36" s="35"/>
      <c r="Z36" s="35"/>
      <c r="AA36" s="35"/>
      <c r="AB36" s="35"/>
      <c r="AC36" s="35"/>
      <c r="AD36" s="35"/>
      <c r="AE36" s="35"/>
      <c r="AF36" s="1"/>
      <c r="AG36" s="36"/>
      <c r="AH36" s="36"/>
    </row>
    <row r="37" spans="1:34" ht="18" x14ac:dyDescent="0.55000000000000004">
      <c r="A37" s="176"/>
      <c r="B37" s="6" t="s">
        <v>20</v>
      </c>
      <c r="C37" s="33">
        <v>1</v>
      </c>
      <c r="D37" s="33"/>
      <c r="E37" s="33"/>
      <c r="F37" s="33"/>
      <c r="G37" s="33"/>
      <c r="H37" s="33"/>
      <c r="I37" s="33"/>
      <c r="J37" s="33"/>
      <c r="K37" s="33"/>
      <c r="L37" s="33"/>
      <c r="M37" s="33"/>
      <c r="N37" s="33"/>
      <c r="O37" s="33"/>
      <c r="P37" s="33"/>
      <c r="Q37" s="33"/>
      <c r="R37" s="33"/>
      <c r="S37" s="33"/>
      <c r="T37" s="33"/>
      <c r="U37" s="35"/>
      <c r="V37" s="35"/>
      <c r="W37" s="35"/>
      <c r="X37" s="35"/>
      <c r="Y37" s="35"/>
      <c r="Z37" s="35"/>
      <c r="AA37" s="35"/>
      <c r="AB37" s="35"/>
      <c r="AC37" s="35"/>
      <c r="AD37" s="35"/>
      <c r="AE37" s="35"/>
      <c r="AF37" s="1"/>
      <c r="AG37" s="36"/>
      <c r="AH37" s="36"/>
    </row>
    <row r="38" spans="1:34" ht="18" x14ac:dyDescent="0.55000000000000004">
      <c r="A38" s="176"/>
      <c r="B38" s="6" t="s">
        <v>21</v>
      </c>
      <c r="C38" s="33">
        <v>1</v>
      </c>
      <c r="D38" s="33"/>
      <c r="E38" s="33"/>
      <c r="F38" s="33"/>
      <c r="G38" s="33"/>
      <c r="H38" s="33"/>
      <c r="I38" s="33"/>
      <c r="J38" s="33"/>
      <c r="K38" s="33"/>
      <c r="L38" s="33"/>
      <c r="M38" s="33"/>
      <c r="N38" s="33"/>
      <c r="O38" s="33"/>
      <c r="P38" s="33"/>
      <c r="Q38" s="33"/>
      <c r="R38" s="33"/>
      <c r="S38" s="33"/>
      <c r="T38" s="33"/>
      <c r="U38" s="35"/>
      <c r="V38" s="35"/>
      <c r="W38" s="35"/>
      <c r="X38" s="35"/>
      <c r="Y38" s="35"/>
      <c r="Z38" s="35"/>
      <c r="AA38" s="35"/>
      <c r="AB38" s="35"/>
      <c r="AC38" s="35"/>
      <c r="AD38" s="35"/>
      <c r="AE38" s="35"/>
      <c r="AF38" s="1"/>
      <c r="AG38" s="36"/>
      <c r="AH38" s="36"/>
    </row>
    <row r="39" spans="1:34" ht="18" x14ac:dyDescent="0.55000000000000004">
      <c r="A39" s="176"/>
      <c r="B39" s="6" t="s">
        <v>22</v>
      </c>
      <c r="C39" s="33">
        <v>1</v>
      </c>
      <c r="D39" s="33"/>
      <c r="E39" s="33"/>
      <c r="F39" s="33"/>
      <c r="G39" s="33"/>
      <c r="H39" s="33"/>
      <c r="I39" s="33"/>
      <c r="J39" s="33"/>
      <c r="K39" s="33"/>
      <c r="L39" s="33"/>
      <c r="M39" s="33"/>
      <c r="N39" s="33"/>
      <c r="O39" s="33"/>
      <c r="P39" s="33"/>
      <c r="Q39" s="33"/>
      <c r="R39" s="33"/>
      <c r="S39" s="33"/>
      <c r="T39" s="33"/>
      <c r="U39" s="35"/>
      <c r="V39" s="35"/>
      <c r="W39" s="35"/>
      <c r="X39" s="35"/>
      <c r="Y39" s="35"/>
      <c r="Z39" s="35"/>
      <c r="AA39" s="35"/>
      <c r="AB39" s="35"/>
      <c r="AC39" s="35"/>
      <c r="AD39" s="35"/>
      <c r="AE39" s="35"/>
      <c r="AF39" s="1"/>
      <c r="AG39" s="36"/>
      <c r="AH39" s="36"/>
    </row>
    <row r="40" spans="1:34" ht="18" x14ac:dyDescent="0.55000000000000004">
      <c r="A40" s="176"/>
      <c r="B40" s="172" t="s">
        <v>11</v>
      </c>
      <c r="C40" s="173"/>
      <c r="D40" s="173"/>
      <c r="E40" s="173"/>
      <c r="F40" s="173"/>
      <c r="G40" s="173"/>
      <c r="H40" s="173"/>
      <c r="I40" s="173"/>
      <c r="J40" s="173"/>
      <c r="K40" s="173"/>
      <c r="L40" s="173"/>
      <c r="M40" s="173"/>
      <c r="N40" s="173"/>
      <c r="O40" s="173"/>
      <c r="P40" s="173"/>
      <c r="Q40" s="173"/>
      <c r="R40" s="173"/>
      <c r="S40" s="173"/>
      <c r="T40" s="154"/>
      <c r="U40" s="154"/>
      <c r="V40" s="154"/>
      <c r="W40" s="154"/>
      <c r="X40" s="9"/>
      <c r="Y40" s="9"/>
      <c r="Z40" s="9"/>
      <c r="AA40" s="9"/>
      <c r="AB40" s="9"/>
      <c r="AC40" s="9"/>
      <c r="AD40" s="26">
        <f t="shared" ref="AD40" si="0">SUM(X40:AC40)</f>
        <v>0</v>
      </c>
      <c r="AE40" s="29">
        <f t="shared" ref="AE40" si="1">W40-AD40</f>
        <v>0</v>
      </c>
      <c r="AF40" s="1"/>
      <c r="AG40" s="36"/>
      <c r="AH40" s="36"/>
    </row>
    <row r="41" spans="1:34" ht="18" x14ac:dyDescent="0.55000000000000004">
      <c r="A41" s="177" t="s">
        <v>41</v>
      </c>
      <c r="B41" s="13" t="s">
        <v>19</v>
      </c>
      <c r="C41" s="33"/>
      <c r="D41" s="33">
        <v>1</v>
      </c>
      <c r="E41" s="33"/>
      <c r="F41" s="33"/>
      <c r="G41" s="33"/>
      <c r="H41" s="33"/>
      <c r="I41" s="33"/>
      <c r="J41" s="33"/>
      <c r="K41" s="33"/>
      <c r="L41" s="33"/>
      <c r="M41" s="33"/>
      <c r="N41" s="33"/>
      <c r="O41" s="33"/>
      <c r="P41" s="33"/>
      <c r="Q41" s="33"/>
      <c r="R41" s="33"/>
      <c r="S41" s="33"/>
      <c r="T41" s="33"/>
      <c r="U41" s="35"/>
      <c r="V41" s="35"/>
      <c r="W41" s="35"/>
      <c r="X41" s="35"/>
      <c r="Y41" s="35"/>
      <c r="Z41" s="35"/>
      <c r="AA41" s="35"/>
      <c r="AB41" s="35"/>
      <c r="AC41" s="35"/>
      <c r="AD41" s="35"/>
      <c r="AE41" s="35"/>
      <c r="AF41" s="1"/>
      <c r="AG41" s="36"/>
      <c r="AH41" s="36"/>
    </row>
    <row r="42" spans="1:34" ht="18" x14ac:dyDescent="0.55000000000000004">
      <c r="A42" s="178"/>
      <c r="B42" s="6" t="s">
        <v>20</v>
      </c>
      <c r="C42" s="33"/>
      <c r="D42" s="33">
        <v>1</v>
      </c>
      <c r="E42" s="33"/>
      <c r="F42" s="33"/>
      <c r="G42" s="33"/>
      <c r="H42" s="33"/>
      <c r="I42" s="33"/>
      <c r="J42" s="33"/>
      <c r="K42" s="33"/>
      <c r="L42" s="33"/>
      <c r="M42" s="33"/>
      <c r="N42" s="33"/>
      <c r="O42" s="33"/>
      <c r="P42" s="33"/>
      <c r="Q42" s="33"/>
      <c r="R42" s="33"/>
      <c r="S42" s="33"/>
      <c r="T42" s="33"/>
      <c r="U42" s="35"/>
      <c r="V42" s="35"/>
      <c r="W42" s="35"/>
      <c r="X42" s="35"/>
      <c r="Y42" s="35"/>
      <c r="Z42" s="35"/>
      <c r="AA42" s="35"/>
      <c r="AB42" s="35"/>
      <c r="AC42" s="35"/>
      <c r="AD42" s="35"/>
      <c r="AE42" s="35"/>
      <c r="AF42" s="1"/>
      <c r="AG42" s="36"/>
      <c r="AH42" s="36"/>
    </row>
    <row r="43" spans="1:34" ht="18" x14ac:dyDescent="0.55000000000000004">
      <c r="A43" s="178"/>
      <c r="B43" s="6" t="s">
        <v>21</v>
      </c>
      <c r="C43" s="33"/>
      <c r="D43" s="33">
        <v>1</v>
      </c>
      <c r="E43" s="33"/>
      <c r="F43" s="33"/>
      <c r="G43" s="33"/>
      <c r="H43" s="33"/>
      <c r="I43" s="33"/>
      <c r="J43" s="33"/>
      <c r="K43" s="33"/>
      <c r="L43" s="33"/>
      <c r="M43" s="33"/>
      <c r="N43" s="33"/>
      <c r="O43" s="33"/>
      <c r="P43" s="33"/>
      <c r="Q43" s="33"/>
      <c r="R43" s="33"/>
      <c r="S43" s="33"/>
      <c r="T43" s="33"/>
      <c r="U43" s="35"/>
      <c r="V43" s="35"/>
      <c r="W43" s="35"/>
      <c r="X43" s="35"/>
      <c r="Y43" s="35"/>
      <c r="Z43" s="35"/>
      <c r="AA43" s="35"/>
      <c r="AB43" s="35"/>
      <c r="AC43" s="35"/>
      <c r="AD43" s="35"/>
      <c r="AE43" s="35"/>
      <c r="AF43" s="1"/>
      <c r="AG43" s="36"/>
      <c r="AH43" s="36"/>
    </row>
    <row r="44" spans="1:34" ht="18" x14ac:dyDescent="0.55000000000000004">
      <c r="A44" s="178"/>
      <c r="B44" s="6" t="s">
        <v>22</v>
      </c>
      <c r="C44" s="33"/>
      <c r="D44" s="33">
        <v>1</v>
      </c>
      <c r="E44" s="33"/>
      <c r="F44" s="33"/>
      <c r="G44" s="33"/>
      <c r="H44" s="33"/>
      <c r="I44" s="33"/>
      <c r="J44" s="33"/>
      <c r="K44" s="33"/>
      <c r="L44" s="33"/>
      <c r="M44" s="33"/>
      <c r="N44" s="33"/>
      <c r="O44" s="33"/>
      <c r="P44" s="33"/>
      <c r="Q44" s="33"/>
      <c r="R44" s="33"/>
      <c r="S44" s="33"/>
      <c r="T44" s="33"/>
      <c r="U44" s="35"/>
      <c r="V44" s="35"/>
      <c r="W44" s="35"/>
      <c r="X44" s="35"/>
      <c r="Y44" s="35"/>
      <c r="Z44" s="35"/>
      <c r="AA44" s="35"/>
      <c r="AB44" s="35"/>
      <c r="AC44" s="35"/>
      <c r="AD44" s="35"/>
      <c r="AE44" s="35"/>
      <c r="AF44" s="1"/>
      <c r="AG44" s="36"/>
      <c r="AH44" s="36"/>
    </row>
    <row r="45" spans="1:34" ht="18" x14ac:dyDescent="0.55000000000000004">
      <c r="A45" s="179"/>
      <c r="B45" s="172" t="s">
        <v>11</v>
      </c>
      <c r="C45" s="173"/>
      <c r="D45" s="173"/>
      <c r="E45" s="173"/>
      <c r="F45" s="173"/>
      <c r="G45" s="173"/>
      <c r="H45" s="173"/>
      <c r="I45" s="173"/>
      <c r="J45" s="173"/>
      <c r="K45" s="173"/>
      <c r="L45" s="173"/>
      <c r="M45" s="173"/>
      <c r="N45" s="173"/>
      <c r="O45" s="173"/>
      <c r="P45" s="173"/>
      <c r="Q45" s="173"/>
      <c r="R45" s="173"/>
      <c r="S45" s="173"/>
      <c r="T45" s="154"/>
      <c r="U45" s="154"/>
      <c r="V45" s="154"/>
      <c r="W45" s="154"/>
      <c r="X45" s="9"/>
      <c r="Y45" s="9"/>
      <c r="Z45" s="9"/>
      <c r="AA45" s="9"/>
      <c r="AB45" s="9"/>
      <c r="AC45" s="9"/>
      <c r="AD45" s="26">
        <f t="shared" ref="AD45" si="2">SUM(X45:AC45)</f>
        <v>0</v>
      </c>
      <c r="AE45" s="29">
        <f t="shared" ref="AE45" si="3">W45-AD45</f>
        <v>0</v>
      </c>
      <c r="AF45" s="1"/>
      <c r="AG45" s="36"/>
      <c r="AH45" s="36"/>
    </row>
    <row r="46" spans="1:34" ht="18" x14ac:dyDescent="0.55000000000000004">
      <c r="A46" s="177" t="s">
        <v>42</v>
      </c>
      <c r="B46" s="13" t="s">
        <v>19</v>
      </c>
      <c r="C46" s="33"/>
      <c r="D46" s="33">
        <v>1</v>
      </c>
      <c r="E46" s="33"/>
      <c r="F46" s="33"/>
      <c r="G46" s="33"/>
      <c r="H46" s="33"/>
      <c r="I46" s="33"/>
      <c r="J46" s="33"/>
      <c r="K46" s="33"/>
      <c r="L46" s="33"/>
      <c r="M46" s="33"/>
      <c r="N46" s="33"/>
      <c r="O46" s="33"/>
      <c r="P46" s="33"/>
      <c r="Q46" s="33"/>
      <c r="R46" s="33"/>
      <c r="S46" s="33"/>
      <c r="T46" s="33"/>
      <c r="U46" s="35"/>
      <c r="V46" s="35"/>
      <c r="W46" s="35"/>
      <c r="X46" s="35"/>
      <c r="Y46" s="35"/>
      <c r="Z46" s="35"/>
      <c r="AA46" s="35"/>
      <c r="AB46" s="35"/>
      <c r="AC46" s="35"/>
      <c r="AD46" s="35"/>
      <c r="AE46" s="35"/>
      <c r="AF46" s="1"/>
      <c r="AG46" s="36"/>
      <c r="AH46" s="36"/>
    </row>
    <row r="47" spans="1:34" ht="18" x14ac:dyDescent="0.55000000000000004">
      <c r="A47" s="178"/>
      <c r="B47" s="6" t="s">
        <v>20</v>
      </c>
      <c r="C47" s="33"/>
      <c r="D47" s="33">
        <v>1</v>
      </c>
      <c r="E47" s="33"/>
      <c r="F47" s="33"/>
      <c r="G47" s="33"/>
      <c r="H47" s="33"/>
      <c r="I47" s="33"/>
      <c r="J47" s="33"/>
      <c r="K47" s="33"/>
      <c r="L47" s="33"/>
      <c r="M47" s="33"/>
      <c r="N47" s="33"/>
      <c r="O47" s="33"/>
      <c r="P47" s="33"/>
      <c r="Q47" s="33"/>
      <c r="R47" s="33"/>
      <c r="S47" s="33"/>
      <c r="T47" s="33"/>
      <c r="U47" s="35"/>
      <c r="V47" s="35"/>
      <c r="W47" s="35"/>
      <c r="X47" s="35"/>
      <c r="Y47" s="35"/>
      <c r="Z47" s="35"/>
      <c r="AA47" s="35"/>
      <c r="AB47" s="35"/>
      <c r="AC47" s="35"/>
      <c r="AD47" s="35"/>
      <c r="AE47" s="35"/>
      <c r="AF47" s="1"/>
      <c r="AG47" s="36"/>
      <c r="AH47" s="36"/>
    </row>
    <row r="48" spans="1:34" ht="18" x14ac:dyDescent="0.55000000000000004">
      <c r="A48" s="178"/>
      <c r="B48" s="6" t="s">
        <v>21</v>
      </c>
      <c r="C48" s="33"/>
      <c r="D48" s="33">
        <v>1</v>
      </c>
      <c r="E48" s="33"/>
      <c r="F48" s="33"/>
      <c r="G48" s="33"/>
      <c r="H48" s="33"/>
      <c r="I48" s="33"/>
      <c r="J48" s="33"/>
      <c r="K48" s="33"/>
      <c r="L48" s="33"/>
      <c r="M48" s="33"/>
      <c r="N48" s="33"/>
      <c r="O48" s="33"/>
      <c r="P48" s="33"/>
      <c r="Q48" s="33"/>
      <c r="R48" s="33"/>
      <c r="S48" s="33"/>
      <c r="T48" s="33"/>
      <c r="U48" s="35"/>
      <c r="V48" s="35"/>
      <c r="W48" s="35"/>
      <c r="X48" s="35"/>
      <c r="Y48" s="35"/>
      <c r="Z48" s="35"/>
      <c r="AA48" s="35"/>
      <c r="AB48" s="35"/>
      <c r="AC48" s="35"/>
      <c r="AD48" s="35"/>
      <c r="AE48" s="35"/>
      <c r="AF48" s="1"/>
      <c r="AG48" s="36"/>
      <c r="AH48" s="36"/>
    </row>
    <row r="49" spans="1:34" ht="18" x14ac:dyDescent="0.55000000000000004">
      <c r="A49" s="178"/>
      <c r="B49" s="6" t="s">
        <v>22</v>
      </c>
      <c r="C49" s="33"/>
      <c r="D49" s="33">
        <v>1</v>
      </c>
      <c r="E49" s="33"/>
      <c r="F49" s="33"/>
      <c r="G49" s="33"/>
      <c r="H49" s="33"/>
      <c r="I49" s="33"/>
      <c r="J49" s="33"/>
      <c r="K49" s="33"/>
      <c r="L49" s="33"/>
      <c r="M49" s="33"/>
      <c r="N49" s="33"/>
      <c r="O49" s="33"/>
      <c r="P49" s="33"/>
      <c r="Q49" s="33"/>
      <c r="R49" s="33"/>
      <c r="S49" s="33"/>
      <c r="T49" s="33"/>
      <c r="U49" s="35"/>
      <c r="V49" s="35"/>
      <c r="W49" s="35"/>
      <c r="X49" s="35"/>
      <c r="Y49" s="35"/>
      <c r="Z49" s="35"/>
      <c r="AA49" s="35"/>
      <c r="AB49" s="35"/>
      <c r="AC49" s="35"/>
      <c r="AD49" s="35"/>
      <c r="AE49" s="35"/>
      <c r="AF49" s="1"/>
      <c r="AG49" s="36"/>
      <c r="AH49" s="36"/>
    </row>
    <row r="50" spans="1:34" ht="18" x14ac:dyDescent="0.55000000000000004">
      <c r="A50" s="179"/>
      <c r="B50" s="172" t="s">
        <v>11</v>
      </c>
      <c r="C50" s="173"/>
      <c r="D50" s="173"/>
      <c r="E50" s="173"/>
      <c r="F50" s="173"/>
      <c r="G50" s="173"/>
      <c r="H50" s="173"/>
      <c r="I50" s="173"/>
      <c r="J50" s="173"/>
      <c r="K50" s="173"/>
      <c r="L50" s="173"/>
      <c r="M50" s="173"/>
      <c r="N50" s="173"/>
      <c r="O50" s="173"/>
      <c r="P50" s="173"/>
      <c r="Q50" s="173"/>
      <c r="R50" s="173"/>
      <c r="S50" s="173"/>
      <c r="T50" s="154"/>
      <c r="U50" s="154"/>
      <c r="V50" s="154"/>
      <c r="W50" s="154"/>
      <c r="X50" s="9"/>
      <c r="Y50" s="9"/>
      <c r="Z50" s="9"/>
      <c r="AA50" s="9"/>
      <c r="AB50" s="9"/>
      <c r="AC50" s="9"/>
      <c r="AD50" s="26">
        <f t="shared" ref="AD50" si="4">SUM(X50:AC50)</f>
        <v>0</v>
      </c>
      <c r="AE50" s="29">
        <f t="shared" ref="AE50" si="5">W50-AD50</f>
        <v>0</v>
      </c>
      <c r="AF50" s="1"/>
      <c r="AG50" s="36"/>
      <c r="AH50" s="36"/>
    </row>
    <row r="51" spans="1:34" ht="18" x14ac:dyDescent="0.55000000000000004">
      <c r="A51" s="177" t="s">
        <v>43</v>
      </c>
      <c r="B51" s="13" t="s">
        <v>19</v>
      </c>
      <c r="C51" s="33"/>
      <c r="D51" s="33"/>
      <c r="E51" s="33"/>
      <c r="F51" s="33">
        <v>1</v>
      </c>
      <c r="G51" s="33"/>
      <c r="H51" s="33"/>
      <c r="I51" s="33"/>
      <c r="J51" s="33"/>
      <c r="K51" s="33"/>
      <c r="L51" s="33"/>
      <c r="M51" s="33"/>
      <c r="N51" s="33"/>
      <c r="O51" s="33"/>
      <c r="P51" s="33"/>
      <c r="Q51" s="33"/>
      <c r="R51" s="33"/>
      <c r="S51" s="33"/>
      <c r="T51" s="33"/>
      <c r="U51" s="35"/>
      <c r="V51" s="35"/>
      <c r="W51" s="35"/>
      <c r="X51" s="35"/>
      <c r="Y51" s="35"/>
      <c r="Z51" s="35"/>
      <c r="AA51" s="35"/>
      <c r="AB51" s="35"/>
      <c r="AC51" s="35"/>
      <c r="AD51" s="35"/>
      <c r="AE51" s="35"/>
      <c r="AF51" s="1"/>
      <c r="AG51" s="36"/>
      <c r="AH51" s="36"/>
    </row>
    <row r="52" spans="1:34" ht="18" x14ac:dyDescent="0.55000000000000004">
      <c r="A52" s="178"/>
      <c r="B52" s="6" t="s">
        <v>20</v>
      </c>
      <c r="C52" s="33"/>
      <c r="D52" s="33"/>
      <c r="E52" s="33"/>
      <c r="F52" s="33">
        <v>1</v>
      </c>
      <c r="G52" s="33"/>
      <c r="H52" s="33"/>
      <c r="I52" s="33"/>
      <c r="J52" s="33"/>
      <c r="K52" s="33"/>
      <c r="L52" s="33"/>
      <c r="M52" s="33"/>
      <c r="N52" s="33"/>
      <c r="O52" s="33"/>
      <c r="P52" s="33"/>
      <c r="Q52" s="33"/>
      <c r="R52" s="33"/>
      <c r="S52" s="33"/>
      <c r="T52" s="33"/>
      <c r="U52" s="35"/>
      <c r="V52" s="35"/>
      <c r="W52" s="35"/>
      <c r="X52" s="35"/>
      <c r="Y52" s="35"/>
      <c r="Z52" s="35"/>
      <c r="AA52" s="35"/>
      <c r="AB52" s="35"/>
      <c r="AC52" s="35"/>
      <c r="AD52" s="35"/>
      <c r="AE52" s="35"/>
      <c r="AF52" s="1"/>
      <c r="AG52" s="36"/>
      <c r="AH52" s="36"/>
    </row>
    <row r="53" spans="1:34" ht="18" x14ac:dyDescent="0.55000000000000004">
      <c r="A53" s="178"/>
      <c r="B53" s="6" t="s">
        <v>21</v>
      </c>
      <c r="C53" s="33"/>
      <c r="D53" s="33"/>
      <c r="E53" s="33"/>
      <c r="F53" s="33">
        <v>1</v>
      </c>
      <c r="G53" s="33"/>
      <c r="H53" s="33"/>
      <c r="I53" s="33"/>
      <c r="J53" s="33"/>
      <c r="K53" s="33"/>
      <c r="L53" s="33"/>
      <c r="M53" s="33"/>
      <c r="N53" s="33"/>
      <c r="O53" s="33"/>
      <c r="P53" s="33"/>
      <c r="Q53" s="33"/>
      <c r="R53" s="33"/>
      <c r="S53" s="33"/>
      <c r="T53" s="33"/>
      <c r="U53" s="35"/>
      <c r="V53" s="35"/>
      <c r="W53" s="35"/>
      <c r="X53" s="35"/>
      <c r="Y53" s="35"/>
      <c r="Z53" s="35"/>
      <c r="AA53" s="35"/>
      <c r="AB53" s="35"/>
      <c r="AC53" s="35"/>
      <c r="AD53" s="35"/>
      <c r="AE53" s="35"/>
      <c r="AF53" s="1"/>
      <c r="AG53" s="36"/>
      <c r="AH53" s="36"/>
    </row>
    <row r="54" spans="1:34" ht="18" x14ac:dyDescent="0.55000000000000004">
      <c r="A54" s="178"/>
      <c r="B54" s="6" t="s">
        <v>22</v>
      </c>
      <c r="C54" s="33"/>
      <c r="D54" s="33"/>
      <c r="E54" s="33"/>
      <c r="F54" s="33">
        <v>1</v>
      </c>
      <c r="G54" s="33"/>
      <c r="H54" s="33"/>
      <c r="I54" s="33"/>
      <c r="J54" s="33"/>
      <c r="K54" s="33"/>
      <c r="L54" s="33"/>
      <c r="M54" s="33"/>
      <c r="N54" s="33"/>
      <c r="O54" s="33"/>
      <c r="P54" s="33"/>
      <c r="Q54" s="33"/>
      <c r="R54" s="33"/>
      <c r="S54" s="33"/>
      <c r="T54" s="33"/>
      <c r="U54" s="35"/>
      <c r="V54" s="35"/>
      <c r="W54" s="35"/>
      <c r="X54" s="35"/>
      <c r="Y54" s="35"/>
      <c r="Z54" s="35"/>
      <c r="AA54" s="35"/>
      <c r="AB54" s="35"/>
      <c r="AC54" s="35"/>
      <c r="AD54" s="35"/>
      <c r="AE54" s="35"/>
      <c r="AF54" s="1"/>
      <c r="AG54" s="36"/>
      <c r="AH54" s="36"/>
    </row>
    <row r="55" spans="1:34" ht="18" x14ac:dyDescent="0.55000000000000004">
      <c r="A55" s="179"/>
      <c r="B55" s="172" t="s">
        <v>44</v>
      </c>
      <c r="C55" s="173"/>
      <c r="D55" s="173"/>
      <c r="E55" s="173"/>
      <c r="F55" s="173"/>
      <c r="G55" s="173"/>
      <c r="H55" s="173"/>
      <c r="I55" s="173"/>
      <c r="J55" s="173"/>
      <c r="K55" s="173"/>
      <c r="L55" s="173"/>
      <c r="M55" s="173"/>
      <c r="N55" s="173"/>
      <c r="O55" s="173"/>
      <c r="P55" s="173"/>
      <c r="Q55" s="173"/>
      <c r="R55" s="173"/>
      <c r="S55" s="173"/>
      <c r="T55" s="154"/>
      <c r="U55" s="154"/>
      <c r="V55" s="154"/>
      <c r="W55" s="154"/>
      <c r="X55" s="9"/>
      <c r="Y55" s="9"/>
      <c r="Z55" s="9"/>
      <c r="AA55" s="9"/>
      <c r="AB55" s="9"/>
      <c r="AC55" s="9"/>
      <c r="AD55" s="26">
        <f t="shared" ref="AD55" si="6">SUM(X55:AC55)</f>
        <v>0</v>
      </c>
      <c r="AE55" s="29">
        <f t="shared" ref="AE55" si="7">W55-AD55</f>
        <v>0</v>
      </c>
      <c r="AF55" s="1"/>
      <c r="AG55" s="36"/>
      <c r="AH55" s="36"/>
    </row>
    <row r="56" spans="1:34" ht="18" x14ac:dyDescent="0.55000000000000004">
      <c r="A56" s="177" t="s">
        <v>45</v>
      </c>
      <c r="B56" s="13" t="s">
        <v>19</v>
      </c>
      <c r="C56" s="33"/>
      <c r="D56" s="33"/>
      <c r="E56" s="33"/>
      <c r="F56" s="33">
        <v>1</v>
      </c>
      <c r="G56" s="33"/>
      <c r="H56" s="33"/>
      <c r="I56" s="33"/>
      <c r="J56" s="33"/>
      <c r="K56" s="33"/>
      <c r="L56" s="33"/>
      <c r="M56" s="33"/>
      <c r="N56" s="33"/>
      <c r="O56" s="33"/>
      <c r="P56" s="33"/>
      <c r="Q56" s="33"/>
      <c r="R56" s="33"/>
      <c r="S56" s="33"/>
      <c r="T56" s="33"/>
      <c r="U56" s="35"/>
      <c r="V56" s="35"/>
      <c r="W56" s="35"/>
      <c r="X56" s="35"/>
      <c r="Y56" s="35"/>
      <c r="Z56" s="35"/>
      <c r="AA56" s="35"/>
      <c r="AB56" s="35"/>
      <c r="AC56" s="35"/>
      <c r="AD56" s="35"/>
      <c r="AE56" s="35"/>
      <c r="AF56" s="1"/>
      <c r="AG56" s="36"/>
      <c r="AH56" s="36"/>
    </row>
    <row r="57" spans="1:34" ht="18" x14ac:dyDescent="0.55000000000000004">
      <c r="A57" s="178"/>
      <c r="B57" s="6" t="s">
        <v>20</v>
      </c>
      <c r="C57" s="33"/>
      <c r="D57" s="33"/>
      <c r="E57" s="33"/>
      <c r="F57" s="33">
        <v>1</v>
      </c>
      <c r="G57" s="33"/>
      <c r="H57" s="33"/>
      <c r="I57" s="33"/>
      <c r="J57" s="33"/>
      <c r="K57" s="33"/>
      <c r="L57" s="33"/>
      <c r="M57" s="33"/>
      <c r="N57" s="33"/>
      <c r="O57" s="33"/>
      <c r="P57" s="33"/>
      <c r="Q57" s="33"/>
      <c r="R57" s="33"/>
      <c r="S57" s="33"/>
      <c r="T57" s="33"/>
      <c r="U57" s="35"/>
      <c r="V57" s="35"/>
      <c r="W57" s="35"/>
      <c r="X57" s="35"/>
      <c r="Y57" s="35"/>
      <c r="Z57" s="35"/>
      <c r="AA57" s="35"/>
      <c r="AB57" s="35"/>
      <c r="AC57" s="35"/>
      <c r="AD57" s="35"/>
      <c r="AE57" s="35"/>
      <c r="AF57" s="1"/>
      <c r="AG57" s="36"/>
      <c r="AH57" s="36"/>
    </row>
    <row r="58" spans="1:34" ht="18" x14ac:dyDescent="0.55000000000000004">
      <c r="A58" s="178"/>
      <c r="B58" s="6" t="s">
        <v>21</v>
      </c>
      <c r="C58" s="33"/>
      <c r="D58" s="33"/>
      <c r="E58" s="33"/>
      <c r="F58" s="33">
        <v>1</v>
      </c>
      <c r="G58" s="33"/>
      <c r="H58" s="33"/>
      <c r="I58" s="33"/>
      <c r="J58" s="33"/>
      <c r="K58" s="33"/>
      <c r="L58" s="33"/>
      <c r="M58" s="33"/>
      <c r="N58" s="33"/>
      <c r="O58" s="33"/>
      <c r="P58" s="33"/>
      <c r="Q58" s="33"/>
      <c r="R58" s="33"/>
      <c r="S58" s="33"/>
      <c r="T58" s="33"/>
      <c r="U58" s="35"/>
      <c r="V58" s="35"/>
      <c r="W58" s="35"/>
      <c r="X58" s="35"/>
      <c r="Y58" s="35"/>
      <c r="Z58" s="35"/>
      <c r="AA58" s="35"/>
      <c r="AB58" s="35"/>
      <c r="AC58" s="35"/>
      <c r="AD58" s="35"/>
      <c r="AE58" s="35"/>
      <c r="AF58" s="1"/>
      <c r="AG58" s="36"/>
      <c r="AH58" s="36"/>
    </row>
    <row r="59" spans="1:34" ht="18" x14ac:dyDescent="0.55000000000000004">
      <c r="A59" s="178"/>
      <c r="B59" s="6" t="s">
        <v>22</v>
      </c>
      <c r="C59" s="33"/>
      <c r="D59" s="33"/>
      <c r="E59" s="33"/>
      <c r="F59" s="33">
        <v>1</v>
      </c>
      <c r="G59" s="33"/>
      <c r="H59" s="33"/>
      <c r="I59" s="33"/>
      <c r="J59" s="33"/>
      <c r="K59" s="33"/>
      <c r="L59" s="33"/>
      <c r="M59" s="33"/>
      <c r="N59" s="33"/>
      <c r="O59" s="33"/>
      <c r="P59" s="33"/>
      <c r="Q59" s="33"/>
      <c r="R59" s="33"/>
      <c r="S59" s="33"/>
      <c r="T59" s="33"/>
      <c r="U59" s="35"/>
      <c r="V59" s="35"/>
      <c r="W59" s="35"/>
      <c r="X59" s="35"/>
      <c r="Y59" s="35"/>
      <c r="Z59" s="35"/>
      <c r="AA59" s="35"/>
      <c r="AB59" s="35"/>
      <c r="AC59" s="35"/>
      <c r="AD59" s="35"/>
      <c r="AE59" s="35"/>
      <c r="AF59" s="1"/>
      <c r="AG59" s="36"/>
      <c r="AH59" s="36"/>
    </row>
    <row r="60" spans="1:34" ht="18" x14ac:dyDescent="0.55000000000000004">
      <c r="A60" s="179"/>
      <c r="B60" s="172" t="s">
        <v>11</v>
      </c>
      <c r="C60" s="173"/>
      <c r="D60" s="173"/>
      <c r="E60" s="173"/>
      <c r="F60" s="173"/>
      <c r="G60" s="173"/>
      <c r="H60" s="173"/>
      <c r="I60" s="173"/>
      <c r="J60" s="173"/>
      <c r="K60" s="173"/>
      <c r="L60" s="173"/>
      <c r="M60" s="173"/>
      <c r="N60" s="173"/>
      <c r="O60" s="173"/>
      <c r="P60" s="173"/>
      <c r="Q60" s="173"/>
      <c r="R60" s="173"/>
      <c r="S60" s="173"/>
      <c r="T60" s="154"/>
      <c r="U60" s="154"/>
      <c r="V60" s="154"/>
      <c r="W60" s="154"/>
      <c r="X60" s="9"/>
      <c r="Y60" s="9"/>
      <c r="Z60" s="9"/>
      <c r="AA60" s="9"/>
      <c r="AB60" s="9"/>
      <c r="AC60" s="9"/>
      <c r="AD60" s="26">
        <f t="shared" ref="AD60" si="8">SUM(X60:AC60)</f>
        <v>0</v>
      </c>
      <c r="AE60" s="29">
        <f t="shared" ref="AE60" si="9">W60-AD60</f>
        <v>0</v>
      </c>
      <c r="AF60" s="1"/>
      <c r="AG60" s="36"/>
      <c r="AH60" s="36"/>
    </row>
    <row r="61" spans="1:34" ht="18" x14ac:dyDescent="0.55000000000000004">
      <c r="A61" s="176" t="s">
        <v>46</v>
      </c>
      <c r="B61" s="13" t="s">
        <v>19</v>
      </c>
      <c r="C61" s="33"/>
      <c r="D61" s="33"/>
      <c r="E61" s="33">
        <v>1</v>
      </c>
      <c r="F61" s="33"/>
      <c r="G61" s="33"/>
      <c r="H61" s="33"/>
      <c r="I61" s="33"/>
      <c r="J61" s="33"/>
      <c r="K61" s="33"/>
      <c r="L61" s="33"/>
      <c r="M61" s="33"/>
      <c r="N61" s="33"/>
      <c r="O61" s="33"/>
      <c r="P61" s="33"/>
      <c r="Q61" s="33"/>
      <c r="R61" s="33"/>
      <c r="S61" s="33"/>
      <c r="T61" s="33"/>
      <c r="U61" s="35"/>
      <c r="V61" s="35"/>
      <c r="W61" s="35"/>
      <c r="X61" s="35"/>
      <c r="Y61" s="35"/>
      <c r="Z61" s="35"/>
      <c r="AA61" s="35"/>
      <c r="AB61" s="35"/>
      <c r="AC61" s="35"/>
      <c r="AD61" s="35"/>
      <c r="AE61" s="35"/>
      <c r="AF61" s="1"/>
      <c r="AG61" s="36"/>
      <c r="AH61" s="36"/>
    </row>
    <row r="62" spans="1:34" ht="18" x14ac:dyDescent="0.55000000000000004">
      <c r="A62" s="176"/>
      <c r="B62" s="6" t="s">
        <v>20</v>
      </c>
      <c r="C62" s="33"/>
      <c r="D62" s="33"/>
      <c r="E62" s="33">
        <v>1</v>
      </c>
      <c r="F62" s="33"/>
      <c r="G62" s="33"/>
      <c r="H62" s="33"/>
      <c r="I62" s="33"/>
      <c r="J62" s="33"/>
      <c r="K62" s="33"/>
      <c r="L62" s="33"/>
      <c r="M62" s="33"/>
      <c r="N62" s="33"/>
      <c r="O62" s="33"/>
      <c r="P62" s="33"/>
      <c r="Q62" s="33"/>
      <c r="R62" s="33"/>
      <c r="S62" s="33"/>
      <c r="T62" s="33"/>
      <c r="U62" s="35"/>
      <c r="V62" s="35"/>
      <c r="W62" s="35"/>
      <c r="X62" s="35"/>
      <c r="Y62" s="35"/>
      <c r="Z62" s="35"/>
      <c r="AA62" s="35"/>
      <c r="AB62" s="35"/>
      <c r="AC62" s="35"/>
      <c r="AD62" s="35"/>
      <c r="AE62" s="35"/>
      <c r="AF62" s="1"/>
      <c r="AG62" s="36"/>
      <c r="AH62" s="36"/>
    </row>
    <row r="63" spans="1:34" ht="18" x14ac:dyDescent="0.55000000000000004">
      <c r="A63" s="176"/>
      <c r="B63" s="6" t="s">
        <v>21</v>
      </c>
      <c r="C63" s="33"/>
      <c r="D63" s="33"/>
      <c r="E63" s="33">
        <v>1</v>
      </c>
      <c r="F63" s="33"/>
      <c r="G63" s="33"/>
      <c r="H63" s="33"/>
      <c r="I63" s="33"/>
      <c r="J63" s="33"/>
      <c r="K63" s="33"/>
      <c r="L63" s="33"/>
      <c r="M63" s="33"/>
      <c r="N63" s="33"/>
      <c r="O63" s="33"/>
      <c r="P63" s="33"/>
      <c r="Q63" s="33"/>
      <c r="R63" s="33"/>
      <c r="S63" s="33"/>
      <c r="T63" s="33"/>
      <c r="U63" s="35"/>
      <c r="V63" s="35"/>
      <c r="W63" s="35"/>
      <c r="X63" s="35"/>
      <c r="Y63" s="35"/>
      <c r="Z63" s="35"/>
      <c r="AA63" s="35"/>
      <c r="AB63" s="35"/>
      <c r="AC63" s="35"/>
      <c r="AD63" s="35"/>
      <c r="AE63" s="35"/>
      <c r="AF63" s="1"/>
      <c r="AG63" s="36"/>
      <c r="AH63" s="36"/>
    </row>
    <row r="64" spans="1:34" ht="18" x14ac:dyDescent="0.55000000000000004">
      <c r="A64" s="176"/>
      <c r="B64" s="6" t="s">
        <v>22</v>
      </c>
      <c r="C64" s="33"/>
      <c r="D64" s="33"/>
      <c r="E64" s="33">
        <v>1</v>
      </c>
      <c r="F64" s="33"/>
      <c r="G64" s="33"/>
      <c r="H64" s="33"/>
      <c r="I64" s="33"/>
      <c r="J64" s="33"/>
      <c r="K64" s="33"/>
      <c r="L64" s="33"/>
      <c r="M64" s="33"/>
      <c r="N64" s="33"/>
      <c r="O64" s="33"/>
      <c r="P64" s="33"/>
      <c r="Q64" s="33"/>
      <c r="R64" s="33"/>
      <c r="S64" s="33"/>
      <c r="T64" s="33"/>
      <c r="U64" s="35"/>
      <c r="V64" s="35"/>
      <c r="W64" s="35"/>
      <c r="X64" s="35"/>
      <c r="Y64" s="35"/>
      <c r="Z64" s="35"/>
      <c r="AA64" s="35"/>
      <c r="AB64" s="35"/>
      <c r="AC64" s="35"/>
      <c r="AD64" s="35"/>
      <c r="AE64" s="35"/>
      <c r="AF64" s="1"/>
      <c r="AG64" s="36"/>
      <c r="AH64" s="36"/>
    </row>
    <row r="65" spans="1:39" ht="18" x14ac:dyDescent="0.55000000000000004">
      <c r="A65" s="176"/>
      <c r="B65" s="152" t="s">
        <v>11</v>
      </c>
      <c r="C65" s="153"/>
      <c r="D65" s="153"/>
      <c r="E65" s="153"/>
      <c r="F65" s="153"/>
      <c r="G65" s="153"/>
      <c r="H65" s="153"/>
      <c r="I65" s="153"/>
      <c r="J65" s="153"/>
      <c r="K65" s="153"/>
      <c r="L65" s="153"/>
      <c r="M65" s="153"/>
      <c r="N65" s="153"/>
      <c r="O65" s="153"/>
      <c r="P65" s="153"/>
      <c r="Q65" s="153"/>
      <c r="R65" s="153"/>
      <c r="S65" s="153"/>
      <c r="T65" s="154"/>
      <c r="U65" s="154"/>
      <c r="V65" s="154"/>
      <c r="W65" s="154"/>
      <c r="X65" s="9"/>
      <c r="Y65" s="9"/>
      <c r="Z65" s="9"/>
      <c r="AA65" s="9"/>
      <c r="AB65" s="9"/>
      <c r="AC65" s="9"/>
      <c r="AD65" s="26">
        <f t="shared" ref="AD65" si="10">SUM(X65:AC65)</f>
        <v>0</v>
      </c>
      <c r="AE65" s="29">
        <f t="shared" ref="AE65" si="11">W65-AD65</f>
        <v>0</v>
      </c>
      <c r="AF65" s="1"/>
      <c r="AG65" s="36"/>
      <c r="AH65" s="36"/>
    </row>
    <row r="66" spans="1:39" ht="18.75" customHeight="1" x14ac:dyDescent="0.55000000000000004">
      <c r="A66" s="171" t="s">
        <v>47</v>
      </c>
      <c r="B66" s="13" t="s">
        <v>19</v>
      </c>
      <c r="C66" s="13"/>
      <c r="D66" s="13"/>
      <c r="E66" s="13"/>
      <c r="F66" s="13"/>
      <c r="G66" s="61">
        <v>20</v>
      </c>
      <c r="H66" s="13"/>
      <c r="I66" s="13">
        <v>2</v>
      </c>
      <c r="J66" s="13">
        <v>1</v>
      </c>
      <c r="K66" s="13">
        <v>2</v>
      </c>
      <c r="L66" s="13">
        <v>3</v>
      </c>
      <c r="M66" s="13">
        <v>1</v>
      </c>
      <c r="N66" s="39">
        <v>2</v>
      </c>
      <c r="O66" s="39">
        <v>1</v>
      </c>
      <c r="P66" s="39"/>
      <c r="Q66" s="39">
        <v>1</v>
      </c>
      <c r="R66" s="39">
        <v>2</v>
      </c>
      <c r="S66" s="55">
        <v>1</v>
      </c>
      <c r="T66" s="50">
        <f>SUM(H66:S66)</f>
        <v>16</v>
      </c>
      <c r="U66" s="50"/>
      <c r="V66" s="61">
        <v>15</v>
      </c>
      <c r="W66" s="50">
        <f>SUM(U66:V66)</f>
        <v>15</v>
      </c>
      <c r="X66" s="13">
        <v>2</v>
      </c>
      <c r="Y66" s="13">
        <v>2</v>
      </c>
      <c r="Z66" s="13"/>
      <c r="AA66" s="13"/>
      <c r="AB66" s="13">
        <v>0.5</v>
      </c>
      <c r="AC66" s="13"/>
      <c r="AD66" s="25">
        <f>SUM(X66:AC66)</f>
        <v>4.5</v>
      </c>
      <c r="AE66" s="30">
        <f>W66-AD66</f>
        <v>10.5</v>
      </c>
      <c r="AF66" s="1"/>
      <c r="AG66" s="160" t="s">
        <v>48</v>
      </c>
      <c r="AH66" s="160" t="s">
        <v>49</v>
      </c>
      <c r="AI66" t="s">
        <v>50</v>
      </c>
      <c r="AM66">
        <f>AE66*11</f>
        <v>115.5</v>
      </c>
    </row>
    <row r="67" spans="1:39" ht="18.75" customHeight="1" x14ac:dyDescent="0.55000000000000004">
      <c r="A67" s="171"/>
      <c r="B67" s="6" t="s">
        <v>20</v>
      </c>
      <c r="C67" s="6"/>
      <c r="D67" s="6"/>
      <c r="E67" s="6"/>
      <c r="F67" s="6"/>
      <c r="G67" s="61">
        <v>12</v>
      </c>
      <c r="H67" s="6"/>
      <c r="I67" s="6"/>
      <c r="J67" s="6"/>
      <c r="K67" s="6">
        <v>2</v>
      </c>
      <c r="L67" s="6"/>
      <c r="M67" s="6"/>
      <c r="N67" s="40"/>
      <c r="O67" s="40">
        <v>1</v>
      </c>
      <c r="P67" s="40">
        <v>1</v>
      </c>
      <c r="Q67" s="40"/>
      <c r="R67" s="40"/>
      <c r="S67" s="56">
        <v>1</v>
      </c>
      <c r="T67" s="50">
        <f t="shared" ref="T67:T69" si="12">SUM(H67:S67)</f>
        <v>5</v>
      </c>
      <c r="U67" s="50"/>
      <c r="V67" s="61">
        <v>15</v>
      </c>
      <c r="W67" s="51">
        <f t="shared" ref="W67:W89" si="13">SUM(U67:V67)</f>
        <v>15</v>
      </c>
      <c r="X67" s="6"/>
      <c r="Y67" s="6"/>
      <c r="Z67" s="6"/>
      <c r="AA67" s="6"/>
      <c r="AB67" s="6"/>
      <c r="AC67" s="6"/>
      <c r="AD67" s="25">
        <f t="shared" ref="AD67:AD90" si="14">SUM(X67:AC67)</f>
        <v>0</v>
      </c>
      <c r="AE67" s="24">
        <f t="shared" ref="AE67:AE90" si="15">W67-AD67</f>
        <v>15</v>
      </c>
      <c r="AF67" s="74" t="s">
        <v>51</v>
      </c>
      <c r="AG67" s="18" t="s">
        <v>52</v>
      </c>
      <c r="AH67" s="18" t="s">
        <v>53</v>
      </c>
      <c r="AI67" t="s">
        <v>54</v>
      </c>
      <c r="AM67">
        <f t="shared" ref="AM67:AM69" si="16">AE67*11</f>
        <v>165</v>
      </c>
    </row>
    <row r="68" spans="1:39" ht="18.75" customHeight="1" x14ac:dyDescent="0.55000000000000004">
      <c r="A68" s="171"/>
      <c r="B68" s="6" t="s">
        <v>21</v>
      </c>
      <c r="C68" s="6"/>
      <c r="D68" s="6"/>
      <c r="E68" s="6"/>
      <c r="F68" s="6"/>
      <c r="G68" s="61">
        <v>12</v>
      </c>
      <c r="H68" s="6"/>
      <c r="I68" s="6"/>
      <c r="J68" s="6"/>
      <c r="K68" s="6"/>
      <c r="L68" s="6"/>
      <c r="M68" s="6"/>
      <c r="N68" s="6">
        <v>2</v>
      </c>
      <c r="O68" s="6"/>
      <c r="P68" s="6">
        <v>2</v>
      </c>
      <c r="Q68" s="6">
        <v>1</v>
      </c>
      <c r="R68" s="6"/>
      <c r="S68" s="51"/>
      <c r="T68" s="50">
        <f t="shared" si="12"/>
        <v>5</v>
      </c>
      <c r="U68" s="50"/>
      <c r="V68" s="61">
        <v>15</v>
      </c>
      <c r="W68" s="51">
        <f t="shared" si="13"/>
        <v>15</v>
      </c>
      <c r="X68" s="6"/>
      <c r="Y68" s="6"/>
      <c r="Z68" s="6"/>
      <c r="AA68" s="6">
        <v>2</v>
      </c>
      <c r="AB68" s="6">
        <v>0.5</v>
      </c>
      <c r="AC68" s="6"/>
      <c r="AD68" s="25">
        <f t="shared" si="14"/>
        <v>2.5</v>
      </c>
      <c r="AE68" s="24">
        <f t="shared" si="15"/>
        <v>12.5</v>
      </c>
      <c r="AF68" s="1"/>
      <c r="AG68" s="18" t="s">
        <v>55</v>
      </c>
      <c r="AH68" s="18" t="s">
        <v>56</v>
      </c>
      <c r="AI68" t="s">
        <v>57</v>
      </c>
      <c r="AM68">
        <f t="shared" si="16"/>
        <v>137.5</v>
      </c>
    </row>
    <row r="69" spans="1:39" ht="18.75" customHeight="1" x14ac:dyDescent="0.55000000000000004">
      <c r="A69" s="171"/>
      <c r="B69" s="6" t="s">
        <v>22</v>
      </c>
      <c r="C69" s="6"/>
      <c r="D69" s="6"/>
      <c r="E69" s="6"/>
      <c r="F69" s="6"/>
      <c r="G69" s="61">
        <v>12</v>
      </c>
      <c r="H69" s="6"/>
      <c r="J69" s="6"/>
      <c r="K69" s="6"/>
      <c r="L69" s="6"/>
      <c r="M69" s="6">
        <v>2</v>
      </c>
      <c r="N69" s="6"/>
      <c r="O69" s="6"/>
      <c r="P69" s="6">
        <v>2</v>
      </c>
      <c r="Q69" s="6">
        <v>1</v>
      </c>
      <c r="R69" s="6"/>
      <c r="S69" s="51">
        <v>1</v>
      </c>
      <c r="T69" s="50">
        <f t="shared" si="12"/>
        <v>6</v>
      </c>
      <c r="U69" s="50"/>
      <c r="V69" s="61">
        <v>15</v>
      </c>
      <c r="W69" s="51">
        <f t="shared" si="13"/>
        <v>15</v>
      </c>
      <c r="X69" s="6"/>
      <c r="Y69" s="6"/>
      <c r="Z69" s="6"/>
      <c r="AA69" s="6"/>
      <c r="AB69" s="6">
        <v>2</v>
      </c>
      <c r="AC69" s="6"/>
      <c r="AD69" s="25">
        <f>SUM(X69:AC69)</f>
        <v>2</v>
      </c>
      <c r="AE69" s="24">
        <f t="shared" si="15"/>
        <v>13</v>
      </c>
      <c r="AF69" s="1"/>
      <c r="AG69" s="18" t="s">
        <v>58</v>
      </c>
      <c r="AH69" s="18" t="s">
        <v>59</v>
      </c>
      <c r="AM69">
        <f t="shared" si="16"/>
        <v>143</v>
      </c>
    </row>
    <row r="70" spans="1:39" ht="18.75" customHeight="1" x14ac:dyDescent="0.55000000000000004">
      <c r="A70" s="171"/>
      <c r="B70" s="152" t="s">
        <v>11</v>
      </c>
      <c r="C70" s="153"/>
      <c r="D70" s="153"/>
      <c r="E70" s="153"/>
      <c r="F70" s="153"/>
      <c r="G70" s="153"/>
      <c r="H70" s="153"/>
      <c r="I70" s="153"/>
      <c r="J70" s="153"/>
      <c r="K70" s="153"/>
      <c r="L70" s="153"/>
      <c r="M70" s="153"/>
      <c r="N70" s="153"/>
      <c r="O70" s="153"/>
      <c r="P70" s="153"/>
      <c r="Q70" s="153"/>
      <c r="R70" s="153"/>
      <c r="S70" s="52"/>
      <c r="T70" s="52"/>
      <c r="U70" s="52"/>
      <c r="V70" s="153"/>
      <c r="W70" s="52"/>
      <c r="X70" s="153"/>
      <c r="Y70" s="153"/>
      <c r="Z70" s="153"/>
      <c r="AA70" s="153"/>
      <c r="AB70" s="153"/>
      <c r="AC70" s="153"/>
      <c r="AD70" s="26">
        <f t="shared" si="14"/>
        <v>0</v>
      </c>
      <c r="AE70" s="29">
        <f>SUM(AE66:AE69)</f>
        <v>51</v>
      </c>
      <c r="AF70" s="1"/>
      <c r="AG70" s="19"/>
      <c r="AH70" s="19"/>
    </row>
    <row r="71" spans="1:39" ht="18" x14ac:dyDescent="0.55000000000000004">
      <c r="A71" s="170" t="s">
        <v>60</v>
      </c>
      <c r="B71" s="5" t="s">
        <v>19</v>
      </c>
      <c r="C71" s="5"/>
      <c r="D71" s="5"/>
      <c r="E71" s="5"/>
      <c r="F71" s="5"/>
      <c r="G71" s="62">
        <v>3</v>
      </c>
      <c r="H71" s="5">
        <v>1</v>
      </c>
      <c r="I71" s="5"/>
      <c r="J71" s="5"/>
      <c r="K71" s="5"/>
      <c r="L71" s="5"/>
      <c r="M71" s="5"/>
      <c r="N71" s="41">
        <v>1</v>
      </c>
      <c r="O71" s="41"/>
      <c r="P71" s="41"/>
      <c r="Q71" s="42"/>
      <c r="R71" s="41"/>
      <c r="S71" s="57"/>
      <c r="T71" s="53">
        <f>SUM(H71:S71)</f>
        <v>2</v>
      </c>
      <c r="U71" s="53"/>
      <c r="V71" s="62">
        <v>3</v>
      </c>
      <c r="W71" s="53">
        <f t="shared" si="13"/>
        <v>3</v>
      </c>
      <c r="X71" s="5"/>
      <c r="Y71" s="5"/>
      <c r="Z71" s="5"/>
      <c r="AA71" s="5"/>
      <c r="AB71" s="5"/>
      <c r="AC71" s="5"/>
      <c r="AD71" s="25">
        <f t="shared" si="14"/>
        <v>0</v>
      </c>
      <c r="AE71" s="30">
        <f t="shared" si="15"/>
        <v>3</v>
      </c>
      <c r="AF71" s="1"/>
      <c r="AG71" s="18" t="s">
        <v>61</v>
      </c>
      <c r="AH71" s="18"/>
      <c r="AI71" t="s">
        <v>62</v>
      </c>
      <c r="AM71">
        <f>AE71*50</f>
        <v>150</v>
      </c>
    </row>
    <row r="72" spans="1:39" ht="18.75" customHeight="1" x14ac:dyDescent="0.55000000000000004">
      <c r="A72" s="171"/>
      <c r="B72" s="6" t="s">
        <v>20</v>
      </c>
      <c r="C72" s="6"/>
      <c r="D72" s="6"/>
      <c r="E72" s="6"/>
      <c r="F72" s="6"/>
      <c r="G72" s="63">
        <v>3</v>
      </c>
      <c r="H72" s="6"/>
      <c r="I72" s="6"/>
      <c r="J72" s="6"/>
      <c r="K72" s="6">
        <v>1</v>
      </c>
      <c r="L72" s="6"/>
      <c r="M72" s="6"/>
      <c r="N72" s="40"/>
      <c r="O72" s="40"/>
      <c r="P72" s="40"/>
      <c r="Q72" s="40"/>
      <c r="R72" s="40"/>
      <c r="S72" s="56"/>
      <c r="T72" s="51">
        <f>SUM(H72:S72)</f>
        <v>1</v>
      </c>
      <c r="U72" s="51"/>
      <c r="V72" s="63">
        <v>3</v>
      </c>
      <c r="W72" s="51">
        <f t="shared" si="13"/>
        <v>3</v>
      </c>
      <c r="X72" s="6"/>
      <c r="Y72" s="6"/>
      <c r="Z72" s="6"/>
      <c r="AA72" s="6"/>
      <c r="AB72" s="6"/>
      <c r="AC72" s="6"/>
      <c r="AD72" s="25">
        <f t="shared" si="14"/>
        <v>0</v>
      </c>
      <c r="AE72" s="24">
        <f t="shared" si="15"/>
        <v>3</v>
      </c>
      <c r="AF72" s="1"/>
      <c r="AG72" s="18" t="s">
        <v>61</v>
      </c>
      <c r="AH72" s="18" t="s">
        <v>63</v>
      </c>
      <c r="AI72" t="s">
        <v>64</v>
      </c>
      <c r="AM72">
        <f t="shared" ref="AM72:AM74" si="17">AE72*50</f>
        <v>150</v>
      </c>
    </row>
    <row r="73" spans="1:39" ht="18.75" customHeight="1" x14ac:dyDescent="0.55000000000000004">
      <c r="A73" s="171"/>
      <c r="B73" s="6" t="s">
        <v>21</v>
      </c>
      <c r="C73" s="6"/>
      <c r="D73" s="6"/>
      <c r="E73" s="6"/>
      <c r="F73" s="6"/>
      <c r="G73" s="63">
        <v>2</v>
      </c>
      <c r="H73" s="6"/>
      <c r="I73" s="6"/>
      <c r="J73" s="6"/>
      <c r="K73" s="6"/>
      <c r="L73" s="6"/>
      <c r="M73" s="6">
        <v>1</v>
      </c>
      <c r="N73" s="40"/>
      <c r="O73" s="40"/>
      <c r="P73" s="40"/>
      <c r="Q73" s="40"/>
      <c r="R73" s="40"/>
      <c r="S73" s="56"/>
      <c r="T73" s="51">
        <f>SUM(H73:S73)</f>
        <v>1</v>
      </c>
      <c r="U73" s="51"/>
      <c r="V73" s="63">
        <v>3</v>
      </c>
      <c r="W73" s="51">
        <f t="shared" si="13"/>
        <v>3</v>
      </c>
      <c r="X73" s="6"/>
      <c r="Y73" s="6"/>
      <c r="Z73" s="6"/>
      <c r="AA73" s="6"/>
      <c r="AB73" s="6"/>
      <c r="AC73" s="6"/>
      <c r="AD73" s="25">
        <f t="shared" si="14"/>
        <v>0</v>
      </c>
      <c r="AE73" s="24">
        <f t="shared" si="15"/>
        <v>3</v>
      </c>
      <c r="AF73" s="1"/>
      <c r="AG73" s="18" t="s">
        <v>65</v>
      </c>
      <c r="AH73" s="18" t="s">
        <v>66</v>
      </c>
      <c r="AI73" t="s">
        <v>67</v>
      </c>
      <c r="AM73">
        <f t="shared" si="17"/>
        <v>150</v>
      </c>
    </row>
    <row r="74" spans="1:39" ht="18.75" customHeight="1" x14ac:dyDescent="0.55000000000000004">
      <c r="A74" s="171"/>
      <c r="B74" s="6" t="s">
        <v>22</v>
      </c>
      <c r="C74" s="6"/>
      <c r="D74" s="6"/>
      <c r="E74" s="6"/>
      <c r="F74" s="6"/>
      <c r="G74" s="63">
        <v>2</v>
      </c>
      <c r="H74" s="6"/>
      <c r="I74" s="6"/>
      <c r="J74" s="6"/>
      <c r="K74" s="6"/>
      <c r="L74" s="6"/>
      <c r="M74" s="6">
        <v>1</v>
      </c>
      <c r="N74" s="40"/>
      <c r="O74" s="40"/>
      <c r="P74" s="40"/>
      <c r="Q74" s="40"/>
      <c r="R74" s="40"/>
      <c r="S74" s="56"/>
      <c r="T74" s="51">
        <f>SUM(H74:S74)</f>
        <v>1</v>
      </c>
      <c r="U74" s="51"/>
      <c r="V74" s="63">
        <v>3</v>
      </c>
      <c r="W74" s="51">
        <f t="shared" si="13"/>
        <v>3</v>
      </c>
      <c r="X74" s="6"/>
      <c r="Y74" s="6"/>
      <c r="Z74" s="6"/>
      <c r="AA74" s="6"/>
      <c r="AB74" s="6"/>
      <c r="AC74" s="6"/>
      <c r="AD74" s="25">
        <f t="shared" si="14"/>
        <v>0</v>
      </c>
      <c r="AE74" s="24">
        <f t="shared" si="15"/>
        <v>3</v>
      </c>
      <c r="AF74" s="1"/>
      <c r="AG74" s="18" t="s">
        <v>65</v>
      </c>
      <c r="AH74" s="18"/>
      <c r="AM74">
        <f t="shared" si="17"/>
        <v>150</v>
      </c>
    </row>
    <row r="75" spans="1:39" ht="18.75" customHeight="1" x14ac:dyDescent="0.55000000000000004">
      <c r="A75" s="174"/>
      <c r="B75" s="152" t="s">
        <v>11</v>
      </c>
      <c r="C75" s="153"/>
      <c r="D75" s="153"/>
      <c r="E75" s="153"/>
      <c r="F75" s="153"/>
      <c r="G75" s="153"/>
      <c r="H75" s="153"/>
      <c r="I75" s="153"/>
      <c r="J75" s="153"/>
      <c r="K75" s="153"/>
      <c r="L75" s="153"/>
      <c r="M75" s="153"/>
      <c r="N75" s="153"/>
      <c r="O75" s="153"/>
      <c r="P75" s="153"/>
      <c r="Q75" s="153"/>
      <c r="R75" s="153"/>
      <c r="S75" s="54"/>
      <c r="T75" s="54"/>
      <c r="U75" s="54"/>
      <c r="V75" s="153"/>
      <c r="W75" s="54"/>
      <c r="X75" s="9"/>
      <c r="Y75" s="9"/>
      <c r="Z75" s="9"/>
      <c r="AA75" s="9"/>
      <c r="AB75" s="9"/>
      <c r="AC75" s="9"/>
      <c r="AD75" s="26">
        <f t="shared" si="14"/>
        <v>0</v>
      </c>
      <c r="AE75" s="29">
        <f>SUM(AE71:AE74)</f>
        <v>12</v>
      </c>
      <c r="AF75" s="1"/>
      <c r="AG75" s="19"/>
      <c r="AH75" s="19"/>
    </row>
    <row r="76" spans="1:39" ht="18" x14ac:dyDescent="0.55000000000000004">
      <c r="A76" s="170" t="s">
        <v>68</v>
      </c>
      <c r="B76" s="5" t="s">
        <v>19</v>
      </c>
      <c r="C76" s="5"/>
      <c r="D76" s="5"/>
      <c r="E76" s="5"/>
      <c r="F76" s="5"/>
      <c r="G76" s="62">
        <v>20</v>
      </c>
      <c r="H76" s="5"/>
      <c r="I76" s="5"/>
      <c r="J76" s="5">
        <v>2</v>
      </c>
      <c r="K76" s="5">
        <v>2</v>
      </c>
      <c r="L76" s="5">
        <v>1</v>
      </c>
      <c r="M76" s="5">
        <v>2</v>
      </c>
      <c r="N76" s="41">
        <v>2</v>
      </c>
      <c r="O76" s="41">
        <v>2</v>
      </c>
      <c r="P76" s="40">
        <v>2</v>
      </c>
      <c r="Q76" s="40">
        <v>2</v>
      </c>
      <c r="R76" s="40">
        <v>2</v>
      </c>
      <c r="S76" s="57">
        <v>2</v>
      </c>
      <c r="T76" s="51">
        <f>SUM(H76:S76)</f>
        <v>19</v>
      </c>
      <c r="U76" s="53"/>
      <c r="V76" s="62">
        <v>15</v>
      </c>
      <c r="W76" s="53">
        <f t="shared" si="13"/>
        <v>15</v>
      </c>
      <c r="X76" s="5">
        <v>1</v>
      </c>
      <c r="Y76" s="5">
        <v>2</v>
      </c>
      <c r="Z76" s="5">
        <v>2</v>
      </c>
      <c r="AA76" s="5"/>
      <c r="AB76" s="5">
        <v>2</v>
      </c>
      <c r="AC76" s="5"/>
      <c r="AD76" s="25">
        <f t="shared" si="14"/>
        <v>7</v>
      </c>
      <c r="AE76" s="30">
        <f t="shared" si="15"/>
        <v>8</v>
      </c>
      <c r="AF76" s="1"/>
      <c r="AG76" s="18" t="s">
        <v>69</v>
      </c>
      <c r="AH76" s="18" t="s">
        <v>70</v>
      </c>
      <c r="AI76" t="s">
        <v>71</v>
      </c>
      <c r="AM76">
        <f>AE76*3</f>
        <v>24</v>
      </c>
    </row>
    <row r="77" spans="1:39" ht="18.75" customHeight="1" x14ac:dyDescent="0.55000000000000004">
      <c r="A77" s="171"/>
      <c r="B77" s="6" t="s">
        <v>20</v>
      </c>
      <c r="C77" s="6"/>
      <c r="D77" s="6"/>
      <c r="E77" s="6"/>
      <c r="F77" s="6"/>
      <c r="G77" s="63">
        <v>12</v>
      </c>
      <c r="H77" s="6"/>
      <c r="I77" s="6"/>
      <c r="J77" s="6"/>
      <c r="K77" s="6"/>
      <c r="L77" s="6"/>
      <c r="M77" s="6">
        <v>1</v>
      </c>
      <c r="N77" s="40">
        <v>1</v>
      </c>
      <c r="O77" s="40">
        <v>1</v>
      </c>
      <c r="P77" s="40">
        <v>2</v>
      </c>
      <c r="Q77" s="40">
        <v>1</v>
      </c>
      <c r="R77" s="40">
        <v>1</v>
      </c>
      <c r="S77" s="56">
        <v>1</v>
      </c>
      <c r="T77" s="51">
        <f>SUM(H77:S77)</f>
        <v>8</v>
      </c>
      <c r="U77" s="51"/>
      <c r="V77" s="63">
        <v>15</v>
      </c>
      <c r="W77" s="51">
        <f t="shared" si="13"/>
        <v>15</v>
      </c>
      <c r="X77" s="6"/>
      <c r="Y77" s="6">
        <v>1</v>
      </c>
      <c r="Z77" s="6">
        <v>1</v>
      </c>
      <c r="AA77" s="6">
        <v>2</v>
      </c>
      <c r="AB77" s="6"/>
      <c r="AC77" s="6"/>
      <c r="AD77" s="25">
        <f t="shared" si="14"/>
        <v>4</v>
      </c>
      <c r="AE77" s="24">
        <f t="shared" si="15"/>
        <v>11</v>
      </c>
      <c r="AF77" s="74" t="s">
        <v>72</v>
      </c>
      <c r="AG77" s="18" t="s">
        <v>73</v>
      </c>
      <c r="AH77" s="18" t="s">
        <v>74</v>
      </c>
      <c r="AI77" t="s">
        <v>75</v>
      </c>
      <c r="AM77">
        <f t="shared" ref="AM77:AM79" si="18">AE77*3</f>
        <v>33</v>
      </c>
    </row>
    <row r="78" spans="1:39" ht="18.75" customHeight="1" x14ac:dyDescent="0.55000000000000004">
      <c r="A78" s="171"/>
      <c r="B78" s="6" t="s">
        <v>21</v>
      </c>
      <c r="C78" s="6"/>
      <c r="D78" s="6"/>
      <c r="E78" s="6"/>
      <c r="F78" s="6"/>
      <c r="G78" s="63">
        <v>12</v>
      </c>
      <c r="H78" s="6"/>
      <c r="I78" s="6"/>
      <c r="J78" s="6"/>
      <c r="K78" s="6"/>
      <c r="L78" s="6"/>
      <c r="M78" s="6"/>
      <c r="N78" s="6"/>
      <c r="O78" s="6"/>
      <c r="P78" s="6">
        <v>2</v>
      </c>
      <c r="Q78" s="6"/>
      <c r="R78" s="6">
        <v>2</v>
      </c>
      <c r="S78" s="51">
        <v>1</v>
      </c>
      <c r="T78" s="51">
        <f t="shared" ref="T78:T79" si="19">SUM(H78:S78)</f>
        <v>5</v>
      </c>
      <c r="U78" s="51"/>
      <c r="V78" s="63">
        <v>15</v>
      </c>
      <c r="W78" s="51">
        <f t="shared" si="13"/>
        <v>15</v>
      </c>
      <c r="X78" s="6">
        <v>3</v>
      </c>
      <c r="Y78" s="6">
        <v>1</v>
      </c>
      <c r="Z78" s="6">
        <v>1</v>
      </c>
      <c r="AA78" s="6">
        <v>1</v>
      </c>
      <c r="AB78" s="6">
        <v>1</v>
      </c>
      <c r="AC78" s="6"/>
      <c r="AD78" s="25">
        <f t="shared" si="14"/>
        <v>7</v>
      </c>
      <c r="AE78" s="24">
        <f t="shared" si="15"/>
        <v>8</v>
      </c>
      <c r="AF78" s="1"/>
      <c r="AG78" s="18" t="s">
        <v>76</v>
      </c>
      <c r="AH78" s="18" t="s">
        <v>77</v>
      </c>
      <c r="AI78" t="s">
        <v>78</v>
      </c>
      <c r="AM78">
        <f t="shared" si="18"/>
        <v>24</v>
      </c>
    </row>
    <row r="79" spans="1:39" ht="18.75" customHeight="1" x14ac:dyDescent="0.55000000000000004">
      <c r="A79" s="171"/>
      <c r="B79" s="6" t="s">
        <v>22</v>
      </c>
      <c r="C79" s="6"/>
      <c r="D79" s="6"/>
      <c r="E79" s="6"/>
      <c r="F79" s="6"/>
      <c r="G79" s="63">
        <v>12</v>
      </c>
      <c r="H79" s="6"/>
      <c r="I79" s="6"/>
      <c r="J79" s="6"/>
      <c r="K79" s="6"/>
      <c r="L79" s="6"/>
      <c r="M79" s="6"/>
      <c r="N79" s="6"/>
      <c r="O79" s="6"/>
      <c r="P79" s="6"/>
      <c r="Q79" s="6"/>
      <c r="R79" s="6">
        <v>2</v>
      </c>
      <c r="S79" s="51">
        <v>2</v>
      </c>
      <c r="T79" s="51">
        <f t="shared" si="19"/>
        <v>4</v>
      </c>
      <c r="U79" s="51"/>
      <c r="V79" s="63">
        <v>15</v>
      </c>
      <c r="W79" s="51">
        <f t="shared" si="13"/>
        <v>15</v>
      </c>
      <c r="X79" s="6">
        <v>1</v>
      </c>
      <c r="Y79" s="6">
        <v>1</v>
      </c>
      <c r="Z79" s="6">
        <v>1</v>
      </c>
      <c r="AA79" s="6">
        <v>1</v>
      </c>
      <c r="AB79" s="6"/>
      <c r="AC79" s="6"/>
      <c r="AD79" s="25">
        <f t="shared" si="14"/>
        <v>4</v>
      </c>
      <c r="AE79" s="24">
        <f t="shared" si="15"/>
        <v>11</v>
      </c>
      <c r="AF79" s="1"/>
      <c r="AG79" s="18" t="s">
        <v>55</v>
      </c>
      <c r="AH79" s="18" t="s">
        <v>79</v>
      </c>
      <c r="AI79" t="s">
        <v>80</v>
      </c>
      <c r="AM79">
        <f t="shared" si="18"/>
        <v>33</v>
      </c>
    </row>
    <row r="80" spans="1:39" ht="18.75" customHeight="1" x14ac:dyDescent="0.55000000000000004">
      <c r="A80" s="174"/>
      <c r="B80" s="152" t="s">
        <v>11</v>
      </c>
      <c r="C80" s="153"/>
      <c r="D80" s="153"/>
      <c r="E80" s="153"/>
      <c r="F80" s="153"/>
      <c r="G80" s="153"/>
      <c r="H80" s="153"/>
      <c r="I80" s="153"/>
      <c r="J80" s="153"/>
      <c r="K80" s="153"/>
      <c r="L80" s="153"/>
      <c r="M80" s="153"/>
      <c r="N80" s="153"/>
      <c r="O80" s="153"/>
      <c r="P80" s="153"/>
      <c r="Q80" s="153"/>
      <c r="R80" s="153"/>
      <c r="S80" s="54"/>
      <c r="T80" s="54"/>
      <c r="U80" s="54"/>
      <c r="V80" s="153"/>
      <c r="W80" s="54"/>
      <c r="X80" s="9"/>
      <c r="Y80" s="9"/>
      <c r="Z80" s="9"/>
      <c r="AA80" s="9"/>
      <c r="AB80" s="9"/>
      <c r="AC80" s="9"/>
      <c r="AD80" s="26">
        <f t="shared" si="14"/>
        <v>0</v>
      </c>
      <c r="AE80" s="29">
        <f>SUM(AE76:AE79)</f>
        <v>38</v>
      </c>
      <c r="AF80" s="1"/>
      <c r="AG80" s="19"/>
      <c r="AH80" s="19"/>
    </row>
    <row r="81" spans="1:39" ht="18" x14ac:dyDescent="0.55000000000000004">
      <c r="A81" s="170" t="s">
        <v>25</v>
      </c>
      <c r="B81" s="5" t="s">
        <v>19</v>
      </c>
      <c r="C81" s="38"/>
      <c r="D81" s="38"/>
      <c r="E81" s="38"/>
      <c r="F81" s="38"/>
      <c r="G81" s="64">
        <v>10</v>
      </c>
      <c r="H81" s="38"/>
      <c r="I81" s="38">
        <v>1</v>
      </c>
      <c r="J81" s="38">
        <v>1</v>
      </c>
      <c r="K81" s="38">
        <v>1</v>
      </c>
      <c r="L81" s="58">
        <v>1</v>
      </c>
      <c r="M81" s="58">
        <v>1</v>
      </c>
      <c r="N81" s="58">
        <v>1</v>
      </c>
      <c r="O81" s="58">
        <v>1</v>
      </c>
      <c r="P81" s="58">
        <v>1</v>
      </c>
      <c r="Q81" s="58">
        <v>1</v>
      </c>
      <c r="R81" s="43">
        <v>1</v>
      </c>
      <c r="S81" s="43">
        <v>1</v>
      </c>
      <c r="T81" s="50">
        <f>SUM(H81:S81)</f>
        <v>11</v>
      </c>
      <c r="U81" s="51"/>
      <c r="V81" s="64">
        <v>0</v>
      </c>
      <c r="W81" s="50">
        <f t="shared" si="13"/>
        <v>0</v>
      </c>
      <c r="X81" s="65"/>
      <c r="Y81" s="65"/>
      <c r="Z81" s="65"/>
      <c r="AA81" s="65"/>
      <c r="AB81" s="65"/>
      <c r="AC81" s="65"/>
      <c r="AD81" s="66">
        <f t="shared" si="14"/>
        <v>0</v>
      </c>
      <c r="AE81" s="67">
        <f t="shared" si="15"/>
        <v>0</v>
      </c>
      <c r="AF81" s="1"/>
      <c r="AG81" s="14"/>
      <c r="AH81" s="14"/>
      <c r="AM81">
        <f>SUM(AM66:AM79)</f>
        <v>1275</v>
      </c>
    </row>
    <row r="82" spans="1:39" ht="18.75" customHeight="1" x14ac:dyDescent="0.55000000000000004">
      <c r="A82" s="171"/>
      <c r="B82" s="6" t="s">
        <v>20</v>
      </c>
      <c r="C82" s="37"/>
      <c r="D82" s="37"/>
      <c r="E82" s="37"/>
      <c r="F82" s="37"/>
      <c r="G82" s="63">
        <v>6</v>
      </c>
      <c r="H82" s="37"/>
      <c r="I82" s="37"/>
      <c r="J82" s="37"/>
      <c r="K82" s="37"/>
      <c r="L82" s="43">
        <v>1</v>
      </c>
      <c r="M82" s="43">
        <v>1</v>
      </c>
      <c r="N82" s="43">
        <v>1</v>
      </c>
      <c r="O82" s="43">
        <v>1</v>
      </c>
      <c r="P82" s="43">
        <v>1</v>
      </c>
      <c r="Q82" s="43">
        <v>1</v>
      </c>
      <c r="R82" s="43">
        <v>1</v>
      </c>
      <c r="S82" s="43">
        <v>1</v>
      </c>
      <c r="T82" s="51">
        <f>SUM(H82:S82)</f>
        <v>8</v>
      </c>
      <c r="U82" s="51"/>
      <c r="V82" s="63">
        <v>0</v>
      </c>
      <c r="W82" s="51">
        <f t="shared" si="13"/>
        <v>0</v>
      </c>
      <c r="X82" s="68"/>
      <c r="Y82" s="68"/>
      <c r="Z82" s="68"/>
      <c r="AA82" s="68"/>
      <c r="AB82" s="68"/>
      <c r="AC82" s="68"/>
      <c r="AD82" s="69">
        <f t="shared" si="14"/>
        <v>0</v>
      </c>
      <c r="AE82" s="70">
        <f t="shared" si="15"/>
        <v>0</v>
      </c>
      <c r="AF82" s="1"/>
      <c r="AG82" s="14"/>
      <c r="AH82" s="14"/>
    </row>
    <row r="83" spans="1:39" ht="18.75" customHeight="1" x14ac:dyDescent="0.55000000000000004">
      <c r="A83" s="171"/>
      <c r="B83" s="6" t="s">
        <v>21</v>
      </c>
      <c r="C83" s="37"/>
      <c r="D83" s="37"/>
      <c r="E83" s="37"/>
      <c r="F83" s="37"/>
      <c r="G83" s="63">
        <v>5</v>
      </c>
      <c r="H83" s="37"/>
      <c r="I83" s="37"/>
      <c r="J83" s="37"/>
      <c r="K83" s="37"/>
      <c r="L83" s="43"/>
      <c r="M83" s="43"/>
      <c r="N83" s="43">
        <v>1</v>
      </c>
      <c r="O83" s="43">
        <v>1</v>
      </c>
      <c r="P83" s="43">
        <v>1</v>
      </c>
      <c r="Q83" s="43">
        <v>1</v>
      </c>
      <c r="R83" s="43">
        <v>1</v>
      </c>
      <c r="S83" s="43">
        <v>1</v>
      </c>
      <c r="T83" s="51">
        <f>SUM(H83:S83)</f>
        <v>6</v>
      </c>
      <c r="U83" s="51"/>
      <c r="V83" s="63">
        <v>0</v>
      </c>
      <c r="W83" s="51">
        <f t="shared" si="13"/>
        <v>0</v>
      </c>
      <c r="X83" s="68"/>
      <c r="Y83" s="68"/>
      <c r="Z83" s="68"/>
      <c r="AA83" s="68"/>
      <c r="AB83" s="68"/>
      <c r="AC83" s="68"/>
      <c r="AD83" s="69">
        <f t="shared" si="14"/>
        <v>0</v>
      </c>
      <c r="AE83" s="70">
        <f t="shared" si="15"/>
        <v>0</v>
      </c>
      <c r="AF83" s="1"/>
      <c r="AG83" s="14"/>
      <c r="AH83" s="14"/>
    </row>
    <row r="84" spans="1:39" ht="18.75" customHeight="1" x14ac:dyDescent="0.55000000000000004">
      <c r="A84" s="171"/>
      <c r="B84" s="6" t="s">
        <v>22</v>
      </c>
      <c r="C84" s="37"/>
      <c r="D84" s="37"/>
      <c r="E84" s="37"/>
      <c r="F84" s="37"/>
      <c r="G84" s="63">
        <v>5</v>
      </c>
      <c r="H84" s="37"/>
      <c r="I84" s="37"/>
      <c r="J84" s="37"/>
      <c r="K84" s="37"/>
      <c r="L84" s="43"/>
      <c r="M84" s="43"/>
      <c r="N84" s="43">
        <v>1</v>
      </c>
      <c r="O84" s="43">
        <v>1</v>
      </c>
      <c r="P84" s="43">
        <v>1</v>
      </c>
      <c r="Q84" s="43">
        <v>1</v>
      </c>
      <c r="R84" s="43">
        <v>1</v>
      </c>
      <c r="S84" s="43">
        <v>1</v>
      </c>
      <c r="T84" s="51">
        <f>SUM(H84:S84)</f>
        <v>6</v>
      </c>
      <c r="U84" s="51"/>
      <c r="V84" s="63">
        <v>0</v>
      </c>
      <c r="W84" s="51">
        <f t="shared" si="13"/>
        <v>0</v>
      </c>
      <c r="X84" s="68"/>
      <c r="Y84" s="68"/>
      <c r="Z84" s="68"/>
      <c r="AA84" s="68"/>
      <c r="AB84" s="68"/>
      <c r="AC84" s="68"/>
      <c r="AD84" s="69">
        <f t="shared" si="14"/>
        <v>0</v>
      </c>
      <c r="AE84" s="70">
        <f t="shared" si="15"/>
        <v>0</v>
      </c>
      <c r="AF84" s="1"/>
      <c r="AG84" s="14"/>
      <c r="AH84" s="14"/>
    </row>
    <row r="85" spans="1:39" ht="18.75" customHeight="1" x14ac:dyDescent="0.55000000000000004">
      <c r="A85" s="174"/>
      <c r="B85" s="152" t="s">
        <v>11</v>
      </c>
      <c r="C85" s="153"/>
      <c r="D85" s="153"/>
      <c r="E85" s="153"/>
      <c r="F85" s="153"/>
      <c r="G85" s="153"/>
      <c r="H85" s="153"/>
      <c r="I85" s="153"/>
      <c r="J85" s="153"/>
      <c r="K85" s="153"/>
      <c r="L85" s="153"/>
      <c r="M85" s="153"/>
      <c r="N85" s="153"/>
      <c r="O85" s="153"/>
      <c r="P85" s="153"/>
      <c r="Q85" s="153"/>
      <c r="R85" s="153"/>
      <c r="S85" s="154"/>
      <c r="T85" s="154"/>
      <c r="U85" s="54"/>
      <c r="V85" s="153"/>
      <c r="W85" s="54"/>
      <c r="X85" s="71"/>
      <c r="Y85" s="71"/>
      <c r="Z85" s="71"/>
      <c r="AA85" s="71"/>
      <c r="AB85" s="71"/>
      <c r="AC85" s="71"/>
      <c r="AD85" s="72">
        <f t="shared" si="14"/>
        <v>0</v>
      </c>
      <c r="AE85" s="73">
        <f t="shared" si="15"/>
        <v>0</v>
      </c>
      <c r="AF85" s="1"/>
      <c r="AG85" s="14"/>
      <c r="AH85" s="14"/>
    </row>
    <row r="86" spans="1:39" ht="18" x14ac:dyDescent="0.55000000000000004">
      <c r="A86" s="170" t="s">
        <v>81</v>
      </c>
      <c r="B86" s="5" t="s">
        <v>19</v>
      </c>
      <c r="C86" s="38"/>
      <c r="D86" s="38"/>
      <c r="E86" s="38"/>
      <c r="F86" s="38"/>
      <c r="G86" s="59">
        <v>3</v>
      </c>
      <c r="H86" s="38"/>
      <c r="I86" s="38"/>
      <c r="J86" s="38"/>
      <c r="K86" s="38"/>
      <c r="L86" s="38"/>
      <c r="M86" s="38"/>
      <c r="N86" s="38"/>
      <c r="O86" s="45">
        <v>1</v>
      </c>
      <c r="P86" s="45">
        <v>1</v>
      </c>
      <c r="Q86" s="45">
        <v>1</v>
      </c>
      <c r="R86" s="46">
        <v>1</v>
      </c>
      <c r="S86" s="46">
        <v>1</v>
      </c>
      <c r="T86" s="5">
        <f>SUM(N86:S86)</f>
        <v>5</v>
      </c>
      <c r="U86" s="50"/>
      <c r="V86" s="60">
        <v>8</v>
      </c>
      <c r="W86" s="50">
        <f t="shared" si="13"/>
        <v>8</v>
      </c>
      <c r="X86" s="48">
        <v>1</v>
      </c>
      <c r="Y86" s="48">
        <v>1</v>
      </c>
      <c r="Z86" s="48">
        <v>1</v>
      </c>
      <c r="AA86" s="48">
        <v>1</v>
      </c>
      <c r="AB86" s="48">
        <v>1</v>
      </c>
      <c r="AC86" s="48">
        <v>1</v>
      </c>
      <c r="AD86" s="27">
        <f t="shared" si="14"/>
        <v>6</v>
      </c>
      <c r="AE86" s="30">
        <f t="shared" si="15"/>
        <v>2</v>
      </c>
      <c r="AF86" s="1"/>
      <c r="AG86" s="14"/>
      <c r="AH86" s="14"/>
    </row>
    <row r="87" spans="1:39" ht="18.75" customHeight="1" x14ac:dyDescent="0.55000000000000004">
      <c r="A87" s="171"/>
      <c r="B87" s="6" t="s">
        <v>20</v>
      </c>
      <c r="C87" s="37"/>
      <c r="D87" s="37"/>
      <c r="E87" s="37"/>
      <c r="F87" s="37"/>
      <c r="G87" s="59">
        <v>3</v>
      </c>
      <c r="H87" s="37"/>
      <c r="I87" s="37"/>
      <c r="J87" s="37"/>
      <c r="K87" s="37"/>
      <c r="L87" s="37"/>
      <c r="M87" s="37"/>
      <c r="N87" s="37"/>
      <c r="O87" s="43">
        <v>0</v>
      </c>
      <c r="P87" s="45">
        <v>1</v>
      </c>
      <c r="Q87" s="45">
        <v>1</v>
      </c>
      <c r="R87" s="45">
        <v>1</v>
      </c>
      <c r="S87" s="47">
        <v>1</v>
      </c>
      <c r="T87" s="6">
        <f>SUM(N87:S87)</f>
        <v>4</v>
      </c>
      <c r="U87" s="50"/>
      <c r="V87" s="60">
        <v>7</v>
      </c>
      <c r="W87" s="50">
        <f t="shared" si="13"/>
        <v>7</v>
      </c>
      <c r="X87" s="48">
        <v>1</v>
      </c>
      <c r="Y87" s="48">
        <v>1</v>
      </c>
      <c r="Z87" s="48">
        <v>1</v>
      </c>
      <c r="AA87" s="48">
        <v>1</v>
      </c>
      <c r="AB87" s="48">
        <v>1</v>
      </c>
      <c r="AC87" s="48">
        <v>1</v>
      </c>
      <c r="AD87" s="28">
        <f t="shared" si="14"/>
        <v>6</v>
      </c>
      <c r="AE87" s="24">
        <f t="shared" si="15"/>
        <v>1</v>
      </c>
      <c r="AF87" s="1"/>
      <c r="AG87" s="14"/>
      <c r="AH87" s="14"/>
    </row>
    <row r="88" spans="1:39" ht="18.75" customHeight="1" x14ac:dyDescent="0.55000000000000004">
      <c r="A88" s="171"/>
      <c r="B88" s="6" t="s">
        <v>21</v>
      </c>
      <c r="C88" s="37"/>
      <c r="D88" s="37"/>
      <c r="E88" s="37"/>
      <c r="F88" s="37"/>
      <c r="G88" s="59">
        <v>3</v>
      </c>
      <c r="H88" s="37"/>
      <c r="I88" s="37"/>
      <c r="J88" s="37"/>
      <c r="K88" s="37"/>
      <c r="L88" s="37"/>
      <c r="M88" s="37"/>
      <c r="N88" s="37"/>
      <c r="O88" s="45">
        <v>1</v>
      </c>
      <c r="P88" s="45">
        <v>1</v>
      </c>
      <c r="Q88" s="45">
        <v>1</v>
      </c>
      <c r="R88" s="45">
        <v>1</v>
      </c>
      <c r="S88" s="47">
        <v>1</v>
      </c>
      <c r="T88" s="6">
        <f>SUM(N88:S88)</f>
        <v>5</v>
      </c>
      <c r="U88" s="50"/>
      <c r="V88" s="60">
        <v>7</v>
      </c>
      <c r="W88" s="50">
        <f t="shared" si="13"/>
        <v>7</v>
      </c>
      <c r="X88" s="48">
        <v>1</v>
      </c>
      <c r="Y88" s="48">
        <v>1</v>
      </c>
      <c r="Z88" s="48">
        <v>1</v>
      </c>
      <c r="AA88" s="48">
        <v>1</v>
      </c>
      <c r="AB88" s="48">
        <v>1</v>
      </c>
      <c r="AC88" s="48">
        <v>1</v>
      </c>
      <c r="AD88" s="28">
        <f t="shared" si="14"/>
        <v>6</v>
      </c>
      <c r="AE88" s="24">
        <f t="shared" si="15"/>
        <v>1</v>
      </c>
      <c r="AF88" s="1"/>
      <c r="AG88" s="14"/>
      <c r="AH88" s="14"/>
    </row>
    <row r="89" spans="1:39" ht="18.75" customHeight="1" x14ac:dyDescent="0.55000000000000004">
      <c r="A89" s="171"/>
      <c r="B89" s="6" t="s">
        <v>22</v>
      </c>
      <c r="C89" s="37"/>
      <c r="D89" s="37"/>
      <c r="E89" s="37"/>
      <c r="F89" s="37"/>
      <c r="G89" s="59">
        <v>3</v>
      </c>
      <c r="H89" s="37"/>
      <c r="I89" s="37"/>
      <c r="J89" s="37"/>
      <c r="K89" s="37"/>
      <c r="L89" s="37"/>
      <c r="M89" s="37"/>
      <c r="N89" s="37"/>
      <c r="O89" s="45">
        <v>1</v>
      </c>
      <c r="P89" s="45">
        <v>1</v>
      </c>
      <c r="Q89" s="45">
        <v>1</v>
      </c>
      <c r="R89" s="47">
        <v>1</v>
      </c>
      <c r="S89" s="47">
        <v>1</v>
      </c>
      <c r="T89" s="6">
        <f>SUM(N89:S89)</f>
        <v>5</v>
      </c>
      <c r="U89" s="50"/>
      <c r="V89" s="60">
        <v>8</v>
      </c>
      <c r="W89" s="50">
        <f t="shared" si="13"/>
        <v>8</v>
      </c>
      <c r="X89" s="48">
        <v>1</v>
      </c>
      <c r="Y89" s="48">
        <v>1</v>
      </c>
      <c r="Z89" s="48">
        <v>1</v>
      </c>
      <c r="AA89" s="48">
        <v>1</v>
      </c>
      <c r="AB89" s="48">
        <v>1</v>
      </c>
      <c r="AC89" s="48">
        <v>1</v>
      </c>
      <c r="AD89" s="28">
        <f t="shared" si="14"/>
        <v>6</v>
      </c>
      <c r="AE89" s="24">
        <f t="shared" si="15"/>
        <v>2</v>
      </c>
      <c r="AF89" s="1"/>
      <c r="AG89" s="14"/>
      <c r="AH89" s="14"/>
    </row>
    <row r="90" spans="1:39" ht="18.75" customHeight="1" x14ac:dyDescent="0.55000000000000004">
      <c r="A90" s="174"/>
      <c r="B90" s="152" t="s">
        <v>11</v>
      </c>
      <c r="C90" s="153"/>
      <c r="D90" s="153"/>
      <c r="E90" s="153"/>
      <c r="F90" s="153"/>
      <c r="G90" s="153"/>
      <c r="H90" s="153"/>
      <c r="I90" s="153"/>
      <c r="J90" s="153"/>
      <c r="K90" s="153"/>
      <c r="L90" s="153"/>
      <c r="M90" s="153"/>
      <c r="N90" s="153"/>
      <c r="O90" s="153"/>
      <c r="P90" s="153"/>
      <c r="Q90" s="153"/>
      <c r="R90" s="153"/>
      <c r="S90" s="154"/>
      <c r="T90" s="154"/>
      <c r="U90" s="154"/>
      <c r="V90" s="153"/>
      <c r="W90" s="154"/>
      <c r="X90" s="9"/>
      <c r="Y90" s="9"/>
      <c r="Z90" s="9"/>
      <c r="AA90" s="9"/>
      <c r="AB90" s="9"/>
      <c r="AC90" s="9"/>
      <c r="AD90" s="26">
        <f t="shared" si="14"/>
        <v>0</v>
      </c>
      <c r="AE90" s="29">
        <f t="shared" si="15"/>
        <v>0</v>
      </c>
      <c r="AF90" s="1"/>
      <c r="AG90" s="14"/>
      <c r="AH90" s="14"/>
    </row>
    <row r="91" spans="1:39" ht="18" x14ac:dyDescent="0.5500000000000000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4"/>
      <c r="AH91" s="14"/>
    </row>
    <row r="92" spans="1:39" ht="18" x14ac:dyDescent="0.55000000000000004">
      <c r="A92" s="1"/>
      <c r="B92" s="1"/>
      <c r="C92" s="1"/>
      <c r="D92" s="1"/>
      <c r="E92" s="1"/>
      <c r="F92" s="1"/>
      <c r="G92" s="1"/>
      <c r="H92" s="1"/>
      <c r="I92" s="1"/>
      <c r="J92" s="1"/>
      <c r="K92" s="1"/>
      <c r="L92" s="1"/>
      <c r="M92" s="1"/>
      <c r="N92" s="1"/>
      <c r="O92" s="1"/>
      <c r="P92" s="1"/>
      <c r="Q92" s="1"/>
      <c r="R92" s="1"/>
      <c r="S92" s="1"/>
      <c r="T92" s="1"/>
      <c r="U92" s="49"/>
      <c r="V92" s="1"/>
      <c r="W92" s="1"/>
      <c r="X92" s="1"/>
      <c r="Y92" s="1"/>
      <c r="Z92" s="1"/>
      <c r="AA92" s="1"/>
      <c r="AB92" s="1"/>
      <c r="AC92" s="1"/>
      <c r="AD92" s="1"/>
      <c r="AE92" s="1"/>
      <c r="AF92" s="1"/>
      <c r="AG92" s="14"/>
      <c r="AH92" s="14"/>
    </row>
    <row r="93" spans="1:39" ht="18" x14ac:dyDescent="0.5500000000000000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4"/>
      <c r="AH93" s="14"/>
    </row>
    <row r="94" spans="1:39" ht="18" x14ac:dyDescent="0.5500000000000000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4"/>
      <c r="AH94" s="14"/>
    </row>
    <row r="95" spans="1:39" ht="15.75" customHeight="1" x14ac:dyDescent="0.55000000000000004">
      <c r="U95" s="1"/>
      <c r="AG95" s="20"/>
    </row>
  </sheetData>
  <mergeCells count="26">
    <mergeCell ref="A81:A85"/>
    <mergeCell ref="A86:A90"/>
    <mergeCell ref="A56:A60"/>
    <mergeCell ref="B60:S60"/>
    <mergeCell ref="A61:A65"/>
    <mergeCell ref="A66:A70"/>
    <mergeCell ref="A71:A75"/>
    <mergeCell ref="A76:A80"/>
    <mergeCell ref="A41:A45"/>
    <mergeCell ref="B45:S45"/>
    <mergeCell ref="A46:A50"/>
    <mergeCell ref="B50:S50"/>
    <mergeCell ref="A51:A55"/>
    <mergeCell ref="B55:S55"/>
    <mergeCell ref="A20:A24"/>
    <mergeCell ref="B24:S24"/>
    <mergeCell ref="A25:A29"/>
    <mergeCell ref="B29:S29"/>
    <mergeCell ref="A36:A40"/>
    <mergeCell ref="B40:S40"/>
    <mergeCell ref="A5:A9"/>
    <mergeCell ref="B9:S9"/>
    <mergeCell ref="A10:A14"/>
    <mergeCell ref="B14:S14"/>
    <mergeCell ref="A15:A19"/>
    <mergeCell ref="B19:S19"/>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19C55-1C7D-43ED-AE5B-C3BD66552DD7}">
  <dimension ref="A1:AT181"/>
  <sheetViews>
    <sheetView topLeftCell="A65" zoomScale="69" zoomScaleNormal="80" workbookViewId="0">
      <pane xSplit="25" ySplit="1" topLeftCell="Z66" activePane="bottomRight" state="frozen"/>
      <selection pane="topRight" activeCell="Z65" sqref="Z65"/>
      <selection pane="bottomLeft" activeCell="A66" sqref="A66"/>
      <selection pane="bottomRight" activeCell="AK128" sqref="AK128"/>
    </sheetView>
  </sheetViews>
  <sheetFormatPr defaultColWidth="9" defaultRowHeight="15.75" customHeight="1" x14ac:dyDescent="0.55000000000000004"/>
  <cols>
    <col min="1" max="1" width="17" customWidth="1"/>
    <col min="2" max="2" width="9" bestFit="1" customWidth="1"/>
    <col min="3" max="3" width="8.58203125"/>
    <col min="4" max="4" width="9.58203125" bestFit="1" customWidth="1"/>
    <col min="5" max="24" width="0" hidden="1" customWidth="1"/>
    <col min="25" max="25" width="13.08203125" customWidth="1"/>
    <col min="26" max="27" width="9.5" bestFit="1" customWidth="1"/>
    <col min="28" max="30" width="8.58203125"/>
    <col min="31" max="32" width="9.5" bestFit="1" customWidth="1"/>
    <col min="33" max="33" width="10.08203125" bestFit="1" customWidth="1"/>
    <col min="34" max="34" width="9.08203125" customWidth="1"/>
    <col min="35" max="37" width="8.58203125"/>
    <col min="38" max="38" width="11.33203125" bestFit="1" customWidth="1"/>
    <col min="39" max="39" width="13" customWidth="1"/>
    <col min="40" max="40" width="10.5" customWidth="1"/>
    <col min="41" max="41" width="9.33203125" customWidth="1"/>
    <col min="42" max="42" width="21.25" style="20" customWidth="1"/>
    <col min="43" max="45" width="0" hidden="1" customWidth="1"/>
  </cols>
  <sheetData>
    <row r="1" spans="1:42" ht="18" hidden="1" x14ac:dyDescent="0.5500000000000000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4"/>
      <c r="AP1" s="14"/>
    </row>
    <row r="2" spans="1:42" ht="23" hidden="1" x14ac:dyDescent="0.5500000000000000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4"/>
      <c r="AP2" s="14"/>
    </row>
    <row r="3" spans="1:42" ht="18.75" hidden="1" customHeight="1" x14ac:dyDescent="0.55000000000000004">
      <c r="A3" s="1"/>
      <c r="B3" s="1"/>
      <c r="C3" s="1"/>
      <c r="D3" s="1"/>
      <c r="E3" s="1"/>
      <c r="F3" s="1"/>
      <c r="G3" s="1"/>
      <c r="H3" s="1"/>
      <c r="I3" s="11"/>
      <c r="J3" s="1"/>
      <c r="K3" s="1"/>
      <c r="L3" s="1"/>
      <c r="M3" s="1"/>
      <c r="N3" s="1"/>
      <c r="O3" s="1"/>
      <c r="P3" s="1"/>
      <c r="Q3" s="10" t="s">
        <v>1</v>
      </c>
      <c r="R3" s="11"/>
      <c r="S3" s="11"/>
      <c r="T3" s="11"/>
      <c r="U3" s="11"/>
      <c r="V3" s="11"/>
      <c r="W3" s="11"/>
      <c r="X3" s="11"/>
      <c r="Y3" s="11"/>
      <c r="Z3" s="10" t="s">
        <v>2</v>
      </c>
      <c r="AA3" s="11"/>
      <c r="AB3" s="11"/>
      <c r="AC3" s="11"/>
      <c r="AD3" s="11"/>
      <c r="AE3" s="11"/>
      <c r="AF3" s="11"/>
      <c r="AG3" s="11"/>
      <c r="AH3" s="11"/>
      <c r="AI3" s="11"/>
      <c r="AJ3" s="11"/>
      <c r="AK3" s="11"/>
      <c r="AL3" s="12"/>
      <c r="AM3" s="1"/>
      <c r="AN3" s="1"/>
      <c r="AO3" s="15"/>
      <c r="AP3" s="15"/>
    </row>
    <row r="4" spans="1:42" ht="45" hidden="1" x14ac:dyDescent="0.55000000000000004">
      <c r="A4" s="3" t="s">
        <v>3</v>
      </c>
      <c r="B4" s="3" t="s">
        <v>4</v>
      </c>
      <c r="C4" s="3" t="s">
        <v>4</v>
      </c>
      <c r="D4" s="3"/>
      <c r="E4" s="3"/>
      <c r="F4" s="3"/>
      <c r="G4" s="3"/>
      <c r="H4" s="3"/>
      <c r="I4" s="4"/>
      <c r="J4" s="3"/>
      <c r="K4" s="3"/>
      <c r="L4" s="3"/>
      <c r="M4" s="3"/>
      <c r="N4" s="3"/>
      <c r="O4" s="3"/>
      <c r="P4" s="3" t="s">
        <v>5</v>
      </c>
      <c r="Q4" s="4" t="s">
        <v>6</v>
      </c>
      <c r="R4" s="4" t="s">
        <v>7</v>
      </c>
      <c r="S4" s="4" t="s">
        <v>8</v>
      </c>
      <c r="T4" s="4" t="s">
        <v>9</v>
      </c>
      <c r="U4" s="4" t="s">
        <v>10</v>
      </c>
      <c r="V4" s="4" t="s">
        <v>11</v>
      </c>
      <c r="W4" s="4"/>
      <c r="X4" s="4"/>
      <c r="Y4" s="4"/>
      <c r="Z4" s="4" t="s">
        <v>12</v>
      </c>
      <c r="AA4" s="4" t="s">
        <v>13</v>
      </c>
      <c r="AB4" s="4" t="s">
        <v>14</v>
      </c>
      <c r="AC4" s="4" t="s">
        <v>15</v>
      </c>
      <c r="AD4" s="4" t="s">
        <v>16</v>
      </c>
      <c r="AE4" s="4" t="s">
        <v>17</v>
      </c>
      <c r="AF4" s="4"/>
      <c r="AG4" s="4"/>
      <c r="AH4" s="4"/>
      <c r="AI4" s="4"/>
      <c r="AJ4" s="4"/>
      <c r="AK4" s="4"/>
      <c r="AL4" s="4" t="s">
        <v>11</v>
      </c>
      <c r="AM4" s="22"/>
      <c r="AN4" s="1"/>
      <c r="AO4" s="16" t="s">
        <v>11</v>
      </c>
      <c r="AP4" s="16" t="s">
        <v>11</v>
      </c>
    </row>
    <row r="5" spans="1:42" ht="18.75" hidden="1" customHeight="1" x14ac:dyDescent="0.55000000000000004">
      <c r="A5" s="170" t="s">
        <v>18</v>
      </c>
      <c r="B5" s="5" t="s">
        <v>19</v>
      </c>
      <c r="C5" s="5" t="s">
        <v>19</v>
      </c>
      <c r="D5" s="5"/>
      <c r="E5" s="5"/>
      <c r="F5" s="5"/>
      <c r="G5" s="5"/>
      <c r="H5" s="5"/>
      <c r="I5" s="5"/>
      <c r="J5" s="5"/>
      <c r="K5" s="5"/>
      <c r="L5" s="5"/>
      <c r="M5" s="5"/>
      <c r="N5" s="5"/>
      <c r="O5" s="5"/>
      <c r="P5" s="5">
        <v>10</v>
      </c>
      <c r="Q5" s="5">
        <v>2</v>
      </c>
      <c r="R5" s="5"/>
      <c r="S5" s="5"/>
      <c r="T5" s="5"/>
      <c r="U5" s="5"/>
      <c r="V5" s="5">
        <f>SUM(P5:U5)</f>
        <v>12</v>
      </c>
      <c r="W5" s="5"/>
      <c r="X5" s="5"/>
      <c r="Y5" s="5"/>
      <c r="Z5" s="5"/>
      <c r="AA5" s="5"/>
      <c r="AB5" s="5"/>
      <c r="AC5" s="5"/>
      <c r="AD5" s="5"/>
      <c r="AE5" s="5"/>
      <c r="AF5" s="5"/>
      <c r="AG5" s="5"/>
      <c r="AH5" s="5"/>
      <c r="AI5" s="5"/>
      <c r="AJ5" s="5"/>
      <c r="AK5" s="5"/>
      <c r="AL5" s="5">
        <v>12</v>
      </c>
      <c r="AM5" s="1"/>
      <c r="AN5" s="1"/>
      <c r="AO5" s="17">
        <v>12</v>
      </c>
      <c r="AP5" s="17">
        <v>12</v>
      </c>
    </row>
    <row r="6" spans="1:42" ht="18.75" hidden="1" customHeight="1" x14ac:dyDescent="0.55000000000000004">
      <c r="A6" s="171"/>
      <c r="B6" s="6" t="s">
        <v>20</v>
      </c>
      <c r="C6" s="6" t="s">
        <v>20</v>
      </c>
      <c r="D6" s="6"/>
      <c r="E6" s="6"/>
      <c r="F6" s="6"/>
      <c r="G6" s="6"/>
      <c r="H6" s="6"/>
      <c r="I6" s="6"/>
      <c r="J6" s="6"/>
      <c r="K6" s="6"/>
      <c r="L6" s="6"/>
      <c r="M6" s="6"/>
      <c r="N6" s="6"/>
      <c r="O6" s="6"/>
      <c r="P6" s="6">
        <v>2</v>
      </c>
      <c r="Q6" s="6">
        <v>2</v>
      </c>
      <c r="R6" s="6">
        <v>2</v>
      </c>
      <c r="S6" s="6">
        <v>2</v>
      </c>
      <c r="T6" s="6">
        <v>2</v>
      </c>
      <c r="U6" s="6">
        <v>2</v>
      </c>
      <c r="V6" s="6">
        <f>SUM(P6:U6)</f>
        <v>12</v>
      </c>
      <c r="W6" s="6"/>
      <c r="X6" s="6"/>
      <c r="Y6" s="6"/>
      <c r="Z6" s="6"/>
      <c r="AA6" s="6"/>
      <c r="AB6" s="6"/>
      <c r="AC6" s="6"/>
      <c r="AD6" s="6"/>
      <c r="AE6" s="6"/>
      <c r="AF6" s="6"/>
      <c r="AG6" s="6"/>
      <c r="AH6" s="6"/>
      <c r="AI6" s="6"/>
      <c r="AJ6" s="6"/>
      <c r="AK6" s="6"/>
      <c r="AL6" s="6">
        <v>12</v>
      </c>
      <c r="AM6" s="1"/>
      <c r="AN6" s="1"/>
      <c r="AO6" s="18">
        <v>12</v>
      </c>
      <c r="AP6" s="18">
        <v>12</v>
      </c>
    </row>
    <row r="7" spans="1:42" ht="18.75" hidden="1" customHeight="1" x14ac:dyDescent="0.55000000000000004">
      <c r="A7" s="171"/>
      <c r="B7" s="6" t="s">
        <v>21</v>
      </c>
      <c r="C7" s="6" t="s">
        <v>21</v>
      </c>
      <c r="D7" s="6"/>
      <c r="E7" s="6"/>
      <c r="F7" s="6"/>
      <c r="G7" s="6"/>
      <c r="H7" s="6"/>
      <c r="I7" s="6"/>
      <c r="J7" s="6"/>
      <c r="K7" s="6"/>
      <c r="L7" s="6"/>
      <c r="M7" s="6"/>
      <c r="N7" s="6"/>
      <c r="O7" s="6"/>
      <c r="P7" s="6">
        <v>2</v>
      </c>
      <c r="Q7" s="6">
        <v>2</v>
      </c>
      <c r="R7" s="6">
        <v>2</v>
      </c>
      <c r="S7" s="6">
        <v>2</v>
      </c>
      <c r="T7" s="6">
        <v>2</v>
      </c>
      <c r="U7" s="6">
        <v>2</v>
      </c>
      <c r="V7" s="6">
        <f>SUM(P7:U7)</f>
        <v>12</v>
      </c>
      <c r="W7" s="6"/>
      <c r="X7" s="6"/>
      <c r="Y7" s="6"/>
      <c r="Z7" s="6"/>
      <c r="AA7" s="6"/>
      <c r="AB7" s="6"/>
      <c r="AC7" s="6"/>
      <c r="AD7" s="6"/>
      <c r="AE7" s="6"/>
      <c r="AF7" s="6"/>
      <c r="AG7" s="6"/>
      <c r="AH7" s="6"/>
      <c r="AI7" s="6"/>
      <c r="AJ7" s="6"/>
      <c r="AK7" s="6"/>
      <c r="AL7" s="6">
        <v>12</v>
      </c>
      <c r="AM7" s="1"/>
      <c r="AN7" s="1"/>
      <c r="AO7" s="18">
        <v>12</v>
      </c>
      <c r="AP7" s="18">
        <v>12</v>
      </c>
    </row>
    <row r="8" spans="1:42" ht="18.75" hidden="1" customHeight="1" x14ac:dyDescent="0.55000000000000004">
      <c r="A8" s="171"/>
      <c r="B8" s="6" t="s">
        <v>22</v>
      </c>
      <c r="C8" s="6" t="s">
        <v>22</v>
      </c>
      <c r="D8" s="6"/>
      <c r="E8" s="6"/>
      <c r="F8" s="6"/>
      <c r="G8" s="6"/>
      <c r="H8" s="6"/>
      <c r="I8" s="6"/>
      <c r="J8" s="6"/>
      <c r="K8" s="6"/>
      <c r="L8" s="6"/>
      <c r="M8" s="6"/>
      <c r="N8" s="6"/>
      <c r="O8" s="6"/>
      <c r="P8" s="6">
        <v>2</v>
      </c>
      <c r="Q8" s="6">
        <v>2</v>
      </c>
      <c r="R8" s="6">
        <v>2</v>
      </c>
      <c r="S8" s="6">
        <v>2</v>
      </c>
      <c r="T8" s="6">
        <v>2</v>
      </c>
      <c r="U8" s="6">
        <v>2</v>
      </c>
      <c r="V8" s="6">
        <f>SUM(P8:U8)</f>
        <v>12</v>
      </c>
      <c r="W8" s="6"/>
      <c r="X8" s="6"/>
      <c r="Y8" s="6"/>
      <c r="Z8" s="6"/>
      <c r="AA8" s="6"/>
      <c r="AB8" s="6"/>
      <c r="AC8" s="6"/>
      <c r="AD8" s="6"/>
      <c r="AE8" s="6"/>
      <c r="AF8" s="6"/>
      <c r="AG8" s="6"/>
      <c r="AH8" s="6"/>
      <c r="AI8" s="6"/>
      <c r="AJ8" s="6"/>
      <c r="AK8" s="6"/>
      <c r="AL8" s="6">
        <v>12</v>
      </c>
      <c r="AM8" s="1"/>
      <c r="AN8" s="1"/>
      <c r="AO8" s="18">
        <v>12</v>
      </c>
      <c r="AP8" s="18">
        <v>12</v>
      </c>
    </row>
    <row r="9" spans="1:42" ht="18.75" hidden="1" customHeight="1" x14ac:dyDescent="0.55000000000000004">
      <c r="A9" s="171"/>
      <c r="B9" s="76"/>
      <c r="C9" s="172" t="s">
        <v>11</v>
      </c>
      <c r="D9" s="173"/>
      <c r="E9" s="173"/>
      <c r="F9" s="173"/>
      <c r="G9" s="173"/>
      <c r="H9" s="173"/>
      <c r="I9" s="173"/>
      <c r="J9" s="173"/>
      <c r="K9" s="173"/>
      <c r="L9" s="173"/>
      <c r="M9" s="173"/>
      <c r="N9" s="173"/>
      <c r="O9" s="173"/>
      <c r="P9" s="173"/>
      <c r="Q9" s="173"/>
      <c r="R9" s="173"/>
      <c r="S9" s="173"/>
      <c r="T9" s="173"/>
      <c r="U9" s="173"/>
      <c r="V9" s="153"/>
      <c r="W9" s="153"/>
      <c r="X9" s="153"/>
      <c r="Y9" s="153"/>
      <c r="Z9" s="153"/>
      <c r="AA9" s="153"/>
      <c r="AB9" s="153"/>
      <c r="AC9" s="153"/>
      <c r="AD9" s="153"/>
      <c r="AE9" s="153"/>
      <c r="AF9" s="153"/>
      <c r="AG9" s="153"/>
      <c r="AH9" s="153"/>
      <c r="AI9" s="153"/>
      <c r="AJ9" s="153"/>
      <c r="AK9" s="153"/>
      <c r="AL9" s="7">
        <v>48</v>
      </c>
      <c r="AM9" s="23"/>
      <c r="AN9" s="1"/>
      <c r="AO9" s="19">
        <v>48</v>
      </c>
      <c r="AP9" s="19">
        <v>48</v>
      </c>
    </row>
    <row r="10" spans="1:42" ht="18" hidden="1" x14ac:dyDescent="0.55000000000000004">
      <c r="A10" s="170" t="s">
        <v>23</v>
      </c>
      <c r="B10" s="5" t="s">
        <v>19</v>
      </c>
      <c r="C10" s="5" t="s">
        <v>19</v>
      </c>
      <c r="D10" s="5"/>
      <c r="E10" s="5"/>
      <c r="F10" s="5"/>
      <c r="G10" s="5"/>
      <c r="H10" s="5"/>
      <c r="I10" s="5"/>
      <c r="J10" s="5"/>
      <c r="K10" s="5"/>
      <c r="L10" s="5"/>
      <c r="M10" s="5"/>
      <c r="N10" s="5"/>
      <c r="O10" s="5"/>
      <c r="P10" s="5">
        <v>1</v>
      </c>
      <c r="Q10" s="5"/>
      <c r="R10" s="5">
        <v>1</v>
      </c>
      <c r="S10" s="8"/>
      <c r="T10" s="5"/>
      <c r="U10" s="5"/>
      <c r="V10" s="5">
        <f>SUM(P10:U10)</f>
        <v>2</v>
      </c>
      <c r="W10" s="5"/>
      <c r="X10" s="5"/>
      <c r="Y10" s="5"/>
      <c r="Z10" s="5"/>
      <c r="AA10" s="5"/>
      <c r="AB10" s="5"/>
      <c r="AC10" s="5"/>
      <c r="AD10" s="5"/>
      <c r="AE10" s="5"/>
      <c r="AF10" s="5"/>
      <c r="AG10" s="5"/>
      <c r="AH10" s="5"/>
      <c r="AI10" s="5"/>
      <c r="AJ10" s="5"/>
      <c r="AK10" s="5"/>
      <c r="AL10" s="5">
        <v>2</v>
      </c>
      <c r="AM10" s="1"/>
      <c r="AN10" s="1"/>
      <c r="AO10" s="17">
        <v>2</v>
      </c>
      <c r="AP10" s="17">
        <v>2</v>
      </c>
    </row>
    <row r="11" spans="1:42" ht="18.75" hidden="1" customHeight="1" x14ac:dyDescent="0.55000000000000004">
      <c r="A11" s="171"/>
      <c r="B11" s="6" t="s">
        <v>20</v>
      </c>
      <c r="C11" s="6" t="s">
        <v>20</v>
      </c>
      <c r="D11" s="6"/>
      <c r="E11" s="6"/>
      <c r="F11" s="6"/>
      <c r="G11" s="6"/>
      <c r="H11" s="6"/>
      <c r="I11" s="6"/>
      <c r="J11" s="6"/>
      <c r="K11" s="6"/>
      <c r="L11" s="6"/>
      <c r="M11" s="6"/>
      <c r="N11" s="6"/>
      <c r="O11" s="6"/>
      <c r="P11" s="6">
        <v>1</v>
      </c>
      <c r="Q11" s="6"/>
      <c r="R11" s="6"/>
      <c r="S11" s="6">
        <v>1</v>
      </c>
      <c r="T11" s="6"/>
      <c r="U11" s="6"/>
      <c r="V11" s="6">
        <f>SUM(P11:U11)</f>
        <v>2</v>
      </c>
      <c r="W11" s="6"/>
      <c r="X11" s="6"/>
      <c r="Y11" s="6"/>
      <c r="Z11" s="6"/>
      <c r="AA11" s="6"/>
      <c r="AB11" s="6"/>
      <c r="AC11" s="6"/>
      <c r="AD11" s="6"/>
      <c r="AE11" s="6"/>
      <c r="AF11" s="6"/>
      <c r="AG11" s="6"/>
      <c r="AH11" s="6"/>
      <c r="AI11" s="6"/>
      <c r="AJ11" s="6"/>
      <c r="AK11" s="6"/>
      <c r="AL11" s="6">
        <v>2</v>
      </c>
      <c r="AM11" s="1"/>
      <c r="AN11" s="1"/>
      <c r="AO11" s="18">
        <v>2</v>
      </c>
      <c r="AP11" s="18">
        <v>2</v>
      </c>
    </row>
    <row r="12" spans="1:42" ht="18.75" hidden="1" customHeight="1" x14ac:dyDescent="0.55000000000000004">
      <c r="A12" s="171"/>
      <c r="B12" s="6" t="s">
        <v>21</v>
      </c>
      <c r="C12" s="6" t="s">
        <v>21</v>
      </c>
      <c r="D12" s="6"/>
      <c r="E12" s="6"/>
      <c r="F12" s="6"/>
      <c r="G12" s="6"/>
      <c r="H12" s="6"/>
      <c r="I12" s="6"/>
      <c r="J12" s="6"/>
      <c r="K12" s="6"/>
      <c r="L12" s="6"/>
      <c r="M12" s="6"/>
      <c r="N12" s="6"/>
      <c r="O12" s="6"/>
      <c r="P12" s="6">
        <v>1</v>
      </c>
      <c r="Q12" s="6"/>
      <c r="R12" s="6"/>
      <c r="S12" s="6">
        <v>1</v>
      </c>
      <c r="T12" s="6"/>
      <c r="U12" s="6"/>
      <c r="V12" s="6">
        <f>SUM(P12:U12)</f>
        <v>2</v>
      </c>
      <c r="W12" s="6"/>
      <c r="X12" s="6"/>
      <c r="Y12" s="6"/>
      <c r="Z12" s="6"/>
      <c r="AA12" s="6"/>
      <c r="AB12" s="6"/>
      <c r="AC12" s="6"/>
      <c r="AD12" s="6"/>
      <c r="AE12" s="6"/>
      <c r="AF12" s="6"/>
      <c r="AG12" s="6"/>
      <c r="AH12" s="6"/>
      <c r="AI12" s="6"/>
      <c r="AJ12" s="6"/>
      <c r="AK12" s="6"/>
      <c r="AL12" s="6">
        <v>2</v>
      </c>
      <c r="AM12" s="1"/>
      <c r="AN12" s="1"/>
      <c r="AO12" s="18">
        <v>2</v>
      </c>
      <c r="AP12" s="18">
        <v>2</v>
      </c>
    </row>
    <row r="13" spans="1:42" ht="18.75" hidden="1" customHeight="1" x14ac:dyDescent="0.55000000000000004">
      <c r="A13" s="171"/>
      <c r="B13" s="6" t="s">
        <v>22</v>
      </c>
      <c r="C13" s="6" t="s">
        <v>22</v>
      </c>
      <c r="D13" s="6"/>
      <c r="E13" s="6"/>
      <c r="F13" s="6"/>
      <c r="G13" s="6"/>
      <c r="H13" s="6"/>
      <c r="I13" s="6"/>
      <c r="J13" s="6"/>
      <c r="K13" s="6"/>
      <c r="L13" s="6"/>
      <c r="M13" s="6"/>
      <c r="N13" s="6"/>
      <c r="O13" s="6"/>
      <c r="P13" s="6">
        <v>1</v>
      </c>
      <c r="Q13" s="6"/>
      <c r="R13" s="6"/>
      <c r="S13" s="6">
        <v>1</v>
      </c>
      <c r="T13" s="6"/>
      <c r="U13" s="6"/>
      <c r="V13" s="6">
        <f>SUM(P13:U13)</f>
        <v>2</v>
      </c>
      <c r="W13" s="6"/>
      <c r="X13" s="6"/>
      <c r="Y13" s="6"/>
      <c r="Z13" s="6"/>
      <c r="AA13" s="6"/>
      <c r="AB13" s="6"/>
      <c r="AC13" s="6"/>
      <c r="AD13" s="6"/>
      <c r="AE13" s="6"/>
      <c r="AF13" s="6"/>
      <c r="AG13" s="6"/>
      <c r="AH13" s="6"/>
      <c r="AI13" s="6"/>
      <c r="AJ13" s="6"/>
      <c r="AK13" s="6"/>
      <c r="AL13" s="6">
        <v>2</v>
      </c>
      <c r="AM13" s="1"/>
      <c r="AN13" s="1"/>
      <c r="AO13" s="18">
        <v>2</v>
      </c>
      <c r="AP13" s="18">
        <v>2</v>
      </c>
    </row>
    <row r="14" spans="1:42" ht="18.75" hidden="1" customHeight="1" x14ac:dyDescent="0.55000000000000004">
      <c r="A14" s="174"/>
      <c r="B14" s="76"/>
      <c r="C14" s="172" t="s">
        <v>11</v>
      </c>
      <c r="D14" s="173"/>
      <c r="E14" s="173"/>
      <c r="F14" s="173"/>
      <c r="G14" s="173"/>
      <c r="H14" s="173"/>
      <c r="I14" s="173"/>
      <c r="J14" s="173"/>
      <c r="K14" s="173"/>
      <c r="L14" s="173"/>
      <c r="M14" s="173"/>
      <c r="N14" s="173"/>
      <c r="O14" s="173"/>
      <c r="P14" s="173"/>
      <c r="Q14" s="173"/>
      <c r="R14" s="173"/>
      <c r="S14" s="173"/>
      <c r="T14" s="173"/>
      <c r="U14" s="175"/>
      <c r="V14" s="154"/>
      <c r="W14" s="154"/>
      <c r="X14" s="154"/>
      <c r="Y14" s="154"/>
      <c r="Z14" s="9"/>
      <c r="AA14" s="9"/>
      <c r="AB14" s="9"/>
      <c r="AC14" s="9"/>
      <c r="AD14" s="9"/>
      <c r="AE14" s="9"/>
      <c r="AF14" s="9"/>
      <c r="AG14" s="9"/>
      <c r="AH14" s="9"/>
      <c r="AI14" s="9"/>
      <c r="AJ14" s="9"/>
      <c r="AK14" s="9"/>
      <c r="AL14" s="7">
        <v>8</v>
      </c>
      <c r="AM14" s="23"/>
      <c r="AN14" s="1"/>
      <c r="AO14" s="19">
        <v>8</v>
      </c>
      <c r="AP14" s="19">
        <v>8</v>
      </c>
    </row>
    <row r="15" spans="1:42" ht="18" hidden="1" x14ac:dyDescent="0.55000000000000004">
      <c r="A15" s="170" t="s">
        <v>24</v>
      </c>
      <c r="B15" s="5" t="s">
        <v>19</v>
      </c>
      <c r="C15" s="5" t="s">
        <v>19</v>
      </c>
      <c r="D15" s="5"/>
      <c r="E15" s="5"/>
      <c r="F15" s="5"/>
      <c r="G15" s="5"/>
      <c r="H15" s="5"/>
      <c r="I15" s="5"/>
      <c r="J15" s="5"/>
      <c r="K15" s="5"/>
      <c r="L15" s="5"/>
      <c r="M15" s="5"/>
      <c r="N15" s="5"/>
      <c r="O15" s="5"/>
      <c r="P15" s="5">
        <v>10</v>
      </c>
      <c r="Q15" s="5">
        <v>2</v>
      </c>
      <c r="R15" s="5"/>
      <c r="S15" s="5"/>
      <c r="T15" s="5"/>
      <c r="U15" s="5"/>
      <c r="V15" s="5">
        <f>SUM(P15:U15)</f>
        <v>12</v>
      </c>
      <c r="W15" s="5"/>
      <c r="X15" s="5"/>
      <c r="Y15" s="5"/>
      <c r="Z15" s="5"/>
      <c r="AA15" s="5"/>
      <c r="AB15" s="5"/>
      <c r="AC15" s="5"/>
      <c r="AD15" s="5"/>
      <c r="AE15" s="5"/>
      <c r="AF15" s="5"/>
      <c r="AG15" s="5"/>
      <c r="AH15" s="5"/>
      <c r="AI15" s="5"/>
      <c r="AJ15" s="5"/>
      <c r="AK15" s="5"/>
      <c r="AL15" s="5">
        <v>12</v>
      </c>
      <c r="AM15" s="1"/>
      <c r="AN15" s="1"/>
      <c r="AO15" s="17">
        <v>12</v>
      </c>
      <c r="AP15" s="17">
        <v>12</v>
      </c>
    </row>
    <row r="16" spans="1:42" ht="18.75" hidden="1" customHeight="1" x14ac:dyDescent="0.55000000000000004">
      <c r="A16" s="171"/>
      <c r="B16" s="6" t="s">
        <v>20</v>
      </c>
      <c r="C16" s="6" t="s">
        <v>20</v>
      </c>
      <c r="D16" s="6"/>
      <c r="E16" s="6"/>
      <c r="F16" s="6"/>
      <c r="G16" s="6"/>
      <c r="H16" s="6"/>
      <c r="I16" s="6"/>
      <c r="J16" s="6"/>
      <c r="K16" s="6"/>
      <c r="L16" s="6"/>
      <c r="M16" s="6"/>
      <c r="N16" s="6"/>
      <c r="O16" s="6"/>
      <c r="P16" s="6">
        <v>2</v>
      </c>
      <c r="Q16" s="6">
        <v>2</v>
      </c>
      <c r="R16" s="6">
        <v>2</v>
      </c>
      <c r="S16" s="6">
        <v>2</v>
      </c>
      <c r="T16" s="6">
        <v>2</v>
      </c>
      <c r="U16" s="6">
        <v>2</v>
      </c>
      <c r="V16" s="6">
        <f>SUM(P16:U16)</f>
        <v>12</v>
      </c>
      <c r="W16" s="6"/>
      <c r="X16" s="6"/>
      <c r="Y16" s="6"/>
      <c r="Z16" s="6"/>
      <c r="AA16" s="6"/>
      <c r="AB16" s="6"/>
      <c r="AC16" s="6"/>
      <c r="AD16" s="6"/>
      <c r="AE16" s="6"/>
      <c r="AF16" s="6"/>
      <c r="AG16" s="6"/>
      <c r="AH16" s="6"/>
      <c r="AI16" s="6"/>
      <c r="AJ16" s="6"/>
      <c r="AK16" s="6"/>
      <c r="AL16" s="6">
        <v>12</v>
      </c>
      <c r="AM16" s="1"/>
      <c r="AN16" s="1"/>
      <c r="AO16" s="18">
        <v>12</v>
      </c>
      <c r="AP16" s="18">
        <v>12</v>
      </c>
    </row>
    <row r="17" spans="1:42" ht="18.75" hidden="1" customHeight="1" x14ac:dyDescent="0.55000000000000004">
      <c r="A17" s="171"/>
      <c r="B17" s="6" t="s">
        <v>21</v>
      </c>
      <c r="C17" s="6" t="s">
        <v>21</v>
      </c>
      <c r="D17" s="6"/>
      <c r="E17" s="6"/>
      <c r="F17" s="6"/>
      <c r="G17" s="6"/>
      <c r="H17" s="6"/>
      <c r="I17" s="6"/>
      <c r="J17" s="6"/>
      <c r="K17" s="6"/>
      <c r="L17" s="6"/>
      <c r="M17" s="6"/>
      <c r="N17" s="6"/>
      <c r="O17" s="6"/>
      <c r="P17" s="6">
        <v>2</v>
      </c>
      <c r="Q17" s="6">
        <v>2</v>
      </c>
      <c r="R17" s="6">
        <v>2</v>
      </c>
      <c r="S17" s="6">
        <v>2</v>
      </c>
      <c r="T17" s="6">
        <v>2</v>
      </c>
      <c r="U17" s="6">
        <v>2</v>
      </c>
      <c r="V17" s="6">
        <f>SUM(P17:U17)</f>
        <v>12</v>
      </c>
      <c r="W17" s="6"/>
      <c r="X17" s="6"/>
      <c r="Y17" s="6"/>
      <c r="Z17" s="6"/>
      <c r="AA17" s="6"/>
      <c r="AB17" s="6"/>
      <c r="AC17" s="6"/>
      <c r="AD17" s="6"/>
      <c r="AE17" s="6"/>
      <c r="AF17" s="6"/>
      <c r="AG17" s="6"/>
      <c r="AH17" s="6"/>
      <c r="AI17" s="6"/>
      <c r="AJ17" s="6"/>
      <c r="AK17" s="6"/>
      <c r="AL17" s="6">
        <v>12</v>
      </c>
      <c r="AM17" s="1"/>
      <c r="AN17" s="1"/>
      <c r="AO17" s="18">
        <v>12</v>
      </c>
      <c r="AP17" s="18">
        <v>12</v>
      </c>
    </row>
    <row r="18" spans="1:42" ht="18.75" hidden="1" customHeight="1" x14ac:dyDescent="0.55000000000000004">
      <c r="A18" s="171"/>
      <c r="B18" s="6" t="s">
        <v>22</v>
      </c>
      <c r="C18" s="6" t="s">
        <v>22</v>
      </c>
      <c r="D18" s="6"/>
      <c r="E18" s="6"/>
      <c r="F18" s="6"/>
      <c r="G18" s="6"/>
      <c r="H18" s="6"/>
      <c r="I18" s="6"/>
      <c r="J18" s="6"/>
      <c r="K18" s="6"/>
      <c r="L18" s="6"/>
      <c r="M18" s="6"/>
      <c r="N18" s="6"/>
      <c r="O18" s="6"/>
      <c r="P18" s="6">
        <v>2</v>
      </c>
      <c r="Q18" s="6">
        <v>2</v>
      </c>
      <c r="R18" s="6">
        <v>2</v>
      </c>
      <c r="S18" s="6">
        <v>2</v>
      </c>
      <c r="T18" s="6">
        <v>2</v>
      </c>
      <c r="U18" s="6">
        <v>2</v>
      </c>
      <c r="V18" s="6">
        <f>SUM(P18:U18)</f>
        <v>12</v>
      </c>
      <c r="W18" s="6"/>
      <c r="X18" s="6"/>
      <c r="Y18" s="6"/>
      <c r="Z18" s="6"/>
      <c r="AA18" s="6"/>
      <c r="AB18" s="6"/>
      <c r="AC18" s="6"/>
      <c r="AD18" s="6"/>
      <c r="AE18" s="6"/>
      <c r="AF18" s="6"/>
      <c r="AG18" s="6"/>
      <c r="AH18" s="6"/>
      <c r="AI18" s="6"/>
      <c r="AJ18" s="6"/>
      <c r="AK18" s="6"/>
      <c r="AL18" s="6">
        <v>12</v>
      </c>
      <c r="AM18" s="1"/>
      <c r="AN18" s="1"/>
      <c r="AO18" s="18">
        <v>12</v>
      </c>
      <c r="AP18" s="18">
        <v>12</v>
      </c>
    </row>
    <row r="19" spans="1:42" ht="18.75" hidden="1" customHeight="1" x14ac:dyDescent="0.55000000000000004">
      <c r="A19" s="174"/>
      <c r="B19" s="76"/>
      <c r="C19" s="172" t="s">
        <v>11</v>
      </c>
      <c r="D19" s="173"/>
      <c r="E19" s="173"/>
      <c r="F19" s="173"/>
      <c r="G19" s="173"/>
      <c r="H19" s="173"/>
      <c r="I19" s="173"/>
      <c r="J19" s="173"/>
      <c r="K19" s="173"/>
      <c r="L19" s="173"/>
      <c r="M19" s="173"/>
      <c r="N19" s="173"/>
      <c r="O19" s="173"/>
      <c r="P19" s="173"/>
      <c r="Q19" s="173"/>
      <c r="R19" s="173"/>
      <c r="S19" s="173"/>
      <c r="T19" s="173"/>
      <c r="U19" s="175"/>
      <c r="V19" s="154"/>
      <c r="W19" s="154"/>
      <c r="X19" s="154"/>
      <c r="Y19" s="154"/>
      <c r="Z19" s="9"/>
      <c r="AA19" s="9"/>
      <c r="AB19" s="9"/>
      <c r="AC19" s="9"/>
      <c r="AD19" s="9"/>
      <c r="AE19" s="9"/>
      <c r="AF19" s="9"/>
      <c r="AG19" s="9"/>
      <c r="AH19" s="9"/>
      <c r="AI19" s="9"/>
      <c r="AJ19" s="9"/>
      <c r="AK19" s="9"/>
      <c r="AL19" s="7">
        <v>48</v>
      </c>
      <c r="AM19" s="23"/>
      <c r="AN19" s="1"/>
      <c r="AO19" s="19">
        <v>48</v>
      </c>
      <c r="AP19" s="19">
        <v>48</v>
      </c>
    </row>
    <row r="20" spans="1:42" ht="18" hidden="1" x14ac:dyDescent="0.55000000000000004">
      <c r="A20" s="170" t="s">
        <v>25</v>
      </c>
      <c r="B20" s="5" t="s">
        <v>19</v>
      </c>
      <c r="C20" s="5" t="s">
        <v>19</v>
      </c>
      <c r="D20" s="5"/>
      <c r="E20" s="5"/>
      <c r="F20" s="5"/>
      <c r="G20" s="5"/>
      <c r="H20" s="5"/>
      <c r="I20" s="5"/>
      <c r="J20" s="5"/>
      <c r="K20" s="5"/>
      <c r="L20" s="5"/>
      <c r="M20" s="5"/>
      <c r="N20" s="5"/>
      <c r="O20" s="5"/>
      <c r="P20" s="5">
        <v>5</v>
      </c>
      <c r="Q20" s="5">
        <v>1</v>
      </c>
      <c r="R20" s="5"/>
      <c r="S20" s="5"/>
      <c r="T20" s="5"/>
      <c r="U20" s="5"/>
      <c r="V20" s="5">
        <f>SUM(P20:U20)</f>
        <v>6</v>
      </c>
      <c r="W20" s="5"/>
      <c r="X20" s="5"/>
      <c r="Y20" s="5"/>
      <c r="Z20" s="5"/>
      <c r="AA20" s="5"/>
      <c r="AB20" s="5"/>
      <c r="AC20" s="5"/>
      <c r="AD20" s="5"/>
      <c r="AE20" s="5"/>
      <c r="AF20" s="5"/>
      <c r="AG20" s="5"/>
      <c r="AH20" s="5"/>
      <c r="AI20" s="5"/>
      <c r="AJ20" s="5"/>
      <c r="AK20" s="5"/>
      <c r="AL20" s="5">
        <v>6</v>
      </c>
      <c r="AM20" s="1"/>
      <c r="AN20" s="1"/>
      <c r="AO20" s="17">
        <v>6</v>
      </c>
      <c r="AP20" s="17">
        <v>6</v>
      </c>
    </row>
    <row r="21" spans="1:42" ht="18.75" hidden="1" customHeight="1" x14ac:dyDescent="0.55000000000000004">
      <c r="A21" s="171"/>
      <c r="B21" s="6" t="s">
        <v>20</v>
      </c>
      <c r="C21" s="6" t="s">
        <v>20</v>
      </c>
      <c r="D21" s="6"/>
      <c r="E21" s="6"/>
      <c r="F21" s="6"/>
      <c r="G21" s="6"/>
      <c r="H21" s="6"/>
      <c r="I21" s="6"/>
      <c r="J21" s="6"/>
      <c r="K21" s="6"/>
      <c r="L21" s="6"/>
      <c r="M21" s="6"/>
      <c r="N21" s="6"/>
      <c r="O21" s="6"/>
      <c r="P21" s="6">
        <v>1</v>
      </c>
      <c r="Q21" s="6">
        <v>1</v>
      </c>
      <c r="R21" s="6">
        <v>1</v>
      </c>
      <c r="S21" s="6">
        <v>1</v>
      </c>
      <c r="T21" s="6">
        <v>1</v>
      </c>
      <c r="U21" s="6">
        <v>1</v>
      </c>
      <c r="V21" s="6">
        <f>SUM(P21:U21)</f>
        <v>6</v>
      </c>
      <c r="W21" s="6"/>
      <c r="X21" s="6"/>
      <c r="Y21" s="6"/>
      <c r="Z21" s="6"/>
      <c r="AA21" s="6"/>
      <c r="AB21" s="6"/>
      <c r="AC21" s="6"/>
      <c r="AD21" s="6"/>
      <c r="AE21" s="6"/>
      <c r="AF21" s="6"/>
      <c r="AG21" s="6"/>
      <c r="AH21" s="6"/>
      <c r="AI21" s="6"/>
      <c r="AJ21" s="6"/>
      <c r="AK21" s="6"/>
      <c r="AL21" s="6">
        <v>6</v>
      </c>
      <c r="AM21" s="1"/>
      <c r="AN21" s="1"/>
      <c r="AO21" s="18">
        <v>6</v>
      </c>
      <c r="AP21" s="18">
        <v>6</v>
      </c>
    </row>
    <row r="22" spans="1:42" ht="18.75" customHeight="1" x14ac:dyDescent="0.55000000000000004">
      <c r="A22" s="171"/>
      <c r="B22" s="6" t="s">
        <v>21</v>
      </c>
      <c r="C22" s="6" t="s">
        <v>21</v>
      </c>
      <c r="D22" s="6"/>
      <c r="E22" s="6"/>
      <c r="F22" s="6"/>
      <c r="G22" s="6"/>
      <c r="H22" s="6"/>
      <c r="I22" s="6"/>
      <c r="J22" s="6"/>
      <c r="K22" s="6"/>
      <c r="L22" s="6"/>
      <c r="M22" s="6"/>
      <c r="N22" s="6"/>
      <c r="O22" s="6"/>
      <c r="P22" s="6">
        <v>0</v>
      </c>
      <c r="Q22" s="6">
        <v>1</v>
      </c>
      <c r="R22" s="6">
        <v>1</v>
      </c>
      <c r="S22" s="6">
        <v>1</v>
      </c>
      <c r="T22" s="6">
        <v>1</v>
      </c>
      <c r="U22" s="6">
        <v>1</v>
      </c>
      <c r="V22" s="6">
        <f>SUM(P22:U22)</f>
        <v>5</v>
      </c>
      <c r="W22" s="6"/>
      <c r="X22" s="6"/>
      <c r="Y22" s="6"/>
      <c r="Z22" s="6">
        <v>1</v>
      </c>
      <c r="AA22" s="6"/>
      <c r="AB22" s="6"/>
      <c r="AC22" s="6"/>
      <c r="AD22" s="6"/>
      <c r="AE22" s="6"/>
      <c r="AF22" s="6"/>
      <c r="AG22" s="6"/>
      <c r="AH22" s="6"/>
      <c r="AI22" s="6"/>
      <c r="AJ22" s="6"/>
      <c r="AK22" s="6"/>
      <c r="AL22" s="6">
        <v>6</v>
      </c>
      <c r="AM22" s="1"/>
      <c r="AN22" s="1"/>
      <c r="AO22" s="18">
        <v>6</v>
      </c>
      <c r="AP22" s="18">
        <v>6</v>
      </c>
    </row>
    <row r="23" spans="1:42" ht="18.75" customHeight="1" x14ac:dyDescent="0.55000000000000004">
      <c r="A23" s="171"/>
      <c r="B23" s="6" t="s">
        <v>22</v>
      </c>
      <c r="C23" s="6" t="s">
        <v>22</v>
      </c>
      <c r="D23" s="6"/>
      <c r="E23" s="6"/>
      <c r="F23" s="6"/>
      <c r="G23" s="6"/>
      <c r="H23" s="6"/>
      <c r="I23" s="6"/>
      <c r="J23" s="6"/>
      <c r="K23" s="6"/>
      <c r="L23" s="6"/>
      <c r="M23" s="6"/>
      <c r="N23" s="6"/>
      <c r="O23" s="6"/>
      <c r="P23" s="6">
        <v>0</v>
      </c>
      <c r="Q23" s="6">
        <v>1</v>
      </c>
      <c r="R23" s="6">
        <v>1</v>
      </c>
      <c r="S23" s="6">
        <v>1</v>
      </c>
      <c r="T23" s="6">
        <v>1</v>
      </c>
      <c r="U23" s="6">
        <v>1</v>
      </c>
      <c r="V23" s="6">
        <f>SUM(P23:U23)</f>
        <v>5</v>
      </c>
      <c r="W23" s="6"/>
      <c r="X23" s="6"/>
      <c r="Y23" s="6"/>
      <c r="Z23" s="6">
        <v>1</v>
      </c>
      <c r="AA23" s="6"/>
      <c r="AB23" s="6"/>
      <c r="AC23" s="6"/>
      <c r="AD23" s="6"/>
      <c r="AE23" s="6"/>
      <c r="AF23" s="6"/>
      <c r="AG23" s="6"/>
      <c r="AH23" s="6"/>
      <c r="AI23" s="6"/>
      <c r="AJ23" s="6"/>
      <c r="AK23" s="6"/>
      <c r="AL23" s="6">
        <v>6</v>
      </c>
      <c r="AM23" s="1"/>
      <c r="AN23" s="1"/>
      <c r="AO23" s="18">
        <v>6</v>
      </c>
      <c r="AP23" s="18">
        <v>6</v>
      </c>
    </row>
    <row r="24" spans="1:42" ht="18.75" customHeight="1" x14ac:dyDescent="0.55000000000000004">
      <c r="A24" s="174"/>
      <c r="B24" s="76"/>
      <c r="C24" s="172" t="s">
        <v>11</v>
      </c>
      <c r="D24" s="173"/>
      <c r="E24" s="173"/>
      <c r="F24" s="173"/>
      <c r="G24" s="173"/>
      <c r="H24" s="173"/>
      <c r="I24" s="173"/>
      <c r="J24" s="173"/>
      <c r="K24" s="173"/>
      <c r="L24" s="173"/>
      <c r="M24" s="173"/>
      <c r="N24" s="173"/>
      <c r="O24" s="173"/>
      <c r="P24" s="173"/>
      <c r="Q24" s="173"/>
      <c r="R24" s="173"/>
      <c r="S24" s="173"/>
      <c r="T24" s="173"/>
      <c r="U24" s="175"/>
      <c r="V24" s="154"/>
      <c r="W24" s="154"/>
      <c r="X24" s="154"/>
      <c r="Y24" s="154"/>
      <c r="Z24" s="9"/>
      <c r="AA24" s="9"/>
      <c r="AB24" s="9"/>
      <c r="AC24" s="9"/>
      <c r="AD24" s="9"/>
      <c r="AE24" s="9"/>
      <c r="AF24" s="9"/>
      <c r="AG24" s="9"/>
      <c r="AH24" s="9"/>
      <c r="AI24" s="9"/>
      <c r="AJ24" s="9"/>
      <c r="AK24" s="9"/>
      <c r="AL24" s="7">
        <v>24</v>
      </c>
      <c r="AM24" s="23"/>
      <c r="AN24" s="1"/>
      <c r="AO24" s="19">
        <v>24</v>
      </c>
      <c r="AP24" s="19">
        <v>24</v>
      </c>
    </row>
    <row r="25" spans="1:42" ht="18" x14ac:dyDescent="0.55000000000000004">
      <c r="A25" s="170" t="s">
        <v>26</v>
      </c>
      <c r="B25" s="5" t="s">
        <v>19</v>
      </c>
      <c r="C25" s="5" t="s">
        <v>19</v>
      </c>
      <c r="D25" s="5"/>
      <c r="E25" s="5"/>
      <c r="F25" s="5"/>
      <c r="G25" s="5"/>
      <c r="H25" s="5"/>
      <c r="I25" s="5"/>
      <c r="J25" s="5"/>
      <c r="K25" s="5"/>
      <c r="L25" s="5"/>
      <c r="M25" s="5"/>
      <c r="N25" s="5"/>
      <c r="O25" s="5"/>
      <c r="P25" s="5"/>
      <c r="Q25" s="6">
        <v>1</v>
      </c>
      <c r="R25" s="6">
        <v>1</v>
      </c>
      <c r="S25" s="6">
        <v>1</v>
      </c>
      <c r="T25" s="5"/>
      <c r="U25" s="5"/>
      <c r="V25" s="5">
        <f>SUM(P25:U25)</f>
        <v>3</v>
      </c>
      <c r="W25" s="5"/>
      <c r="X25" s="5"/>
      <c r="Y25" s="5"/>
      <c r="Z25" s="5"/>
      <c r="AA25" s="5"/>
      <c r="AB25" s="5"/>
      <c r="AC25" s="5"/>
      <c r="AD25" s="5"/>
      <c r="AE25" s="5"/>
      <c r="AF25" s="5"/>
      <c r="AG25" s="5"/>
      <c r="AH25" s="5"/>
      <c r="AI25" s="5"/>
      <c r="AJ25" s="5"/>
      <c r="AK25" s="5"/>
      <c r="AL25" s="5">
        <v>3</v>
      </c>
      <c r="AM25" s="1"/>
      <c r="AN25" s="1"/>
      <c r="AO25" s="17">
        <v>3</v>
      </c>
      <c r="AP25" s="17">
        <v>3</v>
      </c>
    </row>
    <row r="26" spans="1:42" ht="18.75" customHeight="1" x14ac:dyDescent="0.55000000000000004">
      <c r="A26" s="171"/>
      <c r="B26" s="6" t="s">
        <v>20</v>
      </c>
      <c r="C26" s="6" t="s">
        <v>20</v>
      </c>
      <c r="D26" s="6"/>
      <c r="E26" s="6"/>
      <c r="F26" s="6"/>
      <c r="G26" s="6"/>
      <c r="H26" s="6"/>
      <c r="I26" s="6"/>
      <c r="J26" s="6"/>
      <c r="K26" s="6"/>
      <c r="L26" s="6"/>
      <c r="M26" s="6"/>
      <c r="N26" s="6"/>
      <c r="O26" s="6"/>
      <c r="P26" s="6"/>
      <c r="Q26" s="6">
        <v>1</v>
      </c>
      <c r="R26" s="6">
        <v>1</v>
      </c>
      <c r="S26" s="6">
        <v>1</v>
      </c>
      <c r="T26" s="6"/>
      <c r="U26" s="6"/>
      <c r="V26" s="6">
        <f>SUM(P26:U26)</f>
        <v>3</v>
      </c>
      <c r="W26" s="6"/>
      <c r="X26" s="6"/>
      <c r="Y26" s="6"/>
      <c r="Z26" s="6"/>
      <c r="AA26" s="6"/>
      <c r="AB26" s="6"/>
      <c r="AC26" s="6"/>
      <c r="AD26" s="6"/>
      <c r="AE26" s="6"/>
      <c r="AF26" s="6"/>
      <c r="AG26" s="6"/>
      <c r="AH26" s="6"/>
      <c r="AI26" s="6"/>
      <c r="AJ26" s="6"/>
      <c r="AK26" s="6"/>
      <c r="AL26" s="6">
        <v>3</v>
      </c>
      <c r="AM26" s="1"/>
      <c r="AN26" s="1"/>
      <c r="AO26" s="18">
        <v>3</v>
      </c>
      <c r="AP26" s="18">
        <v>3</v>
      </c>
    </row>
    <row r="27" spans="1:42" ht="18.75" customHeight="1" x14ac:dyDescent="0.55000000000000004">
      <c r="A27" s="171"/>
      <c r="B27" s="6" t="s">
        <v>21</v>
      </c>
      <c r="C27" s="6" t="s">
        <v>21</v>
      </c>
      <c r="D27" s="6"/>
      <c r="E27" s="6"/>
      <c r="F27" s="6"/>
      <c r="G27" s="6"/>
      <c r="H27" s="6"/>
      <c r="I27" s="6"/>
      <c r="J27" s="6"/>
      <c r="K27" s="6"/>
      <c r="L27" s="6"/>
      <c r="M27" s="6"/>
      <c r="N27" s="6"/>
      <c r="O27" s="6"/>
      <c r="P27" s="6"/>
      <c r="Q27" s="6">
        <v>1</v>
      </c>
      <c r="R27" s="6">
        <v>1</v>
      </c>
      <c r="S27" s="6">
        <v>1</v>
      </c>
      <c r="T27" s="6"/>
      <c r="U27" s="6"/>
      <c r="V27" s="6">
        <f>SUM(P27:U27)</f>
        <v>3</v>
      </c>
      <c r="W27" s="6"/>
      <c r="X27" s="6"/>
      <c r="Y27" s="6"/>
      <c r="Z27" s="6"/>
      <c r="AA27" s="6"/>
      <c r="AB27" s="6"/>
      <c r="AC27" s="6"/>
      <c r="AD27" s="6"/>
      <c r="AE27" s="6"/>
      <c r="AF27" s="6"/>
      <c r="AG27" s="6"/>
      <c r="AH27" s="6"/>
      <c r="AI27" s="6"/>
      <c r="AJ27" s="6"/>
      <c r="AK27" s="6"/>
      <c r="AL27" s="6">
        <v>3</v>
      </c>
      <c r="AM27" s="1"/>
      <c r="AN27" s="1"/>
      <c r="AO27" s="18">
        <v>3</v>
      </c>
      <c r="AP27" s="18">
        <v>3</v>
      </c>
    </row>
    <row r="28" spans="1:42" ht="18.75" customHeight="1" x14ac:dyDescent="0.55000000000000004">
      <c r="A28" s="171"/>
      <c r="B28" s="6" t="s">
        <v>22</v>
      </c>
      <c r="C28" s="6" t="s">
        <v>22</v>
      </c>
      <c r="D28" s="6"/>
      <c r="E28" s="6"/>
      <c r="F28" s="6"/>
      <c r="G28" s="6"/>
      <c r="H28" s="6"/>
      <c r="I28" s="6"/>
      <c r="J28" s="6"/>
      <c r="K28" s="6"/>
      <c r="L28" s="6"/>
      <c r="M28" s="6"/>
      <c r="N28" s="6"/>
      <c r="O28" s="6"/>
      <c r="P28" s="6"/>
      <c r="Q28" s="6">
        <v>1</v>
      </c>
      <c r="R28" s="6">
        <v>1</v>
      </c>
      <c r="S28" s="6">
        <v>1</v>
      </c>
      <c r="T28" s="6"/>
      <c r="U28" s="6"/>
      <c r="V28" s="6">
        <f>SUM(P28:U28)</f>
        <v>3</v>
      </c>
      <c r="W28" s="6"/>
      <c r="X28" s="6"/>
      <c r="Y28" s="6"/>
      <c r="Z28" s="6"/>
      <c r="AA28" s="6"/>
      <c r="AB28" s="6"/>
      <c r="AC28" s="6"/>
      <c r="AD28" s="6"/>
      <c r="AE28" s="6"/>
      <c r="AF28" s="6"/>
      <c r="AG28" s="6"/>
      <c r="AH28" s="6"/>
      <c r="AI28" s="6"/>
      <c r="AJ28" s="6"/>
      <c r="AK28" s="6"/>
      <c r="AL28" s="6">
        <v>3</v>
      </c>
      <c r="AM28" s="1"/>
      <c r="AN28" s="1"/>
      <c r="AO28" s="18">
        <v>3</v>
      </c>
      <c r="AP28" s="18">
        <v>3</v>
      </c>
    </row>
    <row r="29" spans="1:42" ht="18.75" customHeight="1" x14ac:dyDescent="0.55000000000000004">
      <c r="A29" s="174"/>
      <c r="B29" s="76"/>
      <c r="C29" s="172" t="s">
        <v>11</v>
      </c>
      <c r="D29" s="173"/>
      <c r="E29" s="173"/>
      <c r="F29" s="173"/>
      <c r="G29" s="173"/>
      <c r="H29" s="173"/>
      <c r="I29" s="173"/>
      <c r="J29" s="173"/>
      <c r="K29" s="173"/>
      <c r="L29" s="173"/>
      <c r="M29" s="173"/>
      <c r="N29" s="173"/>
      <c r="O29" s="173"/>
      <c r="P29" s="173"/>
      <c r="Q29" s="173"/>
      <c r="R29" s="173"/>
      <c r="S29" s="173"/>
      <c r="T29" s="173"/>
      <c r="U29" s="175"/>
      <c r="V29" s="154"/>
      <c r="W29" s="154"/>
      <c r="X29" s="154"/>
      <c r="Y29" s="154"/>
      <c r="Z29" s="9"/>
      <c r="AA29" s="9"/>
      <c r="AB29" s="9"/>
      <c r="AC29" s="9"/>
      <c r="AD29" s="9"/>
      <c r="AE29" s="9"/>
      <c r="AF29" s="9"/>
      <c r="AG29" s="9"/>
      <c r="AH29" s="9"/>
      <c r="AI29" s="9"/>
      <c r="AJ29" s="9"/>
      <c r="AK29" s="9"/>
      <c r="AL29" s="7">
        <v>12</v>
      </c>
      <c r="AM29" s="23"/>
      <c r="AN29" s="1"/>
      <c r="AO29" s="19">
        <v>12</v>
      </c>
      <c r="AP29" s="19">
        <v>12</v>
      </c>
    </row>
    <row r="30" spans="1:42" ht="18" x14ac:dyDescent="0.55000000000000004">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4"/>
      <c r="AP30" s="14"/>
    </row>
    <row r="31" spans="1:42" ht="18" x14ac:dyDescent="0.55000000000000004">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4"/>
      <c r="AP31" s="14"/>
    </row>
    <row r="32" spans="1:42" ht="18" x14ac:dyDescent="0.55000000000000004">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4"/>
      <c r="AP32" s="14"/>
    </row>
    <row r="33" spans="1:42" ht="18" x14ac:dyDescent="0.55000000000000004">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4"/>
      <c r="AP33" s="14"/>
    </row>
    <row r="34" spans="1:42" ht="18" x14ac:dyDescent="0.5500000000000000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4"/>
      <c r="AP34" s="14"/>
    </row>
    <row r="35" spans="1:42" ht="18" x14ac:dyDescent="0.55000000000000004">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4"/>
      <c r="AP35" s="14"/>
    </row>
    <row r="36" spans="1:42" ht="18" x14ac:dyDescent="0.55000000000000004">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4"/>
      <c r="AP36" s="14"/>
    </row>
    <row r="37" spans="1:42" ht="18" x14ac:dyDescent="0.55000000000000004">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4"/>
      <c r="AP37" s="14"/>
    </row>
    <row r="38" spans="1:42" ht="18" x14ac:dyDescent="0.55000000000000004">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4"/>
      <c r="AP38" s="14"/>
    </row>
    <row r="39" spans="1:42" ht="18" x14ac:dyDescent="0.55000000000000004">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4"/>
      <c r="AP39" s="14"/>
    </row>
    <row r="40" spans="1:42" ht="18" x14ac:dyDescent="0.55000000000000004">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4"/>
      <c r="AP40" s="14"/>
    </row>
    <row r="41" spans="1:42" ht="18" x14ac:dyDescent="0.55000000000000004">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4"/>
      <c r="AP41" s="14"/>
    </row>
    <row r="42" spans="1:42" ht="18" x14ac:dyDescent="0.5500000000000000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4"/>
      <c r="AP42" s="14"/>
    </row>
    <row r="43" spans="1:42" ht="18" x14ac:dyDescent="0.5500000000000000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4"/>
      <c r="AP43" s="14"/>
    </row>
    <row r="44" spans="1:42" ht="18" x14ac:dyDescent="0.5500000000000000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4"/>
      <c r="AP44" s="14"/>
    </row>
    <row r="45" spans="1:42" ht="18" x14ac:dyDescent="0.5500000000000000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4"/>
      <c r="AP45" s="14"/>
    </row>
    <row r="46" spans="1:42" ht="18" x14ac:dyDescent="0.5500000000000000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4"/>
      <c r="AP46" s="14"/>
    </row>
    <row r="47" spans="1:42" ht="18" x14ac:dyDescent="0.5500000000000000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4"/>
      <c r="AP47" s="14"/>
    </row>
    <row r="48" spans="1:42" ht="18" x14ac:dyDescent="0.5500000000000000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4"/>
      <c r="AP48" s="14"/>
    </row>
    <row r="49" spans="1:42" ht="18" x14ac:dyDescent="0.5500000000000000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4"/>
      <c r="AP49" s="14"/>
    </row>
    <row r="50" spans="1:42" ht="18" x14ac:dyDescent="0.550000000000000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4"/>
      <c r="AP50" s="14"/>
    </row>
    <row r="51" spans="1:42" ht="18" x14ac:dyDescent="0.5500000000000000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4"/>
      <c r="AP51" s="14"/>
    </row>
    <row r="52" spans="1:42" ht="18" x14ac:dyDescent="0.55000000000000004">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4"/>
      <c r="AP52" s="14"/>
    </row>
    <row r="53" spans="1:42" ht="18" x14ac:dyDescent="0.55000000000000004">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4"/>
      <c r="AP53" s="14"/>
    </row>
    <row r="54" spans="1:42" ht="18" x14ac:dyDescent="0.5500000000000000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4"/>
      <c r="AP54" s="14"/>
    </row>
    <row r="55" spans="1:42" ht="18" x14ac:dyDescent="0.55000000000000004">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4"/>
      <c r="AP55" s="14"/>
    </row>
    <row r="56" spans="1:42" ht="18" x14ac:dyDescent="0.55000000000000004">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4"/>
      <c r="AP56" s="14"/>
    </row>
    <row r="57" spans="1:42" ht="18" x14ac:dyDescent="0.55000000000000004">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4"/>
      <c r="AP57" s="14"/>
    </row>
    <row r="58" spans="1:42" ht="18" x14ac:dyDescent="0.55000000000000004">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4"/>
      <c r="AP58" s="14"/>
    </row>
    <row r="59" spans="1:42" ht="18" x14ac:dyDescent="0.55000000000000004">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4"/>
      <c r="AP59" s="14"/>
    </row>
    <row r="60" spans="1:42" ht="18" x14ac:dyDescent="0.55000000000000004">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4"/>
      <c r="AP60" s="14"/>
    </row>
    <row r="61" spans="1:42" ht="18" x14ac:dyDescent="0.550000000000000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4"/>
      <c r="AP61" s="14"/>
    </row>
    <row r="62" spans="1:42" ht="18" x14ac:dyDescent="0.55000000000000004">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4"/>
      <c r="AP62" s="14"/>
    </row>
    <row r="63" spans="1:42" ht="18" x14ac:dyDescent="0.55000000000000004">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4"/>
      <c r="AP63" s="14"/>
    </row>
    <row r="64" spans="1:42" ht="18" x14ac:dyDescent="0.5500000000000000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4"/>
      <c r="AP64" s="14"/>
    </row>
    <row r="65" spans="1:45" ht="75" x14ac:dyDescent="0.55000000000000004">
      <c r="A65" s="126" t="s">
        <v>3</v>
      </c>
      <c r="B65" s="127" t="s">
        <v>4</v>
      </c>
      <c r="C65" s="127" t="s">
        <v>82</v>
      </c>
      <c r="D65" s="127" t="s">
        <v>83</v>
      </c>
      <c r="E65" s="127" t="s">
        <v>7</v>
      </c>
      <c r="F65" s="127" t="s">
        <v>8</v>
      </c>
      <c r="G65" s="127" t="s">
        <v>9</v>
      </c>
      <c r="H65" s="127" t="s">
        <v>10</v>
      </c>
      <c r="I65" s="128" t="s">
        <v>31</v>
      </c>
      <c r="J65" s="127" t="s">
        <v>12</v>
      </c>
      <c r="K65" s="127" t="s">
        <v>13</v>
      </c>
      <c r="L65" s="127" t="s">
        <v>14</v>
      </c>
      <c r="M65" s="127" t="s">
        <v>15</v>
      </c>
      <c r="N65" s="127" t="s">
        <v>16</v>
      </c>
      <c r="O65" s="127" t="s">
        <v>17</v>
      </c>
      <c r="P65" s="127" t="s">
        <v>32</v>
      </c>
      <c r="Q65" s="127" t="s">
        <v>6</v>
      </c>
      <c r="R65" s="127" t="s">
        <v>7</v>
      </c>
      <c r="S65" s="127" t="s">
        <v>8</v>
      </c>
      <c r="T65" s="127" t="s">
        <v>9</v>
      </c>
      <c r="U65" s="127" t="s">
        <v>10</v>
      </c>
      <c r="V65" s="127" t="s">
        <v>33</v>
      </c>
      <c r="W65" s="127" t="s">
        <v>84</v>
      </c>
      <c r="X65" s="128" t="s">
        <v>34</v>
      </c>
      <c r="Y65" s="129" t="s">
        <v>35</v>
      </c>
      <c r="Z65" s="127" t="s">
        <v>12</v>
      </c>
      <c r="AA65" s="127" t="s">
        <v>13</v>
      </c>
      <c r="AB65" s="127" t="s">
        <v>14</v>
      </c>
      <c r="AC65" s="127" t="s">
        <v>15</v>
      </c>
      <c r="AD65" s="127" t="s">
        <v>16</v>
      </c>
      <c r="AE65" s="127" t="s">
        <v>17</v>
      </c>
      <c r="AF65" s="127" t="s">
        <v>32</v>
      </c>
      <c r="AG65" s="127" t="s">
        <v>6</v>
      </c>
      <c r="AH65" s="127" t="s">
        <v>7</v>
      </c>
      <c r="AI65" s="127" t="s">
        <v>8</v>
      </c>
      <c r="AJ65" s="127" t="s">
        <v>9</v>
      </c>
      <c r="AK65" s="127" t="s">
        <v>85</v>
      </c>
      <c r="AL65" s="127" t="s">
        <v>86</v>
      </c>
      <c r="AM65" s="122" t="s">
        <v>37</v>
      </c>
      <c r="AN65" s="125" t="s">
        <v>87</v>
      </c>
      <c r="AO65" s="123" t="s">
        <v>88</v>
      </c>
      <c r="AP65" s="124" t="s">
        <v>89</v>
      </c>
      <c r="AQ65" s="16" t="s">
        <v>38</v>
      </c>
      <c r="AR65" s="16" t="s">
        <v>39</v>
      </c>
    </row>
    <row r="66" spans="1:45" ht="18.75" customHeight="1" x14ac:dyDescent="0.55000000000000004">
      <c r="A66" s="162" t="s">
        <v>90</v>
      </c>
      <c r="B66" s="164" t="s">
        <v>19</v>
      </c>
      <c r="C66" s="6" t="s">
        <v>91</v>
      </c>
      <c r="D66" s="109">
        <v>110000</v>
      </c>
      <c r="E66" s="6"/>
      <c r="F66" s="6"/>
      <c r="G66" s="6"/>
      <c r="H66" s="6"/>
      <c r="I66" s="61">
        <v>20</v>
      </c>
      <c r="J66" s="6"/>
      <c r="K66" s="6">
        <v>2</v>
      </c>
      <c r="L66" s="6">
        <v>1</v>
      </c>
      <c r="M66" s="6">
        <v>2</v>
      </c>
      <c r="N66" s="6">
        <v>3</v>
      </c>
      <c r="O66" s="6">
        <v>1</v>
      </c>
      <c r="P66" s="40">
        <v>2</v>
      </c>
      <c r="Q66" s="40">
        <v>1</v>
      </c>
      <c r="R66" s="40"/>
      <c r="S66" s="40">
        <v>1</v>
      </c>
      <c r="T66" s="40">
        <v>2</v>
      </c>
      <c r="U66" s="56">
        <v>1</v>
      </c>
      <c r="V66" s="51">
        <f>SUM(J66:U66)</f>
        <v>16</v>
      </c>
      <c r="W66" s="86">
        <f>I66-V66</f>
        <v>4</v>
      </c>
      <c r="X66" s="91">
        <v>15</v>
      </c>
      <c r="Y66" s="51">
        <v>6</v>
      </c>
      <c r="Z66" s="6">
        <v>2</v>
      </c>
      <c r="AA66" s="6">
        <v>2</v>
      </c>
      <c r="AB66" s="6"/>
      <c r="AC66" s="6"/>
      <c r="AD66" s="6"/>
      <c r="AE66" s="6"/>
      <c r="AF66" s="6"/>
      <c r="AG66" s="6"/>
      <c r="AH66" s="6"/>
      <c r="AI66" s="6">
        <v>1</v>
      </c>
      <c r="AJ66" s="6">
        <v>1</v>
      </c>
      <c r="AK66" s="6"/>
      <c r="AL66" s="6">
        <f>SUM(Z66:AK66)</f>
        <v>6</v>
      </c>
      <c r="AM66" s="6">
        <f>Y66-AL66</f>
        <v>0</v>
      </c>
      <c r="AN66" s="131">
        <v>0</v>
      </c>
      <c r="AO66" s="134">
        <f>Y66-AL66-AN66</f>
        <v>0</v>
      </c>
      <c r="AQ66" s="160" t="s">
        <v>48</v>
      </c>
      <c r="AR66" s="160" t="s">
        <v>49</v>
      </c>
      <c r="AS66" t="s">
        <v>50</v>
      </c>
    </row>
    <row r="67" spans="1:45" ht="18.75" customHeight="1" x14ac:dyDescent="0.55000000000000004">
      <c r="A67" s="162"/>
      <c r="B67" s="165"/>
      <c r="C67" s="6" t="s">
        <v>92</v>
      </c>
      <c r="D67" s="109">
        <v>55000</v>
      </c>
      <c r="E67" s="6"/>
      <c r="F67" s="6"/>
      <c r="G67" s="6"/>
      <c r="H67" s="6"/>
      <c r="I67" s="61"/>
      <c r="J67" s="6"/>
      <c r="K67" s="6"/>
      <c r="L67" s="6"/>
      <c r="M67" s="6"/>
      <c r="N67" s="6"/>
      <c r="O67" s="6"/>
      <c r="P67" s="40"/>
      <c r="Q67" s="40"/>
      <c r="R67" s="40"/>
      <c r="S67" s="40"/>
      <c r="T67" s="40"/>
      <c r="U67" s="56"/>
      <c r="V67" s="51"/>
      <c r="W67" s="86"/>
      <c r="X67" s="91"/>
      <c r="Y67" s="51">
        <v>4</v>
      </c>
      <c r="Z67" s="6"/>
      <c r="AA67" s="6"/>
      <c r="AB67" s="6"/>
      <c r="AC67" s="6"/>
      <c r="AD67" s="6"/>
      <c r="AE67" s="6">
        <v>1</v>
      </c>
      <c r="AF67" s="105">
        <v>1</v>
      </c>
      <c r="AG67" s="6"/>
      <c r="AH67" s="6"/>
      <c r="AI67" s="6">
        <v>2</v>
      </c>
      <c r="AJ67" s="6"/>
      <c r="AK67" s="6"/>
      <c r="AL67" s="6">
        <f>SUM(Z67:AK67)</f>
        <v>4</v>
      </c>
      <c r="AM67" s="6">
        <f>Y67-AL67</f>
        <v>0</v>
      </c>
      <c r="AN67" s="130">
        <v>0</v>
      </c>
      <c r="AO67" s="134">
        <f>Y67-AL67-AN67</f>
        <v>0</v>
      </c>
      <c r="AQ67" s="160"/>
      <c r="AR67" s="160"/>
    </row>
    <row r="68" spans="1:45" ht="18.75" customHeight="1" x14ac:dyDescent="0.55000000000000004">
      <c r="A68" s="162"/>
      <c r="B68" s="165"/>
      <c r="C68" s="6" t="s">
        <v>93</v>
      </c>
      <c r="D68" s="109">
        <v>88000</v>
      </c>
      <c r="E68" s="6"/>
      <c r="F68" s="6"/>
      <c r="G68" s="6"/>
      <c r="H68" s="6"/>
      <c r="I68" s="61"/>
      <c r="J68" s="6"/>
      <c r="K68" s="6"/>
      <c r="L68" s="6"/>
      <c r="M68" s="6"/>
      <c r="N68" s="6"/>
      <c r="O68" s="6"/>
      <c r="P68" s="40"/>
      <c r="Q68" s="40"/>
      <c r="R68" s="40"/>
      <c r="S68" s="40"/>
      <c r="T68" s="40"/>
      <c r="U68" s="56"/>
      <c r="V68" s="51"/>
      <c r="W68" s="86"/>
      <c r="X68" s="91"/>
      <c r="Y68" s="51">
        <v>2</v>
      </c>
      <c r="Z68" s="6"/>
      <c r="AA68" s="6"/>
      <c r="AB68" s="6"/>
      <c r="AC68" s="6"/>
      <c r="AD68" s="6"/>
      <c r="AE68" s="28"/>
      <c r="AF68" s="24"/>
      <c r="AG68" s="96"/>
      <c r="AH68" s="6"/>
      <c r="AI68" s="6"/>
      <c r="AJ68" s="6"/>
      <c r="AK68" s="6"/>
      <c r="AL68" s="6">
        <f>SUM(Z68:AK68)</f>
        <v>0</v>
      </c>
      <c r="AM68" s="6">
        <f>Y68-AL68</f>
        <v>2</v>
      </c>
      <c r="AN68" s="130">
        <v>1</v>
      </c>
      <c r="AO68" s="134">
        <f>Y68-AL68-AN68</f>
        <v>1</v>
      </c>
      <c r="AQ68" s="160"/>
      <c r="AR68" s="160"/>
    </row>
    <row r="69" spans="1:45" ht="18.75" customHeight="1" x14ac:dyDescent="0.55000000000000004">
      <c r="A69" s="162"/>
      <c r="B69" s="165"/>
      <c r="C69" s="6" t="s">
        <v>94</v>
      </c>
      <c r="D69" s="109">
        <v>70000</v>
      </c>
      <c r="E69" s="6"/>
      <c r="F69" s="6"/>
      <c r="G69" s="6"/>
      <c r="H69" s="6"/>
      <c r="I69" s="61"/>
      <c r="J69" s="6"/>
      <c r="K69" s="6"/>
      <c r="L69" s="6"/>
      <c r="M69" s="6"/>
      <c r="N69" s="6"/>
      <c r="O69" s="6"/>
      <c r="P69" s="40"/>
      <c r="Q69" s="40"/>
      <c r="R69" s="40"/>
      <c r="S69" s="40"/>
      <c r="T69" s="40"/>
      <c r="U69" s="56"/>
      <c r="V69" s="51"/>
      <c r="W69" s="86"/>
      <c r="X69" s="91"/>
      <c r="Y69" s="51">
        <v>1</v>
      </c>
      <c r="Z69" s="6"/>
      <c r="AA69" s="6"/>
      <c r="AB69" s="6"/>
      <c r="AC69" s="6"/>
      <c r="AD69" s="6"/>
      <c r="AE69" s="28"/>
      <c r="AF69" s="24"/>
      <c r="AG69" s="147"/>
      <c r="AH69" s="105"/>
      <c r="AI69" s="6"/>
      <c r="AJ69" s="6"/>
      <c r="AK69" s="6"/>
      <c r="AL69" s="6">
        <f>SUM(Z69:AK69)</f>
        <v>0</v>
      </c>
      <c r="AM69" s="6">
        <f>Y69-AL69</f>
        <v>1</v>
      </c>
      <c r="AN69" s="130">
        <v>1</v>
      </c>
      <c r="AO69" s="134">
        <f>Y69-AL69-AN69</f>
        <v>0</v>
      </c>
      <c r="AQ69" s="160"/>
      <c r="AR69" s="160"/>
    </row>
    <row r="70" spans="1:45" ht="18.75" customHeight="1" x14ac:dyDescent="0.55000000000000004">
      <c r="A70" s="162"/>
      <c r="B70" s="165"/>
      <c r="C70" s="37" t="s">
        <v>95</v>
      </c>
      <c r="D70" s="37"/>
      <c r="E70" s="37"/>
      <c r="F70" s="37"/>
      <c r="G70" s="37"/>
      <c r="H70" s="37"/>
      <c r="I70" s="92"/>
      <c r="J70" s="37"/>
      <c r="K70" s="37"/>
      <c r="L70" s="37"/>
      <c r="M70" s="37"/>
      <c r="N70" s="37"/>
      <c r="O70" s="37"/>
      <c r="P70" s="37"/>
      <c r="Q70" s="37"/>
      <c r="R70" s="37"/>
      <c r="S70" s="37"/>
      <c r="T70" s="37"/>
      <c r="U70" s="43"/>
      <c r="V70" s="43"/>
      <c r="W70" s="43"/>
      <c r="X70" s="92"/>
      <c r="Y70" s="43">
        <f>SUM(Y66:Y68)</f>
        <v>12</v>
      </c>
      <c r="Z70" s="43">
        <f>SUM(Z66:Z68)</f>
        <v>2</v>
      </c>
      <c r="AA70" s="43">
        <f>SUM(AA66:AA68)</f>
        <v>2</v>
      </c>
      <c r="AB70" s="37"/>
      <c r="AC70" s="37"/>
      <c r="AD70" s="37"/>
      <c r="AE70" s="104">
        <f>SUM(AE66:AE68)</f>
        <v>1</v>
      </c>
      <c r="AF70" s="148">
        <f>SUM(AF66:AF68)</f>
        <v>1</v>
      </c>
      <c r="AG70" s="106">
        <f>SUM(AG66:AG68)</f>
        <v>0</v>
      </c>
      <c r="AH70" s="111">
        <f t="shared" ref="AH70" si="0">SUM(AH66:AH68)</f>
        <v>0</v>
      </c>
      <c r="AI70" s="43">
        <f>SUM(AI66:AI68)</f>
        <v>3</v>
      </c>
      <c r="AJ70" s="43">
        <f>SUM(AJ66:AJ68)</f>
        <v>1</v>
      </c>
      <c r="AK70" s="43">
        <f>SUM(AK66:AK69)</f>
        <v>0</v>
      </c>
      <c r="AL70" s="37">
        <f>SUM(Z70:AK70)</f>
        <v>10</v>
      </c>
      <c r="AM70" s="37">
        <f>Y70-AL70</f>
        <v>2</v>
      </c>
      <c r="AN70" s="119">
        <f>SUM(AN66:AN69)</f>
        <v>2</v>
      </c>
      <c r="AO70" s="119">
        <f>SUM(AO66:AO69)</f>
        <v>1</v>
      </c>
      <c r="AQ70" s="93"/>
      <c r="AR70" s="93"/>
    </row>
    <row r="71" spans="1:45" ht="18.75" customHeight="1" x14ac:dyDescent="0.55000000000000004">
      <c r="A71" s="162"/>
      <c r="B71" s="166"/>
      <c r="C71" s="37" t="s">
        <v>96</v>
      </c>
      <c r="D71" s="37"/>
      <c r="E71" s="37"/>
      <c r="F71" s="37"/>
      <c r="G71" s="37"/>
      <c r="H71" s="37"/>
      <c r="I71" s="92"/>
      <c r="J71" s="37"/>
      <c r="K71" s="37"/>
      <c r="L71" s="37"/>
      <c r="M71" s="37"/>
      <c r="N71" s="37"/>
      <c r="O71" s="37"/>
      <c r="P71" s="37"/>
      <c r="Q71" s="37"/>
      <c r="R71" s="37"/>
      <c r="S71" s="37"/>
      <c r="T71" s="37"/>
      <c r="U71" s="43"/>
      <c r="V71" s="43"/>
      <c r="W71" s="43"/>
      <c r="X71" s="92"/>
      <c r="Y71" s="110">
        <f>SUMPRODUCT(D66:D68,Y66:Y68)</f>
        <v>1056000</v>
      </c>
      <c r="Z71" s="110">
        <f>SUMPRODUCT(D66:D68,Z66:Z68)</f>
        <v>220000</v>
      </c>
      <c r="AA71" s="110">
        <f>SUMPRODUCT(D66:D68,AA66:AA68)</f>
        <v>220000</v>
      </c>
      <c r="AB71" s="110">
        <f>SUMPRODUCT(D66:D68,AB66:AB68)</f>
        <v>0</v>
      </c>
      <c r="AC71" s="110">
        <f>SUMPRODUCT(D66:D68,AC66:AC68)</f>
        <v>0</v>
      </c>
      <c r="AD71" s="110">
        <f>SUMPRODUCT(D66:D68,AD66:AD68)</f>
        <v>0</v>
      </c>
      <c r="AE71" s="110">
        <f>SUMPRODUCT(D66:D68,AE66:AE68)</f>
        <v>55000</v>
      </c>
      <c r="AF71" s="110">
        <f>SUMPRODUCT(D66:D68,AF66:AF68)</f>
        <v>55000</v>
      </c>
      <c r="AG71" s="110">
        <f>SUMPRODUCT(D66:D68,AG66:AG68)</f>
        <v>0</v>
      </c>
      <c r="AH71" s="110">
        <f>SUMPRODUCT(D66:D68,AH66:AH68)</f>
        <v>0</v>
      </c>
      <c r="AI71" s="110">
        <f>SUMPRODUCT(D66:D68,AI66:AI68)</f>
        <v>220000</v>
      </c>
      <c r="AJ71" s="110">
        <f>SUMPRODUCT(D66:D69,AJ66:AJ69)</f>
        <v>110000</v>
      </c>
      <c r="AK71" s="110">
        <f>SUMPRODUCT(D66:D69,AK66:AK69)</f>
        <v>0</v>
      </c>
      <c r="AL71" s="110">
        <f>SUMPRODUCT(D66:D69,AL66:AL69)</f>
        <v>880000</v>
      </c>
      <c r="AM71" s="37">
        <f>SUMPRODUCT(D66:D69,AM66:AM69)</f>
        <v>246000</v>
      </c>
      <c r="AN71" s="119">
        <f>SUMPRODUCT(D66:D69,AN66:AN69)</f>
        <v>158000</v>
      </c>
      <c r="AO71" s="119">
        <f>SUMPRODUCT(E66:E69,AO66:AO69)</f>
        <v>0</v>
      </c>
      <c r="AQ71" s="93"/>
      <c r="AR71" s="93"/>
    </row>
    <row r="72" spans="1:45" ht="18.75" customHeight="1" x14ac:dyDescent="0.55000000000000004">
      <c r="A72" s="162"/>
      <c r="B72" s="164" t="s">
        <v>20</v>
      </c>
      <c r="C72" s="6" t="s">
        <v>91</v>
      </c>
      <c r="D72" s="109">
        <v>110000</v>
      </c>
      <c r="E72" s="6"/>
      <c r="F72" s="6"/>
      <c r="G72" s="6"/>
      <c r="H72" s="6"/>
      <c r="I72" s="61">
        <v>12</v>
      </c>
      <c r="J72" s="6"/>
      <c r="K72" s="6"/>
      <c r="L72" s="6"/>
      <c r="M72" s="6">
        <v>2</v>
      </c>
      <c r="N72" s="6"/>
      <c r="O72" s="6"/>
      <c r="P72" s="40"/>
      <c r="Q72" s="40">
        <v>1</v>
      </c>
      <c r="R72" s="40">
        <v>1</v>
      </c>
      <c r="S72" s="40"/>
      <c r="T72" s="40"/>
      <c r="U72" s="56">
        <v>1</v>
      </c>
      <c r="V72" s="51">
        <f t="shared" ref="V72" si="1">SUM(J72:U72)</f>
        <v>5</v>
      </c>
      <c r="W72" s="86">
        <f t="shared" ref="W72" si="2">I72-V72</f>
        <v>7</v>
      </c>
      <c r="X72" s="91">
        <v>15</v>
      </c>
      <c r="Y72" s="51">
        <v>5</v>
      </c>
      <c r="Z72" s="6"/>
      <c r="AA72" s="6"/>
      <c r="AB72" s="6"/>
      <c r="AC72" s="6"/>
      <c r="AD72" s="6"/>
      <c r="AE72" s="28"/>
      <c r="AF72" s="107"/>
      <c r="AG72" s="108"/>
      <c r="AH72" s="13">
        <v>1</v>
      </c>
      <c r="AI72" s="6"/>
      <c r="AJ72" s="6">
        <v>2</v>
      </c>
      <c r="AK72" s="6"/>
      <c r="AL72" s="6">
        <f>SUM(Z72:AK72)</f>
        <v>3</v>
      </c>
      <c r="AM72" s="6">
        <f t="shared" ref="AM72:AM77" si="3">Y72-AL72</f>
        <v>2</v>
      </c>
      <c r="AN72" s="130">
        <v>2</v>
      </c>
      <c r="AO72" s="130">
        <f>Y72-AL72-AN72</f>
        <v>0</v>
      </c>
      <c r="AQ72" s="18" t="s">
        <v>52</v>
      </c>
      <c r="AR72" s="18" t="s">
        <v>97</v>
      </c>
      <c r="AS72" t="s">
        <v>54</v>
      </c>
    </row>
    <row r="73" spans="1:45" ht="18.75" customHeight="1" x14ac:dyDescent="0.55000000000000004">
      <c r="A73" s="162"/>
      <c r="B73" s="165"/>
      <c r="C73" s="6" t="s">
        <v>92</v>
      </c>
      <c r="D73" s="109">
        <v>55000</v>
      </c>
      <c r="E73" s="6"/>
      <c r="F73" s="6"/>
      <c r="G73" s="6"/>
      <c r="H73" s="6"/>
      <c r="I73" s="61"/>
      <c r="J73" s="6"/>
      <c r="K73" s="6"/>
      <c r="L73" s="6"/>
      <c r="M73" s="6"/>
      <c r="N73" s="6"/>
      <c r="O73" s="6"/>
      <c r="P73" s="40"/>
      <c r="Q73" s="40"/>
      <c r="R73" s="40"/>
      <c r="S73" s="40"/>
      <c r="T73" s="40"/>
      <c r="U73" s="56"/>
      <c r="V73" s="51"/>
      <c r="W73" s="86"/>
      <c r="X73" s="91"/>
      <c r="Y73" s="97">
        <v>2</v>
      </c>
      <c r="Z73" s="6"/>
      <c r="AA73" s="6"/>
      <c r="AB73" s="6"/>
      <c r="AC73" s="6"/>
      <c r="AD73" s="6"/>
      <c r="AE73" s="28"/>
      <c r="AF73" s="95"/>
      <c r="AG73" s="96"/>
      <c r="AH73" s="6"/>
      <c r="AI73" s="6"/>
      <c r="AJ73" s="6"/>
      <c r="AK73" s="6">
        <v>1</v>
      </c>
      <c r="AL73" s="6">
        <f t="shared" ref="AL73:AL75" si="4">SUM(Z73:AK73)</f>
        <v>1</v>
      </c>
      <c r="AM73" s="6">
        <f t="shared" si="3"/>
        <v>1</v>
      </c>
      <c r="AN73" s="130">
        <v>2</v>
      </c>
      <c r="AO73" s="130">
        <v>0</v>
      </c>
      <c r="AQ73" s="18"/>
      <c r="AR73" s="18"/>
    </row>
    <row r="74" spans="1:45" ht="18.75" customHeight="1" x14ac:dyDescent="0.55000000000000004">
      <c r="A74" s="162"/>
      <c r="B74" s="165"/>
      <c r="C74" s="6" t="s">
        <v>93</v>
      </c>
      <c r="D74" s="109">
        <v>88000</v>
      </c>
      <c r="E74" s="6"/>
      <c r="F74" s="6"/>
      <c r="G74" s="6"/>
      <c r="H74" s="6"/>
      <c r="I74" s="61"/>
      <c r="J74" s="6"/>
      <c r="K74" s="6"/>
      <c r="L74" s="6"/>
      <c r="M74" s="6"/>
      <c r="N74" s="6"/>
      <c r="O74" s="6"/>
      <c r="P74" s="40"/>
      <c r="Q74" s="40"/>
      <c r="R74" s="40"/>
      <c r="S74" s="40"/>
      <c r="T74" s="40"/>
      <c r="U74" s="56"/>
      <c r="V74" s="51"/>
      <c r="W74" s="86"/>
      <c r="X74" s="91"/>
      <c r="Y74" s="51">
        <v>2</v>
      </c>
      <c r="Z74" s="6"/>
      <c r="AA74" s="6"/>
      <c r="AB74" s="6"/>
      <c r="AC74" s="6"/>
      <c r="AD74" s="6"/>
      <c r="AE74" s="6"/>
      <c r="AG74" s="6"/>
      <c r="AH74" s="6"/>
      <c r="AI74" s="6"/>
      <c r="AJ74" s="6"/>
      <c r="AK74" s="6"/>
      <c r="AL74" s="6">
        <f t="shared" si="4"/>
        <v>0</v>
      </c>
      <c r="AM74" s="6">
        <f t="shared" si="3"/>
        <v>2</v>
      </c>
      <c r="AN74" s="130">
        <v>2</v>
      </c>
      <c r="AO74" s="130">
        <f>Y74-AL74-AN74</f>
        <v>0</v>
      </c>
      <c r="AQ74" s="18"/>
      <c r="AR74" s="18"/>
    </row>
    <row r="75" spans="1:45" ht="18.75" customHeight="1" x14ac:dyDescent="0.55000000000000004">
      <c r="A75" s="162"/>
      <c r="B75" s="165"/>
      <c r="C75" s="6" t="s">
        <v>98</v>
      </c>
      <c r="D75" s="109">
        <v>35000</v>
      </c>
      <c r="E75" s="6"/>
      <c r="F75" s="6"/>
      <c r="G75" s="6"/>
      <c r="H75" s="6"/>
      <c r="I75" s="61"/>
      <c r="J75" s="6"/>
      <c r="K75" s="6"/>
      <c r="L75" s="6"/>
      <c r="M75" s="6"/>
      <c r="N75" s="6"/>
      <c r="O75" s="6"/>
      <c r="P75" s="40"/>
      <c r="Q75" s="40"/>
      <c r="R75" s="40"/>
      <c r="S75" s="40"/>
      <c r="T75" s="40"/>
      <c r="U75" s="56"/>
      <c r="V75" s="51"/>
      <c r="W75" s="86"/>
      <c r="X75" s="91"/>
      <c r="Y75" s="97">
        <v>2</v>
      </c>
      <c r="Z75" s="6"/>
      <c r="AA75" s="6"/>
      <c r="AB75" s="6"/>
      <c r="AC75" s="6"/>
      <c r="AD75" s="6"/>
      <c r="AE75" s="28"/>
      <c r="AF75" s="24">
        <v>2</v>
      </c>
      <c r="AG75" s="96"/>
      <c r="AH75" s="6"/>
      <c r="AI75" s="6"/>
      <c r="AJ75" s="6"/>
      <c r="AK75" s="6"/>
      <c r="AL75" s="6">
        <f t="shared" si="4"/>
        <v>2</v>
      </c>
      <c r="AM75" s="6">
        <f t="shared" si="3"/>
        <v>0</v>
      </c>
      <c r="AN75" s="130">
        <v>0</v>
      </c>
      <c r="AO75" s="130">
        <f>Y75-AL75-AN75</f>
        <v>0</v>
      </c>
      <c r="AQ75" s="18"/>
      <c r="AR75" s="18"/>
    </row>
    <row r="76" spans="1:45" ht="18.75" customHeight="1" x14ac:dyDescent="0.55000000000000004">
      <c r="A76" s="162"/>
      <c r="B76" s="165"/>
      <c r="C76" s="6" t="s">
        <v>94</v>
      </c>
      <c r="D76" s="109">
        <v>70000</v>
      </c>
      <c r="E76" s="6"/>
      <c r="F76" s="6"/>
      <c r="G76" s="6"/>
      <c r="H76" s="6"/>
      <c r="I76" s="61"/>
      <c r="J76" s="6"/>
      <c r="K76" s="6"/>
      <c r="L76" s="6"/>
      <c r="M76" s="6"/>
      <c r="N76" s="6"/>
      <c r="O76" s="6"/>
      <c r="P76" s="40"/>
      <c r="Q76" s="40"/>
      <c r="R76" s="40"/>
      <c r="S76" s="40"/>
      <c r="T76" s="40"/>
      <c r="U76" s="56"/>
      <c r="V76" s="51"/>
      <c r="W76" s="86"/>
      <c r="X76" s="91"/>
      <c r="Y76" s="51">
        <v>1</v>
      </c>
      <c r="Z76" s="6"/>
      <c r="AA76" s="6"/>
      <c r="AB76" s="6"/>
      <c r="AC76" s="6"/>
      <c r="AD76" s="6"/>
      <c r="AE76" s="28"/>
      <c r="AF76" s="24"/>
      <c r="AG76" s="147"/>
      <c r="AH76" s="105"/>
      <c r="AI76" s="6"/>
      <c r="AJ76" s="6"/>
      <c r="AK76" s="6"/>
      <c r="AL76" s="6">
        <f>SUM(Z76:AK76)</f>
        <v>0</v>
      </c>
      <c r="AM76" s="6">
        <f t="shared" si="3"/>
        <v>1</v>
      </c>
      <c r="AN76" s="130">
        <v>1</v>
      </c>
      <c r="AO76" s="134">
        <f>Y76-AL76-AN76</f>
        <v>0</v>
      </c>
      <c r="AQ76" s="160"/>
      <c r="AR76" s="160"/>
    </row>
    <row r="77" spans="1:45" ht="18.75" customHeight="1" x14ac:dyDescent="0.55000000000000004">
      <c r="A77" s="162"/>
      <c r="B77" s="165"/>
      <c r="C77" s="37" t="s">
        <v>95</v>
      </c>
      <c r="D77" s="37"/>
      <c r="E77" s="37"/>
      <c r="F77" s="37"/>
      <c r="G77" s="37"/>
      <c r="H77" s="37"/>
      <c r="I77" s="92"/>
      <c r="J77" s="37"/>
      <c r="K77" s="37"/>
      <c r="L77" s="37"/>
      <c r="M77" s="37"/>
      <c r="N77" s="37"/>
      <c r="O77" s="37"/>
      <c r="P77" s="37"/>
      <c r="Q77" s="37"/>
      <c r="R77" s="37"/>
      <c r="S77" s="37"/>
      <c r="T77" s="37"/>
      <c r="U77" s="43"/>
      <c r="V77" s="43"/>
      <c r="W77" s="43"/>
      <c r="X77" s="92"/>
      <c r="Y77" s="43">
        <f>SUM(Y72:Y74)</f>
        <v>9</v>
      </c>
      <c r="Z77" s="37"/>
      <c r="AA77" s="37"/>
      <c r="AB77" s="37"/>
      <c r="AC77" s="37"/>
      <c r="AD77" s="37"/>
      <c r="AE77" s="37"/>
      <c r="AF77" s="98">
        <f>SUM(AF72:AF75)</f>
        <v>2</v>
      </c>
      <c r="AG77" s="43">
        <f t="shared" ref="AG77:AI77" si="5">SUM(AG72:AG74)</f>
        <v>0</v>
      </c>
      <c r="AH77" s="43">
        <f t="shared" si="5"/>
        <v>1</v>
      </c>
      <c r="AI77" s="43">
        <f t="shared" si="5"/>
        <v>0</v>
      </c>
      <c r="AJ77" s="43">
        <f>SUM(AJ72:AJ76)</f>
        <v>2</v>
      </c>
      <c r="AK77" s="43">
        <f>SUM(AK72:AK76)</f>
        <v>1</v>
      </c>
      <c r="AL77" s="37">
        <f>SUM(Z77:AK77)</f>
        <v>6</v>
      </c>
      <c r="AM77" s="37">
        <f t="shared" si="3"/>
        <v>3</v>
      </c>
      <c r="AN77" s="119">
        <f>SUM(AN72:AN76)</f>
        <v>7</v>
      </c>
      <c r="AO77" s="119">
        <f>SUM(AO72:AO76)</f>
        <v>0</v>
      </c>
      <c r="AQ77" s="88"/>
      <c r="AR77" s="88"/>
    </row>
    <row r="78" spans="1:45" ht="18.75" customHeight="1" x14ac:dyDescent="0.55000000000000004">
      <c r="A78" s="162"/>
      <c r="B78" s="166"/>
      <c r="C78" s="37" t="s">
        <v>96</v>
      </c>
      <c r="D78" s="37"/>
      <c r="E78" s="37"/>
      <c r="F78" s="37"/>
      <c r="G78" s="37"/>
      <c r="H78" s="37"/>
      <c r="I78" s="92"/>
      <c r="J78" s="37"/>
      <c r="K78" s="37"/>
      <c r="L78" s="37"/>
      <c r="M78" s="37"/>
      <c r="N78" s="37"/>
      <c r="O78" s="37"/>
      <c r="P78" s="37"/>
      <c r="Q78" s="37"/>
      <c r="R78" s="37"/>
      <c r="S78" s="37"/>
      <c r="T78" s="37"/>
      <c r="U78" s="43"/>
      <c r="V78" s="43"/>
      <c r="W78" s="43"/>
      <c r="X78" s="92"/>
      <c r="Y78" s="110">
        <f>SUMPRODUCT(D72:D75,Y72:Y75)</f>
        <v>906000</v>
      </c>
      <c r="Z78" s="110">
        <f>SUMPRODUCT(D72:D75,Z72:Z75)</f>
        <v>0</v>
      </c>
      <c r="AA78" s="110">
        <f>SUMPRODUCT(D72:D75,AA72:AA75)</f>
        <v>0</v>
      </c>
      <c r="AB78" s="110">
        <f>SUMPRODUCT(D72:D75,AB72:AB75)</f>
        <v>0</v>
      </c>
      <c r="AC78" s="110">
        <f>SUMPRODUCT(D72:D75,AC72:AC75)</f>
        <v>0</v>
      </c>
      <c r="AD78" s="110">
        <f>SUMPRODUCT(D72:D75,AD72:AD75)</f>
        <v>0</v>
      </c>
      <c r="AE78" s="110">
        <f>SUMPRODUCT(D72:D75,AE72:AE75)</f>
        <v>0</v>
      </c>
      <c r="AF78" s="110">
        <f>SUMPRODUCT(D72:D75,AF72:AF75)</f>
        <v>70000</v>
      </c>
      <c r="AG78" s="110">
        <f>SUMPRODUCT(D72:D75,AG72:AG75)</f>
        <v>0</v>
      </c>
      <c r="AH78" s="110">
        <f>SUMPRODUCT(D72:D75,AH72:AH75)</f>
        <v>110000</v>
      </c>
      <c r="AI78" s="110">
        <f>SUMPRODUCT(D72:D75,AI72:AI75)</f>
        <v>0</v>
      </c>
      <c r="AJ78" s="110">
        <f>SUMPRODUCT(D72:D75,AJ72:AJ75)</f>
        <v>220000</v>
      </c>
      <c r="AK78" s="110">
        <f>SUMPRODUCT(D72:D76,AK72:AK76)</f>
        <v>55000</v>
      </c>
      <c r="AL78" s="110">
        <f>SUMPRODUCT(D72:D76,AL72:AL76)</f>
        <v>455000</v>
      </c>
      <c r="AM78" s="110">
        <f>SUMPRODUCT(D72:D76,AM72:AM76)</f>
        <v>521000</v>
      </c>
      <c r="AN78" s="110">
        <f>SUMPRODUCT(D72:D76,AN72:AN76)</f>
        <v>576000</v>
      </c>
      <c r="AO78" s="110">
        <f>SUMPRODUCT(D72:D76,AO72:AO76)</f>
        <v>0</v>
      </c>
      <c r="AQ78" s="88"/>
      <c r="AR78" s="88"/>
    </row>
    <row r="79" spans="1:45" ht="18.75" customHeight="1" x14ac:dyDescent="0.55000000000000004">
      <c r="A79" s="162"/>
      <c r="B79" s="164" t="s">
        <v>21</v>
      </c>
      <c r="C79" s="6" t="s">
        <v>91</v>
      </c>
      <c r="D79" s="109">
        <v>110000</v>
      </c>
      <c r="E79" s="6"/>
      <c r="F79" s="6"/>
      <c r="G79" s="6"/>
      <c r="H79" s="6"/>
      <c r="I79" s="61">
        <v>12</v>
      </c>
      <c r="J79" s="6"/>
      <c r="K79" s="6"/>
      <c r="L79" s="6"/>
      <c r="M79" s="6"/>
      <c r="N79" s="6"/>
      <c r="O79" s="6"/>
      <c r="P79" s="6">
        <v>2</v>
      </c>
      <c r="Q79" s="6"/>
      <c r="R79" s="6">
        <v>2</v>
      </c>
      <c r="S79" s="6">
        <v>1</v>
      </c>
      <c r="T79" s="6"/>
      <c r="U79" s="51"/>
      <c r="V79" s="51">
        <f>SUM(J79:U79)</f>
        <v>5</v>
      </c>
      <c r="W79" s="86">
        <f>I79-V79</f>
        <v>7</v>
      </c>
      <c r="X79" s="91">
        <v>15</v>
      </c>
      <c r="Y79" s="51">
        <v>9</v>
      </c>
      <c r="Z79" s="6"/>
      <c r="AA79" s="6">
        <v>2</v>
      </c>
      <c r="AB79" s="6"/>
      <c r="AC79" s="6">
        <v>2</v>
      </c>
      <c r="AD79" s="6"/>
      <c r="AE79" s="6"/>
      <c r="AF79" s="6"/>
      <c r="AG79" s="6">
        <v>1</v>
      </c>
      <c r="AH79" s="6"/>
      <c r="AI79" s="6"/>
      <c r="AJ79" s="6">
        <v>3</v>
      </c>
      <c r="AK79" s="6"/>
      <c r="AL79" s="6">
        <f>SUM(Z79:AK79)</f>
        <v>8</v>
      </c>
      <c r="AM79" s="6">
        <f>Y79-AL79</f>
        <v>1</v>
      </c>
      <c r="AN79" s="130">
        <v>1</v>
      </c>
      <c r="AO79" s="130">
        <f>Y79-AL79-AN79</f>
        <v>0</v>
      </c>
      <c r="AQ79" s="18" t="s">
        <v>55</v>
      </c>
      <c r="AR79" s="18" t="s">
        <v>99</v>
      </c>
      <c r="AS79" t="s">
        <v>57</v>
      </c>
    </row>
    <row r="80" spans="1:45" ht="18.75" customHeight="1" x14ac:dyDescent="0.55000000000000004">
      <c r="A80" s="162"/>
      <c r="B80" s="165"/>
      <c r="C80" s="6" t="s">
        <v>92</v>
      </c>
      <c r="D80" s="109">
        <v>55000</v>
      </c>
      <c r="E80" s="6"/>
      <c r="F80" s="6"/>
      <c r="G80" s="6"/>
      <c r="H80" s="6"/>
      <c r="I80" s="61"/>
      <c r="J80" s="6"/>
      <c r="K80" s="6"/>
      <c r="L80" s="6"/>
      <c r="M80" s="6"/>
      <c r="N80" s="6"/>
      <c r="O80" s="6"/>
      <c r="P80" s="6"/>
      <c r="Q80" s="6"/>
      <c r="R80" s="6"/>
      <c r="S80" s="6"/>
      <c r="T80" s="6"/>
      <c r="U80" s="51"/>
      <c r="V80" s="51"/>
      <c r="W80" s="86"/>
      <c r="X80" s="91"/>
      <c r="Y80" s="97">
        <v>3</v>
      </c>
      <c r="Z80" s="6"/>
      <c r="AA80" s="6"/>
      <c r="AB80" s="6"/>
      <c r="AC80" s="6"/>
      <c r="AD80" s="6">
        <v>1</v>
      </c>
      <c r="AE80" s="6"/>
      <c r="AF80" s="6"/>
      <c r="AG80" s="6"/>
      <c r="AH80" s="6"/>
      <c r="AI80" s="6"/>
      <c r="AJ80" s="6"/>
      <c r="AK80" s="6">
        <v>2</v>
      </c>
      <c r="AL80" s="6">
        <f>SUM(Z80:AK80)</f>
        <v>3</v>
      </c>
      <c r="AM80" s="6">
        <f>Y80-AL80</f>
        <v>0</v>
      </c>
      <c r="AN80" s="130">
        <v>0</v>
      </c>
      <c r="AO80" s="130">
        <v>0</v>
      </c>
      <c r="AQ80" s="18"/>
      <c r="AR80" s="18"/>
    </row>
    <row r="81" spans="1:45" ht="18.75" customHeight="1" x14ac:dyDescent="0.55000000000000004">
      <c r="A81" s="162"/>
      <c r="B81" s="165"/>
      <c r="C81" s="6" t="s">
        <v>93</v>
      </c>
      <c r="D81" s="109">
        <v>88000</v>
      </c>
      <c r="E81" s="6"/>
      <c r="F81" s="6"/>
      <c r="G81" s="6"/>
      <c r="H81" s="6"/>
      <c r="I81" s="61"/>
      <c r="J81" s="6"/>
      <c r="K81" s="6"/>
      <c r="L81" s="6"/>
      <c r="M81" s="6"/>
      <c r="N81" s="6"/>
      <c r="O81" s="6"/>
      <c r="P81" s="6"/>
      <c r="Q81" s="6"/>
      <c r="R81" s="6"/>
      <c r="S81" s="6"/>
      <c r="T81" s="6"/>
      <c r="U81" s="51"/>
      <c r="V81" s="51"/>
      <c r="W81" s="86"/>
      <c r="X81" s="91"/>
      <c r="Y81" s="51">
        <v>2</v>
      </c>
      <c r="Z81" s="6"/>
      <c r="AA81" s="6"/>
      <c r="AB81" s="6"/>
      <c r="AC81" s="6"/>
      <c r="AD81" s="6"/>
      <c r="AE81" s="6"/>
      <c r="AF81" s="6"/>
      <c r="AG81" s="6"/>
      <c r="AH81" s="6"/>
      <c r="AI81" s="6"/>
      <c r="AJ81" s="6"/>
      <c r="AK81" s="6"/>
      <c r="AL81" s="6">
        <f>SUM(Z81:AK81)</f>
        <v>0</v>
      </c>
      <c r="AM81" s="6">
        <f>Y81-AL81</f>
        <v>2</v>
      </c>
      <c r="AN81" s="130">
        <v>2</v>
      </c>
      <c r="AO81" s="130">
        <f>Y81-AL81-AN81</f>
        <v>0</v>
      </c>
      <c r="AQ81" s="18"/>
      <c r="AR81" s="18"/>
    </row>
    <row r="82" spans="1:45" ht="18.75" customHeight="1" x14ac:dyDescent="0.55000000000000004">
      <c r="A82" s="162"/>
      <c r="B82" s="165"/>
      <c r="C82" s="6" t="s">
        <v>94</v>
      </c>
      <c r="D82" s="109">
        <v>70000</v>
      </c>
      <c r="E82" s="6"/>
      <c r="F82" s="6"/>
      <c r="G82" s="6"/>
      <c r="H82" s="6"/>
      <c r="I82" s="61"/>
      <c r="J82" s="6"/>
      <c r="K82" s="6"/>
      <c r="L82" s="6"/>
      <c r="M82" s="6"/>
      <c r="N82" s="6"/>
      <c r="O82" s="6"/>
      <c r="P82" s="40"/>
      <c r="Q82" s="40"/>
      <c r="R82" s="40"/>
      <c r="S82" s="40"/>
      <c r="T82" s="40"/>
      <c r="U82" s="56"/>
      <c r="V82" s="51"/>
      <c r="W82" s="86"/>
      <c r="X82" s="91"/>
      <c r="Y82" s="51">
        <v>1</v>
      </c>
      <c r="Z82" s="6"/>
      <c r="AA82" s="6"/>
      <c r="AB82" s="6"/>
      <c r="AC82" s="6"/>
      <c r="AD82" s="6"/>
      <c r="AE82" s="28"/>
      <c r="AF82" s="24"/>
      <c r="AG82" s="147"/>
      <c r="AH82" s="105"/>
      <c r="AI82" s="6"/>
      <c r="AJ82" s="6"/>
      <c r="AK82" s="6"/>
      <c r="AL82" s="6">
        <f>SUM(Z82:AK82)</f>
        <v>0</v>
      </c>
      <c r="AM82" s="6">
        <f>Y82-AL82</f>
        <v>1</v>
      </c>
      <c r="AN82" s="130">
        <v>1</v>
      </c>
      <c r="AO82" s="134">
        <f>Y82-AL82-AN82</f>
        <v>0</v>
      </c>
      <c r="AQ82" s="160"/>
      <c r="AR82" s="160"/>
    </row>
    <row r="83" spans="1:45" ht="18.75" customHeight="1" x14ac:dyDescent="0.55000000000000004">
      <c r="A83" s="162"/>
      <c r="B83" s="165"/>
      <c r="C83" s="37" t="s">
        <v>95</v>
      </c>
      <c r="D83" s="37"/>
      <c r="E83" s="37"/>
      <c r="F83" s="37"/>
      <c r="G83" s="37"/>
      <c r="H83" s="37"/>
      <c r="I83" s="92"/>
      <c r="J83" s="37"/>
      <c r="K83" s="37"/>
      <c r="L83" s="37"/>
      <c r="M83" s="37"/>
      <c r="N83" s="37"/>
      <c r="O83" s="37"/>
      <c r="P83" s="37"/>
      <c r="Q83" s="37"/>
      <c r="R83" s="37"/>
      <c r="S83" s="37"/>
      <c r="T83" s="37"/>
      <c r="U83" s="43"/>
      <c r="V83" s="43"/>
      <c r="W83" s="43"/>
      <c r="X83" s="92"/>
      <c r="Y83" s="43">
        <f>SUM(Y79:Y81)</f>
        <v>14</v>
      </c>
      <c r="Z83" s="37"/>
      <c r="AA83" s="37"/>
      <c r="AB83" s="37"/>
      <c r="AC83" s="43">
        <f>SUM(AC79:AC81)</f>
        <v>2</v>
      </c>
      <c r="AD83" s="43">
        <f>SUM(AD79:AD81)</f>
        <v>1</v>
      </c>
      <c r="AE83" s="37"/>
      <c r="AF83" s="37"/>
      <c r="AG83" s="43">
        <f>SUM(AG79:AG81)</f>
        <v>1</v>
      </c>
      <c r="AH83" s="43">
        <f t="shared" ref="AH83:AI83" si="6">SUM(AH79:AH81)</f>
        <v>0</v>
      </c>
      <c r="AI83" s="43">
        <f t="shared" si="6"/>
        <v>0</v>
      </c>
      <c r="AJ83" s="43">
        <f>SUM(AJ79:AJ81)</f>
        <v>3</v>
      </c>
      <c r="AK83" s="43">
        <f>SUM(AK79:AK82)</f>
        <v>2</v>
      </c>
      <c r="AL83" s="37">
        <f>SUM(Z83:AK83)</f>
        <v>9</v>
      </c>
      <c r="AM83" s="37">
        <f>Y83-AL83</f>
        <v>5</v>
      </c>
      <c r="AN83" s="119">
        <f>SUM(AN79:AN82)</f>
        <v>4</v>
      </c>
      <c r="AO83" s="119">
        <f>SUM(AO79:AO82)</f>
        <v>0</v>
      </c>
      <c r="AQ83" s="88"/>
      <c r="AR83" s="88"/>
    </row>
    <row r="84" spans="1:45" ht="18.75" customHeight="1" x14ac:dyDescent="0.55000000000000004">
      <c r="A84" s="162"/>
      <c r="B84" s="166"/>
      <c r="C84" s="37" t="s">
        <v>96</v>
      </c>
      <c r="D84" s="37"/>
      <c r="E84" s="37"/>
      <c r="F84" s="37"/>
      <c r="G84" s="37"/>
      <c r="H84" s="37"/>
      <c r="I84" s="92"/>
      <c r="J84" s="37"/>
      <c r="K84" s="37"/>
      <c r="L84" s="37"/>
      <c r="M84" s="37"/>
      <c r="N84" s="37"/>
      <c r="O84" s="37"/>
      <c r="P84" s="37"/>
      <c r="Q84" s="37"/>
      <c r="R84" s="37"/>
      <c r="S84" s="37"/>
      <c r="T84" s="37"/>
      <c r="U84" s="43"/>
      <c r="V84" s="43"/>
      <c r="W84" s="43"/>
      <c r="X84" s="92"/>
      <c r="Y84" s="110">
        <f>SUMPRODUCT(D79:D81,Y79:Y81)</f>
        <v>1331000</v>
      </c>
      <c r="Z84" s="110">
        <f>SUMPRODUCT(D79:D81,Z79:Z81)</f>
        <v>0</v>
      </c>
      <c r="AA84" s="110">
        <f>SUMPRODUCT(D79:D81,AA79:AA81)</f>
        <v>220000</v>
      </c>
      <c r="AB84" s="110">
        <f>SUMPRODUCT(D79:D81,AB79:AB81)</f>
        <v>0</v>
      </c>
      <c r="AC84" s="110">
        <f>SUMPRODUCT(D79:D81,AC79:AC81)</f>
        <v>220000</v>
      </c>
      <c r="AD84" s="110">
        <f>SUMPRODUCT(D79:D81,AD79:AD81)</f>
        <v>55000</v>
      </c>
      <c r="AE84" s="110">
        <f>SUMPRODUCT(D79:D81,AE79:AE81)</f>
        <v>0</v>
      </c>
      <c r="AF84" s="110">
        <f>SUMPRODUCT(D79:D81,AF79:AF81)</f>
        <v>0</v>
      </c>
      <c r="AG84" s="110">
        <f>SUMPRODUCT(D79:D81,AG79:AG81)</f>
        <v>110000</v>
      </c>
      <c r="AH84" s="110">
        <f>SUMPRODUCT(D79:D81,AH79:AH81)</f>
        <v>0</v>
      </c>
      <c r="AI84" s="110">
        <f>SUMPRODUCT(D79:D81,AI79:AI81)</f>
        <v>0</v>
      </c>
      <c r="AJ84" s="110">
        <f>SUMPRODUCT(D79:D81,AJ79:AJ81)</f>
        <v>330000</v>
      </c>
      <c r="AK84" s="110">
        <f>SUMPRODUCT(D79:D82,AK79:AK82)</f>
        <v>110000</v>
      </c>
      <c r="AL84" s="110">
        <f>SUMPRODUCT(D79:D82,AL79:AL82)</f>
        <v>1045000</v>
      </c>
      <c r="AM84" s="110">
        <f>SUMPRODUCT(D79:D82,AM79:AM82)</f>
        <v>356000</v>
      </c>
      <c r="AN84" s="110">
        <f>SUMPRODUCT(D79:D82,AN79:AN82)</f>
        <v>356000</v>
      </c>
      <c r="AO84" s="110">
        <f>SUMPRODUCT(D79:D82,AO79:AO82)</f>
        <v>0</v>
      </c>
      <c r="AQ84" s="88"/>
      <c r="AR84" s="88"/>
    </row>
    <row r="85" spans="1:45" ht="18.75" customHeight="1" x14ac:dyDescent="0.55000000000000004">
      <c r="A85" s="162"/>
      <c r="B85" s="164" t="s">
        <v>22</v>
      </c>
      <c r="C85" s="6" t="s">
        <v>91</v>
      </c>
      <c r="D85" s="109">
        <v>110000</v>
      </c>
      <c r="E85" s="6"/>
      <c r="F85" s="6"/>
      <c r="G85" s="6"/>
      <c r="H85" s="6"/>
      <c r="I85" s="61">
        <v>12</v>
      </c>
      <c r="J85" s="6"/>
      <c r="K85" s="79"/>
      <c r="L85" s="6"/>
      <c r="M85" s="6"/>
      <c r="N85" s="6"/>
      <c r="O85" s="6">
        <v>2</v>
      </c>
      <c r="P85" s="6"/>
      <c r="Q85" s="6"/>
      <c r="R85" s="6">
        <v>2</v>
      </c>
      <c r="S85" s="6">
        <v>1</v>
      </c>
      <c r="T85" s="6"/>
      <c r="U85" s="51">
        <v>1</v>
      </c>
      <c r="V85" s="51">
        <f>SUM(J85:U85)</f>
        <v>6</v>
      </c>
      <c r="W85" s="86">
        <f>I85-V85</f>
        <v>6</v>
      </c>
      <c r="X85" s="91">
        <v>15</v>
      </c>
      <c r="Y85" s="51">
        <v>4</v>
      </c>
      <c r="Z85" s="6"/>
      <c r="AA85" s="6"/>
      <c r="AB85" s="6"/>
      <c r="AC85" s="6"/>
      <c r="AD85" s="6">
        <v>2</v>
      </c>
      <c r="AE85" s="6"/>
      <c r="AF85" s="6"/>
      <c r="AG85" s="6"/>
      <c r="AH85" s="6"/>
      <c r="AI85" s="6"/>
      <c r="AJ85" s="6">
        <v>2</v>
      </c>
      <c r="AK85" s="6"/>
      <c r="AL85" s="6">
        <f>SUM(Z85:AK85)</f>
        <v>4</v>
      </c>
      <c r="AM85" s="6">
        <f>Y85-AL85</f>
        <v>0</v>
      </c>
      <c r="AN85" s="130">
        <v>0</v>
      </c>
      <c r="AO85" s="130">
        <f>Y85-AL85-AN85</f>
        <v>0</v>
      </c>
      <c r="AQ85" s="18" t="s">
        <v>58</v>
      </c>
      <c r="AR85" s="18" t="s">
        <v>59</v>
      </c>
    </row>
    <row r="86" spans="1:45" ht="18.75" customHeight="1" x14ac:dyDescent="0.55000000000000004">
      <c r="A86" s="162"/>
      <c r="B86" s="165"/>
      <c r="C86" s="6" t="s">
        <v>92</v>
      </c>
      <c r="D86" s="109">
        <v>55000</v>
      </c>
      <c r="E86" s="6"/>
      <c r="F86" s="6"/>
      <c r="G86" s="6"/>
      <c r="H86" s="6"/>
      <c r="I86" s="61"/>
      <c r="J86" s="6"/>
      <c r="K86" s="79"/>
      <c r="L86" s="6"/>
      <c r="M86" s="6"/>
      <c r="N86" s="6"/>
      <c r="O86" s="6"/>
      <c r="P86" s="6"/>
      <c r="Q86" s="6"/>
      <c r="R86" s="6"/>
      <c r="S86" s="6"/>
      <c r="T86" s="6"/>
      <c r="U86" s="51"/>
      <c r="V86" s="51"/>
      <c r="W86" s="86"/>
      <c r="X86" s="91"/>
      <c r="Y86" s="51">
        <v>2</v>
      </c>
      <c r="Z86" s="6"/>
      <c r="AA86" s="6"/>
      <c r="AB86" s="6"/>
      <c r="AC86" s="6"/>
      <c r="AD86" s="6"/>
      <c r="AE86" s="6"/>
      <c r="AF86" s="6"/>
      <c r="AG86" s="6"/>
      <c r="AH86" s="6"/>
      <c r="AI86" s="6"/>
      <c r="AJ86" s="6">
        <v>1</v>
      </c>
      <c r="AK86" s="6">
        <v>1</v>
      </c>
      <c r="AL86" s="6">
        <f>SUM(Z86:AK86)</f>
        <v>2</v>
      </c>
      <c r="AM86" s="6">
        <f>Y86-AL86</f>
        <v>0</v>
      </c>
      <c r="AN86" s="130">
        <v>0</v>
      </c>
      <c r="AO86" s="130">
        <v>0</v>
      </c>
      <c r="AQ86" s="158"/>
      <c r="AR86" s="158"/>
    </row>
    <row r="87" spans="1:45" ht="18.75" customHeight="1" x14ac:dyDescent="0.55000000000000004">
      <c r="A87" s="162"/>
      <c r="B87" s="165"/>
      <c r="C87" s="6" t="s">
        <v>93</v>
      </c>
      <c r="D87" s="109">
        <v>88000</v>
      </c>
      <c r="E87" s="6"/>
      <c r="F87" s="6"/>
      <c r="G87" s="6"/>
      <c r="H87" s="6"/>
      <c r="I87" s="61"/>
      <c r="J87" s="6"/>
      <c r="K87" s="79"/>
      <c r="L87" s="6"/>
      <c r="M87" s="6"/>
      <c r="N87" s="6"/>
      <c r="O87" s="6"/>
      <c r="P87" s="6"/>
      <c r="Q87" s="6"/>
      <c r="R87" s="6"/>
      <c r="S87" s="6"/>
      <c r="T87" s="6"/>
      <c r="U87" s="51"/>
      <c r="V87" s="51"/>
      <c r="W87" s="86"/>
      <c r="X87" s="91"/>
      <c r="Y87" s="51">
        <v>3</v>
      </c>
      <c r="Z87" s="6"/>
      <c r="AA87" s="6"/>
      <c r="AB87" s="6"/>
      <c r="AC87" s="6"/>
      <c r="AD87" s="6"/>
      <c r="AE87" s="6"/>
      <c r="AF87" s="6"/>
      <c r="AG87" s="6"/>
      <c r="AH87" s="6"/>
      <c r="AI87" s="6"/>
      <c r="AJ87" s="6"/>
      <c r="AK87" s="6">
        <v>1</v>
      </c>
      <c r="AL87" s="6">
        <f>SUM(Z87:AK87)</f>
        <v>1</v>
      </c>
      <c r="AM87" s="6">
        <f>Y87-AL87</f>
        <v>2</v>
      </c>
      <c r="AN87" s="130">
        <v>1</v>
      </c>
      <c r="AO87" s="130">
        <v>0</v>
      </c>
      <c r="AQ87" s="158"/>
      <c r="AR87" s="158"/>
    </row>
    <row r="88" spans="1:45" ht="18.75" customHeight="1" x14ac:dyDescent="0.55000000000000004">
      <c r="A88" s="162"/>
      <c r="B88" s="165"/>
      <c r="C88" s="6" t="s">
        <v>94</v>
      </c>
      <c r="D88" s="109">
        <v>70000</v>
      </c>
      <c r="E88" s="6"/>
      <c r="F88" s="6"/>
      <c r="G88" s="6"/>
      <c r="H88" s="6"/>
      <c r="I88" s="61"/>
      <c r="J88" s="6"/>
      <c r="K88" s="6"/>
      <c r="L88" s="6"/>
      <c r="M88" s="6"/>
      <c r="N88" s="6"/>
      <c r="O88" s="6"/>
      <c r="P88" s="40"/>
      <c r="Q88" s="40"/>
      <c r="R88" s="40"/>
      <c r="S88" s="40"/>
      <c r="T88" s="40"/>
      <c r="U88" s="56"/>
      <c r="V88" s="51"/>
      <c r="W88" s="86"/>
      <c r="X88" s="91"/>
      <c r="Y88" s="51">
        <v>1</v>
      </c>
      <c r="Z88" s="6"/>
      <c r="AA88" s="6"/>
      <c r="AB88" s="6"/>
      <c r="AC88" s="6"/>
      <c r="AD88" s="6"/>
      <c r="AE88" s="28"/>
      <c r="AF88" s="24"/>
      <c r="AG88" s="147"/>
      <c r="AH88" s="105"/>
      <c r="AI88" s="6"/>
      <c r="AJ88" s="6"/>
      <c r="AK88" s="6"/>
      <c r="AL88" s="6">
        <f>SUM(Z88:AK88)</f>
        <v>0</v>
      </c>
      <c r="AM88" s="6">
        <f>Y88-AL88</f>
        <v>1</v>
      </c>
      <c r="AN88" s="130">
        <v>1</v>
      </c>
      <c r="AO88" s="134">
        <f>Y88-AL88-AN88</f>
        <v>0</v>
      </c>
      <c r="AQ88" s="160"/>
      <c r="AR88" s="160"/>
    </row>
    <row r="89" spans="1:45" ht="18.75" customHeight="1" x14ac:dyDescent="0.55000000000000004">
      <c r="A89" s="162"/>
      <c r="B89" s="165"/>
      <c r="C89" s="37" t="s">
        <v>95</v>
      </c>
      <c r="D89" s="37"/>
      <c r="E89" s="37"/>
      <c r="F89" s="37"/>
      <c r="G89" s="37"/>
      <c r="H89" s="37"/>
      <c r="I89" s="92"/>
      <c r="J89" s="37"/>
      <c r="K89" s="94"/>
      <c r="L89" s="37"/>
      <c r="M89" s="37"/>
      <c r="N89" s="37"/>
      <c r="O89" s="37"/>
      <c r="P89" s="37"/>
      <c r="Q89" s="37"/>
      <c r="R89" s="37"/>
      <c r="S89" s="37"/>
      <c r="T89" s="37"/>
      <c r="U89" s="43"/>
      <c r="V89" s="43"/>
      <c r="W89" s="43"/>
      <c r="X89" s="92"/>
      <c r="Y89" s="43">
        <f>SUM(Y85:Y87)</f>
        <v>9</v>
      </c>
      <c r="Z89" s="37"/>
      <c r="AA89" s="37"/>
      <c r="AB89" s="37"/>
      <c r="AC89" s="37"/>
      <c r="AD89" s="43">
        <f>SUM(AD85:AD87)</f>
        <v>2</v>
      </c>
      <c r="AE89" s="37"/>
      <c r="AF89" s="37"/>
      <c r="AG89" s="43">
        <f>SUM(AG85:AG87)</f>
        <v>0</v>
      </c>
      <c r="AH89" s="43">
        <f t="shared" ref="AH89:AJ89" si="7">SUM(AH85:AH87)</f>
        <v>0</v>
      </c>
      <c r="AI89" s="43">
        <f t="shared" si="7"/>
        <v>0</v>
      </c>
      <c r="AJ89" s="43">
        <f t="shared" si="7"/>
        <v>3</v>
      </c>
      <c r="AK89" s="43">
        <f>SUM(AK85:AK88)</f>
        <v>2</v>
      </c>
      <c r="AL89" s="37">
        <f>SUM(Z89:AK89)</f>
        <v>7</v>
      </c>
      <c r="AM89" s="37">
        <f>Y89-AL89</f>
        <v>2</v>
      </c>
      <c r="AN89" s="119">
        <f>SUM(AN85:AN88)</f>
        <v>2</v>
      </c>
      <c r="AO89" s="119">
        <f>SUM(AO85:AO88)</f>
        <v>0</v>
      </c>
      <c r="AQ89" s="89"/>
      <c r="AR89" s="89"/>
    </row>
    <row r="90" spans="1:45" ht="18.75" customHeight="1" x14ac:dyDescent="0.55000000000000004">
      <c r="A90" s="162"/>
      <c r="B90" s="166"/>
      <c r="C90" s="37" t="s">
        <v>96</v>
      </c>
      <c r="D90" s="37"/>
      <c r="E90" s="37"/>
      <c r="F90" s="37"/>
      <c r="G90" s="37"/>
      <c r="H90" s="37"/>
      <c r="I90" s="92"/>
      <c r="J90" s="37"/>
      <c r="K90" s="94"/>
      <c r="L90" s="37"/>
      <c r="M90" s="37"/>
      <c r="N90" s="37"/>
      <c r="O90" s="37"/>
      <c r="P90" s="37"/>
      <c r="Q90" s="37"/>
      <c r="R90" s="37"/>
      <c r="S90" s="37"/>
      <c r="T90" s="37"/>
      <c r="U90" s="43"/>
      <c r="V90" s="43"/>
      <c r="W90" s="43"/>
      <c r="X90" s="92"/>
      <c r="Y90" s="110">
        <f>SUMPRODUCT(D85:D87,Y85:Y87)</f>
        <v>814000</v>
      </c>
      <c r="Z90" s="43">
        <f>SUMPRODUCT(D85:D87,Z85:Z87)</f>
        <v>0</v>
      </c>
      <c r="AA90" s="43">
        <f>SUMPRODUCT(D85:D87,AA85:AA87)</f>
        <v>0</v>
      </c>
      <c r="AB90" s="43">
        <f>SUMPRODUCT(D85:D87,AB85:AB87)</f>
        <v>0</v>
      </c>
      <c r="AC90" s="43">
        <f>SUMPRODUCT(D85:D87,AC85:AC87)</f>
        <v>0</v>
      </c>
      <c r="AD90" s="43">
        <f>SUMPRODUCT(D85:D87,AD85:AD87)</f>
        <v>220000</v>
      </c>
      <c r="AE90" s="43">
        <f>SUMPRODUCT(D85:D87,AE85:AE87)</f>
        <v>0</v>
      </c>
      <c r="AF90" s="43">
        <f>SUMPRODUCT(D85:D87,AF85:AF87)</f>
        <v>0</v>
      </c>
      <c r="AG90" s="43">
        <f>SUMPRODUCT(L85:L87,AG85:AG87)</f>
        <v>0</v>
      </c>
      <c r="AH90" s="43">
        <f>SUMPRODUCT(D85:D87,AH85:AH87)</f>
        <v>0</v>
      </c>
      <c r="AI90" s="43">
        <f>SUMPRODUCT(D85:D87,AI85:AI87)</f>
        <v>0</v>
      </c>
      <c r="AJ90" s="43">
        <f>SUMPRODUCT(D85:D87,AJ85:AJ87)</f>
        <v>275000</v>
      </c>
      <c r="AK90" s="43">
        <f>SUMPRODUCT(D85:D88,AK85:AK88)</f>
        <v>143000</v>
      </c>
      <c r="AL90" s="135">
        <f>SUMPRODUCT(D85:D88,AL85:AL88)</f>
        <v>638000</v>
      </c>
      <c r="AM90" s="43">
        <f>SUMPRODUCT(D85:D88,AM85:AM88)</f>
        <v>246000</v>
      </c>
      <c r="AN90" s="43">
        <f>SUMPRODUCT(D85:D88,AN85:AN88)</f>
        <v>158000</v>
      </c>
      <c r="AO90" s="43">
        <f>SUMPRODUCT(D85:D88,AO85:AO88)</f>
        <v>0</v>
      </c>
      <c r="AQ90" s="89"/>
      <c r="AR90" s="89"/>
    </row>
    <row r="91" spans="1:45" ht="18.75" customHeight="1" x14ac:dyDescent="0.55000000000000004">
      <c r="A91" s="163"/>
      <c r="B91" s="77" t="s">
        <v>11</v>
      </c>
      <c r="C91" s="77"/>
      <c r="D91" s="77"/>
      <c r="E91" s="77"/>
      <c r="F91" s="77"/>
      <c r="G91" s="77"/>
      <c r="H91" s="77"/>
      <c r="I91" s="77"/>
      <c r="J91" s="77"/>
      <c r="K91" s="77"/>
      <c r="L91" s="77"/>
      <c r="M91" s="77"/>
      <c r="N91" s="77"/>
      <c r="O91" s="77"/>
      <c r="P91" s="77"/>
      <c r="Q91" s="77"/>
      <c r="R91" s="77"/>
      <c r="S91" s="77"/>
      <c r="T91" s="77"/>
      <c r="U91" s="80"/>
      <c r="V91" s="80"/>
      <c r="W91" s="86"/>
      <c r="X91" s="77"/>
      <c r="Y91" s="80"/>
      <c r="Z91" s="77"/>
      <c r="AA91" s="77"/>
      <c r="AB91" s="77"/>
      <c r="AC91" s="77"/>
      <c r="AD91" s="77"/>
      <c r="AE91" s="77"/>
      <c r="AF91" s="77"/>
      <c r="AG91" s="77">
        <v>50000</v>
      </c>
      <c r="AH91" s="77"/>
      <c r="AI91" s="77"/>
      <c r="AJ91" s="77"/>
      <c r="AK91" s="77"/>
      <c r="AL91" s="78">
        <f>SUM(Z91:AE91)</f>
        <v>0</v>
      </c>
      <c r="AM91" s="101">
        <f>SUM(AM89,AM83,AM77,AM70)</f>
        <v>12</v>
      </c>
      <c r="AN91" s="120"/>
      <c r="AO91" s="120"/>
      <c r="AQ91" s="19"/>
      <c r="AR91" s="19"/>
    </row>
    <row r="92" spans="1:45" ht="18" x14ac:dyDescent="0.55000000000000004">
      <c r="A92" s="161" t="s">
        <v>100</v>
      </c>
      <c r="B92" s="164" t="s">
        <v>19</v>
      </c>
      <c r="C92" s="6" t="s">
        <v>101</v>
      </c>
      <c r="D92" s="109">
        <v>500000</v>
      </c>
      <c r="E92" s="6"/>
      <c r="F92" s="6"/>
      <c r="G92" s="6"/>
      <c r="H92" s="6"/>
      <c r="I92" s="63">
        <v>3</v>
      </c>
      <c r="J92" s="6">
        <v>1</v>
      </c>
      <c r="K92" s="6"/>
      <c r="L92" s="6"/>
      <c r="M92" s="6"/>
      <c r="N92" s="6"/>
      <c r="O92" s="6"/>
      <c r="P92" s="40"/>
      <c r="Q92" s="40"/>
      <c r="R92" s="40"/>
      <c r="S92" s="40"/>
      <c r="T92" s="40"/>
      <c r="U92" s="56"/>
      <c r="V92" s="51">
        <f>SUM(J92:U92)</f>
        <v>1</v>
      </c>
      <c r="W92" s="86">
        <f>I92-V92</f>
        <v>2</v>
      </c>
      <c r="X92" s="85"/>
      <c r="Y92" s="51"/>
      <c r="Z92" s="6"/>
      <c r="AA92" s="6"/>
      <c r="AB92" s="6"/>
      <c r="AC92" s="6"/>
      <c r="AD92" s="6"/>
      <c r="AE92" s="6"/>
      <c r="AF92" s="6"/>
      <c r="AG92" s="6"/>
      <c r="AH92" s="6"/>
      <c r="AI92" s="6"/>
      <c r="AJ92" s="6"/>
      <c r="AK92" s="6"/>
      <c r="AL92" s="6">
        <f>SUM(Z92:AK92)</f>
        <v>0</v>
      </c>
      <c r="AM92" s="6">
        <f t="shared" ref="AM92:AM102" si="8">Y92-AL92</f>
        <v>0</v>
      </c>
      <c r="AN92" s="130">
        <v>0</v>
      </c>
      <c r="AO92" s="130">
        <f>Y92-AL92-AN92</f>
        <v>0</v>
      </c>
      <c r="AQ92" s="18" t="s">
        <v>61</v>
      </c>
      <c r="AR92" s="18"/>
      <c r="AS92" t="s">
        <v>62</v>
      </c>
    </row>
    <row r="93" spans="1:45" ht="18" customHeight="1" x14ac:dyDescent="0.55000000000000004">
      <c r="A93" s="162"/>
      <c r="B93" s="165"/>
      <c r="C93" s="6" t="s">
        <v>102</v>
      </c>
      <c r="D93" s="109">
        <v>250000</v>
      </c>
      <c r="E93" s="6"/>
      <c r="F93" s="6"/>
      <c r="G93" s="6"/>
      <c r="H93" s="6"/>
      <c r="I93" s="63"/>
      <c r="J93" s="6"/>
      <c r="K93" s="6"/>
      <c r="L93" s="6"/>
      <c r="M93" s="6"/>
      <c r="N93" s="6"/>
      <c r="O93" s="6"/>
      <c r="P93" s="40"/>
      <c r="Q93" s="40"/>
      <c r="R93" s="40"/>
      <c r="S93" s="40"/>
      <c r="T93" s="40"/>
      <c r="U93" s="56"/>
      <c r="V93" s="51"/>
      <c r="W93" s="86"/>
      <c r="X93" s="85"/>
      <c r="Y93" s="51"/>
      <c r="Z93" s="6"/>
      <c r="AA93" s="6"/>
      <c r="AB93" s="6"/>
      <c r="AC93" s="6"/>
      <c r="AD93" s="6"/>
      <c r="AE93" s="6"/>
      <c r="AF93" s="6"/>
      <c r="AG93" s="6"/>
      <c r="AH93" s="6"/>
      <c r="AI93" s="6"/>
      <c r="AJ93" s="6"/>
      <c r="AK93" s="6"/>
      <c r="AL93" s="6">
        <f t="shared" ref="AL93:AL96" si="9">SUM(Z93:AK93)</f>
        <v>0</v>
      </c>
      <c r="AM93" s="6">
        <f t="shared" si="8"/>
        <v>0</v>
      </c>
      <c r="AN93" s="130">
        <v>0</v>
      </c>
      <c r="AO93" s="130">
        <f t="shared" ref="AO93:AO94" si="10">Y93-AL93-AN93</f>
        <v>0</v>
      </c>
      <c r="AQ93" s="18"/>
      <c r="AR93" s="18"/>
    </row>
    <row r="94" spans="1:45" ht="18" customHeight="1" x14ac:dyDescent="0.55000000000000004">
      <c r="A94" s="162"/>
      <c r="B94" s="165"/>
      <c r="C94" s="6" t="s">
        <v>103</v>
      </c>
      <c r="D94" s="109">
        <v>500000</v>
      </c>
      <c r="E94" s="6"/>
      <c r="F94" s="6"/>
      <c r="G94" s="6"/>
      <c r="H94" s="6"/>
      <c r="I94" s="63"/>
      <c r="J94" s="6"/>
      <c r="K94" s="6"/>
      <c r="L94" s="6"/>
      <c r="M94" s="6"/>
      <c r="N94" s="6"/>
      <c r="O94" s="6"/>
      <c r="P94" s="40"/>
      <c r="Q94" s="40"/>
      <c r="R94" s="40"/>
      <c r="S94" s="40"/>
      <c r="T94" s="40"/>
      <c r="U94" s="56"/>
      <c r="V94" s="51"/>
      <c r="W94" s="86"/>
      <c r="X94" s="85"/>
      <c r="Y94" s="51"/>
      <c r="Z94" s="6"/>
      <c r="AA94" s="6"/>
      <c r="AB94" s="6"/>
      <c r="AC94" s="6"/>
      <c r="AD94" s="6"/>
      <c r="AE94" s="6"/>
      <c r="AF94" s="6"/>
      <c r="AG94" s="6"/>
      <c r="AH94" s="6"/>
      <c r="AI94" s="6"/>
      <c r="AJ94" s="6"/>
      <c r="AK94" s="6"/>
      <c r="AL94" s="6">
        <f t="shared" si="9"/>
        <v>0</v>
      </c>
      <c r="AM94" s="6">
        <f t="shared" si="8"/>
        <v>0</v>
      </c>
      <c r="AN94" s="130">
        <v>0</v>
      </c>
      <c r="AO94" s="130">
        <f t="shared" si="10"/>
        <v>0</v>
      </c>
      <c r="AQ94" s="18"/>
      <c r="AR94" s="18"/>
    </row>
    <row r="95" spans="1:45" ht="18" customHeight="1" x14ac:dyDescent="0.55000000000000004">
      <c r="A95" s="162"/>
      <c r="B95" s="165"/>
      <c r="C95" s="6" t="s">
        <v>104</v>
      </c>
      <c r="D95" s="109">
        <v>380000</v>
      </c>
      <c r="E95" s="6"/>
      <c r="F95" s="6"/>
      <c r="G95" s="6"/>
      <c r="H95" s="6"/>
      <c r="I95" s="63"/>
      <c r="J95" s="6"/>
      <c r="K95" s="6"/>
      <c r="L95" s="6"/>
      <c r="M95" s="6"/>
      <c r="N95" s="6"/>
      <c r="O95" s="6"/>
      <c r="P95" s="40"/>
      <c r="Q95" s="40"/>
      <c r="R95" s="40"/>
      <c r="S95" s="40"/>
      <c r="T95" s="40"/>
      <c r="U95" s="56"/>
      <c r="V95" s="51"/>
      <c r="W95" s="86"/>
      <c r="X95" s="85"/>
      <c r="Y95" s="51"/>
      <c r="Z95" s="6"/>
      <c r="AA95" s="6"/>
      <c r="AB95" s="6"/>
      <c r="AC95" s="6"/>
      <c r="AD95" s="6"/>
      <c r="AE95" s="6"/>
      <c r="AF95" s="6"/>
      <c r="AG95" s="6"/>
      <c r="AH95" s="6"/>
      <c r="AI95" s="6"/>
      <c r="AJ95" s="6"/>
      <c r="AK95" s="6"/>
      <c r="AL95" s="6">
        <f t="shared" si="9"/>
        <v>0</v>
      </c>
      <c r="AM95" s="6">
        <f t="shared" si="8"/>
        <v>0</v>
      </c>
      <c r="AN95" s="130">
        <v>0</v>
      </c>
      <c r="AO95" s="130">
        <f>Y95-AL95-AN95</f>
        <v>0</v>
      </c>
      <c r="AQ95" s="18"/>
      <c r="AR95" s="18"/>
    </row>
    <row r="96" spans="1:45" ht="18" customHeight="1" x14ac:dyDescent="0.55000000000000004">
      <c r="A96" s="162"/>
      <c r="B96" s="165"/>
      <c r="C96" s="6" t="s">
        <v>105</v>
      </c>
      <c r="D96" s="6">
        <v>0</v>
      </c>
      <c r="E96" s="6"/>
      <c r="F96" s="6"/>
      <c r="G96" s="6"/>
      <c r="H96" s="6"/>
      <c r="I96" s="63"/>
      <c r="J96" s="6"/>
      <c r="K96" s="6"/>
      <c r="L96" s="6"/>
      <c r="M96" s="6"/>
      <c r="N96" s="6"/>
      <c r="O96" s="6"/>
      <c r="P96" s="40"/>
      <c r="Q96" s="40"/>
      <c r="R96" s="40"/>
      <c r="S96" s="40"/>
      <c r="T96" s="40"/>
      <c r="U96" s="56"/>
      <c r="V96" s="51"/>
      <c r="W96" s="86"/>
      <c r="X96" s="85"/>
      <c r="Y96" s="99"/>
      <c r="Z96" s="6"/>
      <c r="AA96" s="6"/>
      <c r="AB96" s="6"/>
      <c r="AC96" s="6"/>
      <c r="AD96" s="6"/>
      <c r="AE96" s="6"/>
      <c r="AF96" s="6"/>
      <c r="AG96" s="6"/>
      <c r="AH96" s="6"/>
      <c r="AI96" s="6"/>
      <c r="AJ96" s="6"/>
      <c r="AK96" s="6"/>
      <c r="AL96" s="6">
        <f t="shared" si="9"/>
        <v>0</v>
      </c>
      <c r="AM96" s="68"/>
      <c r="AN96" s="121"/>
      <c r="AO96" s="121"/>
      <c r="AQ96" s="18"/>
      <c r="AR96" s="18"/>
    </row>
    <row r="97" spans="1:45" ht="18" customHeight="1" x14ac:dyDescent="0.55000000000000004">
      <c r="A97" s="162"/>
      <c r="B97" s="165"/>
      <c r="C97" s="37" t="s">
        <v>95</v>
      </c>
      <c r="D97" s="37"/>
      <c r="E97" s="37"/>
      <c r="F97" s="37"/>
      <c r="G97" s="37"/>
      <c r="H97" s="37"/>
      <c r="I97" s="87"/>
      <c r="J97" s="37">
        <v>1</v>
      </c>
      <c r="K97" s="37"/>
      <c r="L97" s="37"/>
      <c r="M97" s="37"/>
      <c r="N97" s="37"/>
      <c r="O97" s="37"/>
      <c r="P97" s="37">
        <v>1</v>
      </c>
      <c r="Q97" s="37"/>
      <c r="R97" s="37"/>
      <c r="S97" s="37"/>
      <c r="T97" s="37"/>
      <c r="U97" s="43"/>
      <c r="V97" s="43">
        <f t="shared" ref="V97:V104" si="11">SUM(J97:U97)</f>
        <v>2</v>
      </c>
      <c r="W97" s="43"/>
      <c r="X97" s="87">
        <f>SUM(X92:X96)</f>
        <v>0</v>
      </c>
      <c r="Y97" s="114">
        <f>SUM(Y92:Y95)</f>
        <v>0</v>
      </c>
      <c r="Z97" s="116"/>
      <c r="AA97" s="116"/>
      <c r="AB97" s="116"/>
      <c r="AC97" s="116"/>
      <c r="AD97" s="116"/>
      <c r="AE97" s="116"/>
      <c r="AF97" s="116"/>
      <c r="AG97" s="116"/>
      <c r="AH97" s="116"/>
      <c r="AI97" s="116"/>
      <c r="AJ97" s="116"/>
      <c r="AK97" s="116"/>
      <c r="AL97" s="116">
        <f t="shared" ref="AL97:AL103" si="12">SUM(Z97:AK97)</f>
        <v>0</v>
      </c>
      <c r="AM97" s="37">
        <f>Y97-AL97</f>
        <v>0</v>
      </c>
      <c r="AN97" s="119">
        <f>SUM(AN92:AN96)</f>
        <v>0</v>
      </c>
      <c r="AO97" s="119">
        <f>SUM(AO92:AO96)</f>
        <v>0</v>
      </c>
      <c r="AQ97" s="88"/>
      <c r="AR97" s="88"/>
    </row>
    <row r="98" spans="1:45" ht="18" customHeight="1" x14ac:dyDescent="0.55000000000000004">
      <c r="A98" s="162"/>
      <c r="B98" s="166"/>
      <c r="C98" s="37" t="s">
        <v>96</v>
      </c>
      <c r="D98" s="37"/>
      <c r="E98" s="37"/>
      <c r="F98" s="37"/>
      <c r="G98" s="37"/>
      <c r="H98" s="37"/>
      <c r="I98" s="87"/>
      <c r="J98" s="37"/>
      <c r="K98" s="37"/>
      <c r="L98" s="37"/>
      <c r="M98" s="37"/>
      <c r="N98" s="37"/>
      <c r="O98" s="37"/>
      <c r="P98" s="37"/>
      <c r="Q98" s="37"/>
      <c r="R98" s="37"/>
      <c r="S98" s="37"/>
      <c r="T98" s="37"/>
      <c r="U98" s="43"/>
      <c r="V98" s="43"/>
      <c r="W98" s="43"/>
      <c r="X98" s="113"/>
      <c r="Y98" s="115">
        <f>SUMPRODUCT(D92:D96,Y92:Y96)</f>
        <v>0</v>
      </c>
      <c r="Z98" s="112">
        <f>SUMPRODUCT(D92:D96,Z92:Z96)</f>
        <v>0</v>
      </c>
      <c r="AA98" s="112">
        <f>SUMPRODUCT(D92:D96,AA92:AA96)</f>
        <v>0</v>
      </c>
      <c r="AB98" s="112">
        <f>SUMPRODUCT(D92:D96,AB92:AB96)</f>
        <v>0</v>
      </c>
      <c r="AC98" s="112">
        <f>SUMPRODUCT(D92:D96,AC92:AC96)</f>
        <v>0</v>
      </c>
      <c r="AD98" s="112">
        <f>SUMPRODUCT(D92:D96,AD92:AD96)</f>
        <v>0</v>
      </c>
      <c r="AE98" s="112">
        <f>SUMPRODUCT(D92:D96,AE92:AE96)</f>
        <v>0</v>
      </c>
      <c r="AF98" s="112">
        <f>SUMPRODUCT(D92:D96,AF92:AF96)</f>
        <v>0</v>
      </c>
      <c r="AG98" s="112">
        <f>SUMPRODUCT(D92:D96,AG92:AG96)</f>
        <v>0</v>
      </c>
      <c r="AH98" s="112">
        <f>SUMPRODUCT(D92:D96,AH92:AH96)</f>
        <v>0</v>
      </c>
      <c r="AI98" s="112">
        <f>SUMPRODUCT(D92:D96,AI92:AI96)</f>
        <v>0</v>
      </c>
      <c r="AJ98" s="112">
        <f>SUMPRODUCT(D92:D96,AJ92:AJ96)</f>
        <v>0</v>
      </c>
      <c r="AK98" s="112">
        <f>SUMPRODUCT(D92:D96,AK92:AK96)</f>
        <v>0</v>
      </c>
      <c r="AL98" s="112">
        <f>SUMPRODUCT(D92:D96,AL92:AL96)</f>
        <v>0</v>
      </c>
      <c r="AM98" s="112">
        <f>SUMPRODUCT(D92:D96,AM92:AM96)</f>
        <v>0</v>
      </c>
      <c r="AN98" s="112">
        <f>SUMPRODUCT(D92:D96,AN92:AN96)</f>
        <v>0</v>
      </c>
      <c r="AO98" s="112">
        <f>SUMPRODUCT(D92:D96,AO92:AO96)</f>
        <v>0</v>
      </c>
      <c r="AQ98" s="88"/>
      <c r="AR98" s="88"/>
    </row>
    <row r="99" spans="1:45" ht="18.75" customHeight="1" x14ac:dyDescent="0.55000000000000004">
      <c r="A99" s="162"/>
      <c r="B99" s="164" t="s">
        <v>20</v>
      </c>
      <c r="C99" s="6" t="s">
        <v>101</v>
      </c>
      <c r="D99" s="109">
        <v>500000</v>
      </c>
      <c r="E99" s="6"/>
      <c r="F99" s="6"/>
      <c r="G99" s="6"/>
      <c r="H99" s="6"/>
      <c r="I99" s="63">
        <v>3</v>
      </c>
      <c r="J99" s="6"/>
      <c r="K99" s="6"/>
      <c r="L99" s="6"/>
      <c r="M99" s="6">
        <v>1</v>
      </c>
      <c r="N99" s="6"/>
      <c r="O99" s="6"/>
      <c r="P99" s="40"/>
      <c r="Q99" s="40"/>
      <c r="R99" s="40"/>
      <c r="S99" s="40"/>
      <c r="T99" s="40"/>
      <c r="U99" s="56"/>
      <c r="V99" s="51">
        <f t="shared" si="11"/>
        <v>1</v>
      </c>
      <c r="W99" s="86">
        <f t="shared" ref="W99" si="13">I99-V99</f>
        <v>2</v>
      </c>
      <c r="X99" s="85"/>
      <c r="Z99" s="13"/>
      <c r="AA99" s="13"/>
      <c r="AB99" s="13"/>
      <c r="AC99" s="13"/>
      <c r="AD99" s="13"/>
      <c r="AE99" s="13"/>
      <c r="AF99" s="13"/>
      <c r="AG99" s="13"/>
      <c r="AH99" s="13"/>
      <c r="AI99" s="13"/>
      <c r="AJ99" s="13"/>
      <c r="AK99" s="13"/>
      <c r="AL99" s="13">
        <f t="shared" si="12"/>
        <v>0</v>
      </c>
      <c r="AM99" s="6">
        <f t="shared" si="8"/>
        <v>0</v>
      </c>
      <c r="AN99" s="130">
        <v>0</v>
      </c>
      <c r="AO99" s="130">
        <f>Y99-AL99-AN99</f>
        <v>0</v>
      </c>
      <c r="AQ99" s="18" t="s">
        <v>61</v>
      </c>
      <c r="AR99" s="18" t="s">
        <v>63</v>
      </c>
      <c r="AS99" t="s">
        <v>64</v>
      </c>
    </row>
    <row r="100" spans="1:45" ht="18.75" customHeight="1" x14ac:dyDescent="0.55000000000000004">
      <c r="A100" s="162"/>
      <c r="B100" s="165"/>
      <c r="C100" s="6" t="s">
        <v>102</v>
      </c>
      <c r="D100" s="109">
        <v>250000</v>
      </c>
      <c r="E100" s="6"/>
      <c r="F100" s="6"/>
      <c r="G100" s="6"/>
      <c r="H100" s="6"/>
      <c r="I100" s="63"/>
      <c r="J100" s="6"/>
      <c r="K100" s="6"/>
      <c r="L100" s="6"/>
      <c r="M100" s="6"/>
      <c r="N100" s="6"/>
      <c r="O100" s="6"/>
      <c r="P100" s="40"/>
      <c r="Q100" s="40"/>
      <c r="R100" s="40"/>
      <c r="S100" s="40"/>
      <c r="T100" s="40"/>
      <c r="U100" s="56"/>
      <c r="V100" s="51"/>
      <c r="W100" s="86"/>
      <c r="X100" s="85"/>
      <c r="Y100" s="51">
        <v>3</v>
      </c>
      <c r="Z100" s="6"/>
      <c r="AA100" s="6"/>
      <c r="AB100" s="6"/>
      <c r="AC100" s="6"/>
      <c r="AD100" s="6"/>
      <c r="AE100" s="6"/>
      <c r="AF100" s="6"/>
      <c r="AG100" s="6"/>
      <c r="AH100" s="6"/>
      <c r="AI100" s="6"/>
      <c r="AJ100" s="6"/>
      <c r="AK100" s="6"/>
      <c r="AL100" s="6">
        <f t="shared" si="12"/>
        <v>0</v>
      </c>
      <c r="AM100" s="6">
        <f t="shared" si="8"/>
        <v>3</v>
      </c>
      <c r="AN100" s="130">
        <v>3</v>
      </c>
      <c r="AO100" s="130">
        <f t="shared" ref="AO100:AO101" si="14">Y100-AL100-AN100</f>
        <v>0</v>
      </c>
      <c r="AQ100" s="18"/>
      <c r="AR100" s="18"/>
    </row>
    <row r="101" spans="1:45" ht="18.75" customHeight="1" x14ac:dyDescent="0.55000000000000004">
      <c r="A101" s="162"/>
      <c r="B101" s="165"/>
      <c r="C101" s="6" t="s">
        <v>103</v>
      </c>
      <c r="D101" s="109">
        <v>500000</v>
      </c>
      <c r="E101" s="6"/>
      <c r="F101" s="6"/>
      <c r="G101" s="6"/>
      <c r="H101" s="6"/>
      <c r="I101" s="63"/>
      <c r="J101" s="6"/>
      <c r="K101" s="6"/>
      <c r="L101" s="6"/>
      <c r="M101" s="6"/>
      <c r="N101" s="6"/>
      <c r="O101" s="6"/>
      <c r="P101" s="40"/>
      <c r="Q101" s="40"/>
      <c r="R101" s="40"/>
      <c r="S101" s="40"/>
      <c r="T101" s="40"/>
      <c r="U101" s="56"/>
      <c r="V101" s="51"/>
      <c r="W101" s="86"/>
      <c r="X101" s="85"/>
      <c r="Y101" s="51"/>
      <c r="Z101" s="6"/>
      <c r="AA101" s="6"/>
      <c r="AB101" s="6"/>
      <c r="AC101" s="6"/>
      <c r="AD101" s="6"/>
      <c r="AE101" s="6"/>
      <c r="AF101" s="6"/>
      <c r="AG101" s="6"/>
      <c r="AH101" s="6"/>
      <c r="AI101" s="6"/>
      <c r="AJ101" s="6"/>
      <c r="AK101" s="6"/>
      <c r="AL101" s="6">
        <f t="shared" si="12"/>
        <v>0</v>
      </c>
      <c r="AM101" s="6">
        <f t="shared" si="8"/>
        <v>0</v>
      </c>
      <c r="AN101" s="130">
        <v>0</v>
      </c>
      <c r="AO101" s="130">
        <f t="shared" si="14"/>
        <v>0</v>
      </c>
      <c r="AQ101" s="18"/>
      <c r="AR101" s="18"/>
    </row>
    <row r="102" spans="1:45" ht="18.75" customHeight="1" x14ac:dyDescent="0.55000000000000004">
      <c r="A102" s="162"/>
      <c r="B102" s="165"/>
      <c r="C102" s="6" t="s">
        <v>104</v>
      </c>
      <c r="D102" s="109">
        <v>380000</v>
      </c>
      <c r="E102" s="6"/>
      <c r="F102" s="6"/>
      <c r="G102" s="6"/>
      <c r="H102" s="6"/>
      <c r="I102" s="63"/>
      <c r="J102" s="6"/>
      <c r="K102" s="6"/>
      <c r="L102" s="6"/>
      <c r="M102" s="6"/>
      <c r="N102" s="6"/>
      <c r="O102" s="6"/>
      <c r="P102" s="40"/>
      <c r="Q102" s="40"/>
      <c r="R102" s="40"/>
      <c r="S102" s="40"/>
      <c r="T102" s="40"/>
      <c r="U102" s="56"/>
      <c r="V102" s="51"/>
      <c r="W102" s="86"/>
      <c r="X102" s="85"/>
      <c r="Y102" s="51"/>
      <c r="Z102" s="6"/>
      <c r="AA102" s="6"/>
      <c r="AB102" s="6"/>
      <c r="AC102" s="6"/>
      <c r="AD102" s="6"/>
      <c r="AE102" s="6"/>
      <c r="AF102" s="6"/>
      <c r="AG102" s="6"/>
      <c r="AH102" s="6"/>
      <c r="AI102" s="6"/>
      <c r="AJ102" s="6"/>
      <c r="AK102" s="6"/>
      <c r="AL102" s="6">
        <f t="shared" si="12"/>
        <v>0</v>
      </c>
      <c r="AM102" s="6">
        <f t="shared" si="8"/>
        <v>0</v>
      </c>
      <c r="AN102" s="130">
        <v>0</v>
      </c>
      <c r="AO102" s="130">
        <f>Y102-AL102-AN102</f>
        <v>0</v>
      </c>
      <c r="AQ102" s="18"/>
      <c r="AR102" s="18"/>
    </row>
    <row r="103" spans="1:45" ht="18.75" customHeight="1" x14ac:dyDescent="0.55000000000000004">
      <c r="A103" s="162"/>
      <c r="B103" s="165"/>
      <c r="C103" s="6" t="s">
        <v>105</v>
      </c>
      <c r="D103" s="6">
        <v>0</v>
      </c>
      <c r="E103" s="6"/>
      <c r="F103" s="6"/>
      <c r="G103" s="6"/>
      <c r="H103" s="6"/>
      <c r="I103" s="63"/>
      <c r="J103" s="6"/>
      <c r="K103" s="6"/>
      <c r="L103" s="6"/>
      <c r="M103" s="6"/>
      <c r="N103" s="6"/>
      <c r="O103" s="6"/>
      <c r="P103" s="40"/>
      <c r="Q103" s="40"/>
      <c r="R103" s="40"/>
      <c r="S103" s="40"/>
      <c r="T103" s="40"/>
      <c r="U103" s="56"/>
      <c r="V103" s="51"/>
      <c r="W103" s="86"/>
      <c r="X103" s="85"/>
      <c r="Y103" s="99"/>
      <c r="Z103" s="6"/>
      <c r="AA103" s="6"/>
      <c r="AB103" s="6"/>
      <c r="AC103" s="6"/>
      <c r="AD103" s="6"/>
      <c r="AE103" s="6"/>
      <c r="AF103" s="6"/>
      <c r="AG103" s="6"/>
      <c r="AH103" s="6"/>
      <c r="AI103" s="6"/>
      <c r="AJ103" s="6"/>
      <c r="AK103" s="6"/>
      <c r="AL103" s="6">
        <f t="shared" si="12"/>
        <v>0</v>
      </c>
      <c r="AM103" s="68"/>
      <c r="AN103" s="121"/>
      <c r="AO103" s="121"/>
      <c r="AQ103" s="18"/>
      <c r="AR103" s="18"/>
    </row>
    <row r="104" spans="1:45" ht="18.75" customHeight="1" x14ac:dyDescent="0.55000000000000004">
      <c r="A104" s="162"/>
      <c r="B104" s="165"/>
      <c r="C104" s="37" t="s">
        <v>95</v>
      </c>
      <c r="D104" s="37"/>
      <c r="E104" s="37"/>
      <c r="F104" s="37"/>
      <c r="G104" s="37"/>
      <c r="H104" s="37"/>
      <c r="I104" s="87"/>
      <c r="J104" s="37"/>
      <c r="K104" s="37"/>
      <c r="L104" s="37"/>
      <c r="M104" s="37">
        <v>1</v>
      </c>
      <c r="N104" s="37"/>
      <c r="O104" s="37"/>
      <c r="P104" s="37"/>
      <c r="Q104" s="37"/>
      <c r="R104" s="37"/>
      <c r="S104" s="37"/>
      <c r="T104" s="37"/>
      <c r="U104" s="43"/>
      <c r="V104" s="43">
        <f t="shared" si="11"/>
        <v>1</v>
      </c>
      <c r="W104" s="43"/>
      <c r="X104" s="87">
        <f>SUM(X99:X103)</f>
        <v>0</v>
      </c>
      <c r="Y104" s="87">
        <f>SUM(Y99:Y102)</f>
        <v>3</v>
      </c>
      <c r="Z104" s="37"/>
      <c r="AA104" s="37"/>
      <c r="AB104" s="37"/>
      <c r="AC104" s="37"/>
      <c r="AD104" s="37"/>
      <c r="AE104" s="37"/>
      <c r="AF104" s="37"/>
      <c r="AG104" s="37"/>
      <c r="AH104" s="37"/>
      <c r="AI104" s="37"/>
      <c r="AJ104" s="37"/>
      <c r="AK104" s="37"/>
      <c r="AL104" s="37">
        <f>SUM(Z104:AK104)</f>
        <v>0</v>
      </c>
      <c r="AM104" s="37">
        <f>Y104-AL104</f>
        <v>3</v>
      </c>
      <c r="AN104" s="119">
        <f>SUM(AN99:AN103)</f>
        <v>3</v>
      </c>
      <c r="AO104" s="119">
        <f>SUM(AO99:AO103)</f>
        <v>0</v>
      </c>
      <c r="AQ104" s="88"/>
      <c r="AR104" s="88"/>
    </row>
    <row r="105" spans="1:45" ht="18.75" customHeight="1" x14ac:dyDescent="0.55000000000000004">
      <c r="A105" s="162"/>
      <c r="B105" s="166"/>
      <c r="C105" s="37" t="s">
        <v>96</v>
      </c>
      <c r="D105" s="37"/>
      <c r="E105" s="37"/>
      <c r="F105" s="37"/>
      <c r="G105" s="37"/>
      <c r="H105" s="37"/>
      <c r="I105" s="87"/>
      <c r="J105" s="37"/>
      <c r="K105" s="37"/>
      <c r="L105" s="37"/>
      <c r="M105" s="37"/>
      <c r="N105" s="37"/>
      <c r="O105" s="37"/>
      <c r="P105" s="37"/>
      <c r="Q105" s="37"/>
      <c r="R105" s="37"/>
      <c r="S105" s="37"/>
      <c r="T105" s="37"/>
      <c r="U105" s="43"/>
      <c r="V105" s="43"/>
      <c r="W105" s="43"/>
      <c r="X105" s="87"/>
      <c r="Y105" s="87">
        <f>SUMPRODUCT(D99:D103,Y99:Y103)</f>
        <v>750000</v>
      </c>
      <c r="Z105" s="87">
        <f>SUMPRODUCT(D99:D103,Z99:Z103)</f>
        <v>0</v>
      </c>
      <c r="AA105" s="87">
        <f>SUMPRODUCT(D99:D103,AA99:AA103)</f>
        <v>0</v>
      </c>
      <c r="AB105" s="87">
        <f>SUMPRODUCT(D99:D103,AB99:AB103)</f>
        <v>0</v>
      </c>
      <c r="AC105" s="87">
        <f>SUMPRODUCT(D99:D103,AC99:AC103)</f>
        <v>0</v>
      </c>
      <c r="AD105" s="87">
        <f t="shared" ref="AD105" si="15">SUMPRODUCT(I99:I103,AD99:AD103)</f>
        <v>0</v>
      </c>
      <c r="AE105" s="87">
        <f>SUMPRODUCT(D99:D103,AE99:AE103)</f>
        <v>0</v>
      </c>
      <c r="AF105" s="87">
        <f>SUMPRODUCT(D99:D103,AF99:AF103)</f>
        <v>0</v>
      </c>
      <c r="AG105" s="87">
        <f>SUMPRODUCT(D99:D103,AG99:AG103)</f>
        <v>0</v>
      </c>
      <c r="AH105" s="87">
        <f>SUMPRODUCT(D99:D103,AH99:AH103)</f>
        <v>0</v>
      </c>
      <c r="AI105" s="87">
        <f>SUMPRODUCT(D99:D103,AI99:AI103)</f>
        <v>0</v>
      </c>
      <c r="AJ105" s="87">
        <f>SUMPRODUCT(D99:D103,AJ99:AJ103)</f>
        <v>0</v>
      </c>
      <c r="AK105" s="87">
        <f>SUMPRODUCT(D99:D103,AK99:AK103)</f>
        <v>0</v>
      </c>
      <c r="AL105" s="87">
        <f>SUMPRODUCT(D99:D103,AL99:AL103)</f>
        <v>0</v>
      </c>
      <c r="AM105" s="87">
        <f>SUMPRODUCT(D99:D103,AM99:AM103)</f>
        <v>750000</v>
      </c>
      <c r="AN105" s="87">
        <f>SUMPRODUCT(D99:D103,AN99:AN103)</f>
        <v>750000</v>
      </c>
      <c r="AO105" s="87">
        <f>SUMPRODUCT(D99:D103,AO99:AO103)</f>
        <v>0</v>
      </c>
      <c r="AQ105" s="88"/>
      <c r="AR105" s="88"/>
    </row>
    <row r="106" spans="1:45" ht="18.75" customHeight="1" x14ac:dyDescent="0.55000000000000004">
      <c r="A106" s="162"/>
      <c r="B106" s="164" t="s">
        <v>21</v>
      </c>
      <c r="C106" s="6" t="s">
        <v>101</v>
      </c>
      <c r="D106" s="109">
        <v>500000</v>
      </c>
      <c r="E106" s="6"/>
      <c r="F106" s="6"/>
      <c r="G106" s="6"/>
      <c r="H106" s="6"/>
      <c r="I106" s="63">
        <v>2</v>
      </c>
      <c r="J106" s="6"/>
      <c r="K106" s="6"/>
      <c r="L106" s="6"/>
      <c r="M106" s="6"/>
      <c r="N106" s="6"/>
      <c r="O106" s="6">
        <v>1</v>
      </c>
      <c r="P106" s="40"/>
      <c r="Q106" s="40"/>
      <c r="R106" s="40"/>
      <c r="S106" s="40"/>
      <c r="T106" s="40"/>
      <c r="U106" s="56"/>
      <c r="V106" s="51">
        <f>SUM(J106:U106)</f>
        <v>1</v>
      </c>
      <c r="W106" s="86">
        <f>I106-V106</f>
        <v>1</v>
      </c>
      <c r="X106" s="85"/>
      <c r="Y106" s="51">
        <v>1</v>
      </c>
      <c r="Z106" s="6"/>
      <c r="AA106" s="6"/>
      <c r="AB106" s="6"/>
      <c r="AC106" s="6"/>
      <c r="AD106" s="6"/>
      <c r="AE106" s="6"/>
      <c r="AF106" s="6"/>
      <c r="AG106" s="6"/>
      <c r="AH106" s="6"/>
      <c r="AI106" s="6"/>
      <c r="AJ106" s="6"/>
      <c r="AK106" s="6"/>
      <c r="AL106" s="6">
        <f t="shared" ref="AL106:AL111" si="16">SUM(Z106:AK106)</f>
        <v>0</v>
      </c>
      <c r="AM106" s="6">
        <f>Y106-AL106</f>
        <v>1</v>
      </c>
      <c r="AN106" s="130">
        <v>1</v>
      </c>
      <c r="AO106" s="130">
        <f>Y106-AL106-AN106</f>
        <v>0</v>
      </c>
      <c r="AQ106" s="18" t="s">
        <v>106</v>
      </c>
      <c r="AR106" s="18" t="s">
        <v>66</v>
      </c>
      <c r="AS106" t="s">
        <v>107</v>
      </c>
    </row>
    <row r="107" spans="1:45" ht="18.75" customHeight="1" x14ac:dyDescent="0.55000000000000004">
      <c r="A107" s="162"/>
      <c r="B107" s="165"/>
      <c r="C107" s="6" t="s">
        <v>102</v>
      </c>
      <c r="D107" s="109">
        <v>250000</v>
      </c>
      <c r="E107" s="6"/>
      <c r="F107" s="6"/>
      <c r="G107" s="6"/>
      <c r="H107" s="6"/>
      <c r="I107" s="63"/>
      <c r="J107" s="6"/>
      <c r="K107" s="6"/>
      <c r="L107" s="6"/>
      <c r="M107" s="6"/>
      <c r="N107" s="6"/>
      <c r="O107" s="6"/>
      <c r="P107" s="40"/>
      <c r="Q107" s="40"/>
      <c r="R107" s="40"/>
      <c r="S107" s="40"/>
      <c r="T107" s="40"/>
      <c r="U107" s="56"/>
      <c r="V107" s="51"/>
      <c r="W107" s="86"/>
      <c r="X107" s="85"/>
      <c r="Y107" s="51"/>
      <c r="Z107" s="6"/>
      <c r="AA107" s="6"/>
      <c r="AB107" s="6"/>
      <c r="AC107" s="6"/>
      <c r="AD107" s="6"/>
      <c r="AE107" s="6"/>
      <c r="AF107" s="6"/>
      <c r="AG107" s="6"/>
      <c r="AH107" s="6"/>
      <c r="AI107" s="6"/>
      <c r="AJ107" s="6"/>
      <c r="AK107" s="6"/>
      <c r="AL107" s="6">
        <f t="shared" si="16"/>
        <v>0</v>
      </c>
      <c r="AM107" s="6">
        <f>Y107-AL107</f>
        <v>0</v>
      </c>
      <c r="AN107" s="130">
        <v>0</v>
      </c>
      <c r="AO107" s="130">
        <f t="shared" ref="AO107:AO109" si="17">Y107-AL107-AN107</f>
        <v>0</v>
      </c>
      <c r="AQ107" s="18"/>
      <c r="AR107" s="18"/>
    </row>
    <row r="108" spans="1:45" ht="18.75" customHeight="1" x14ac:dyDescent="0.55000000000000004">
      <c r="A108" s="162"/>
      <c r="B108" s="165"/>
      <c r="C108" s="6" t="s">
        <v>103</v>
      </c>
      <c r="D108" s="109">
        <v>500000</v>
      </c>
      <c r="E108" s="6"/>
      <c r="F108" s="6"/>
      <c r="G108" s="6"/>
      <c r="H108" s="6"/>
      <c r="I108" s="63"/>
      <c r="J108" s="6"/>
      <c r="K108" s="6"/>
      <c r="L108" s="6"/>
      <c r="M108" s="6"/>
      <c r="N108" s="6"/>
      <c r="O108" s="6"/>
      <c r="P108" s="40"/>
      <c r="Q108" s="40"/>
      <c r="R108" s="40"/>
      <c r="S108" s="40"/>
      <c r="T108" s="40"/>
      <c r="U108" s="56"/>
      <c r="V108" s="51"/>
      <c r="W108" s="86"/>
      <c r="X108" s="85"/>
      <c r="Y108" s="51"/>
      <c r="Z108" s="6"/>
      <c r="AA108" s="6"/>
      <c r="AB108" s="6"/>
      <c r="AC108" s="6"/>
      <c r="AD108" s="6"/>
      <c r="AE108" s="6"/>
      <c r="AF108" s="6"/>
      <c r="AG108" s="6"/>
      <c r="AH108" s="6"/>
      <c r="AI108" s="6"/>
      <c r="AJ108" s="6"/>
      <c r="AK108" s="6"/>
      <c r="AL108" s="6">
        <f t="shared" si="16"/>
        <v>0</v>
      </c>
      <c r="AM108" s="6">
        <f>Y108-AL108</f>
        <v>0</v>
      </c>
      <c r="AN108" s="130">
        <v>0</v>
      </c>
      <c r="AO108" s="130">
        <f t="shared" si="17"/>
        <v>0</v>
      </c>
      <c r="AQ108" s="18"/>
      <c r="AR108" s="18"/>
    </row>
    <row r="109" spans="1:45" ht="18.75" customHeight="1" x14ac:dyDescent="0.55000000000000004">
      <c r="A109" s="162"/>
      <c r="B109" s="165"/>
      <c r="C109" s="6" t="s">
        <v>104</v>
      </c>
      <c r="D109" s="109">
        <v>380000</v>
      </c>
      <c r="E109" s="6"/>
      <c r="F109" s="6"/>
      <c r="G109" s="6"/>
      <c r="H109" s="6"/>
      <c r="I109" s="63"/>
      <c r="J109" s="6"/>
      <c r="K109" s="6"/>
      <c r="L109" s="6"/>
      <c r="M109" s="6"/>
      <c r="N109" s="6"/>
      <c r="O109" s="6"/>
      <c r="P109" s="40"/>
      <c r="Q109" s="40"/>
      <c r="R109" s="40"/>
      <c r="S109" s="40"/>
      <c r="T109" s="40"/>
      <c r="U109" s="56"/>
      <c r="V109" s="51"/>
      <c r="W109" s="86"/>
      <c r="X109" s="85"/>
      <c r="Y109" s="51"/>
      <c r="Z109" s="6"/>
      <c r="AA109" s="6"/>
      <c r="AB109" s="6"/>
      <c r="AC109" s="6"/>
      <c r="AD109" s="6"/>
      <c r="AE109" s="6"/>
      <c r="AF109" s="6"/>
      <c r="AG109" s="6"/>
      <c r="AH109" s="6"/>
      <c r="AI109" s="6"/>
      <c r="AJ109" s="6"/>
      <c r="AK109" s="6"/>
      <c r="AL109" s="6">
        <f t="shared" si="16"/>
        <v>0</v>
      </c>
      <c r="AM109" s="6">
        <f>Y109-AL109</f>
        <v>0</v>
      </c>
      <c r="AN109" s="130">
        <v>0</v>
      </c>
      <c r="AO109" s="130">
        <f t="shared" si="17"/>
        <v>0</v>
      </c>
      <c r="AQ109" s="18"/>
      <c r="AR109" s="18"/>
    </row>
    <row r="110" spans="1:45" ht="18.75" customHeight="1" x14ac:dyDescent="0.55000000000000004">
      <c r="A110" s="162"/>
      <c r="B110" s="165"/>
      <c r="C110" s="6" t="s">
        <v>105</v>
      </c>
      <c r="D110" s="6">
        <v>0</v>
      </c>
      <c r="E110" s="6"/>
      <c r="F110" s="6"/>
      <c r="G110" s="6"/>
      <c r="H110" s="6"/>
      <c r="I110" s="63"/>
      <c r="J110" s="6"/>
      <c r="K110" s="6"/>
      <c r="L110" s="6"/>
      <c r="M110" s="6"/>
      <c r="N110" s="6"/>
      <c r="O110" s="6"/>
      <c r="P110" s="40"/>
      <c r="Q110" s="40"/>
      <c r="R110" s="40"/>
      <c r="S110" s="40"/>
      <c r="T110" s="40"/>
      <c r="U110" s="56"/>
      <c r="V110" s="51"/>
      <c r="W110" s="86"/>
      <c r="X110" s="85"/>
      <c r="Y110" s="99"/>
      <c r="Z110" s="6"/>
      <c r="AA110" s="6"/>
      <c r="AB110" s="6"/>
      <c r="AC110" s="6"/>
      <c r="AD110" s="6">
        <v>1</v>
      </c>
      <c r="AE110" s="6"/>
      <c r="AF110" s="6"/>
      <c r="AG110" s="6"/>
      <c r="AH110" s="6"/>
      <c r="AI110" s="6"/>
      <c r="AJ110" s="6"/>
      <c r="AK110" s="6"/>
      <c r="AL110" s="6">
        <f t="shared" si="16"/>
        <v>1</v>
      </c>
      <c r="AM110" s="68"/>
      <c r="AN110" s="121"/>
      <c r="AO110" s="121"/>
      <c r="AQ110" s="18"/>
      <c r="AR110" s="18"/>
    </row>
    <row r="111" spans="1:45" ht="18.75" customHeight="1" x14ac:dyDescent="0.55000000000000004">
      <c r="A111" s="162"/>
      <c r="B111" s="165"/>
      <c r="C111" s="37" t="s">
        <v>95</v>
      </c>
      <c r="D111" s="37"/>
      <c r="E111" s="37"/>
      <c r="F111" s="37"/>
      <c r="G111" s="37"/>
      <c r="H111" s="37"/>
      <c r="I111" s="87"/>
      <c r="J111" s="37"/>
      <c r="K111" s="37"/>
      <c r="L111" s="37"/>
      <c r="M111" s="37"/>
      <c r="N111" s="37"/>
      <c r="O111" s="37">
        <v>1</v>
      </c>
      <c r="P111" s="37"/>
      <c r="Q111" s="37"/>
      <c r="R111" s="37"/>
      <c r="S111" s="37"/>
      <c r="T111" s="37"/>
      <c r="U111" s="43"/>
      <c r="V111" s="43">
        <f>SUM(J111:U111)</f>
        <v>1</v>
      </c>
      <c r="W111" s="43"/>
      <c r="X111" s="87">
        <f>SUM(X106:X110)</f>
        <v>0</v>
      </c>
      <c r="Y111" s="87">
        <f>SUM(Y106:Y109)</f>
        <v>1</v>
      </c>
      <c r="Z111" s="37"/>
      <c r="AA111" s="37"/>
      <c r="AB111" s="37"/>
      <c r="AC111" s="37"/>
      <c r="AD111" s="87">
        <f>SUM(AD106:AD110)</f>
        <v>1</v>
      </c>
      <c r="AE111" s="37"/>
      <c r="AF111" s="37"/>
      <c r="AG111" s="37"/>
      <c r="AH111" s="37"/>
      <c r="AI111" s="37"/>
      <c r="AJ111" s="37"/>
      <c r="AK111" s="37"/>
      <c r="AL111" s="37">
        <f t="shared" si="16"/>
        <v>1</v>
      </c>
      <c r="AM111" s="37">
        <f>Y111-AL111</f>
        <v>0</v>
      </c>
      <c r="AN111" s="119">
        <f>SUM(AN106:AN110)</f>
        <v>1</v>
      </c>
      <c r="AO111" s="119">
        <f>SUM(AO106:AO110)</f>
        <v>0</v>
      </c>
      <c r="AQ111" s="88"/>
      <c r="AR111" s="88"/>
    </row>
    <row r="112" spans="1:45" ht="18.75" customHeight="1" x14ac:dyDescent="0.55000000000000004">
      <c r="A112" s="162"/>
      <c r="B112" s="166"/>
      <c r="C112" s="37" t="s">
        <v>108</v>
      </c>
      <c r="D112" s="37"/>
      <c r="E112" s="37"/>
      <c r="F112" s="37"/>
      <c r="G112" s="37"/>
      <c r="H112" s="37"/>
      <c r="I112" s="87"/>
      <c r="J112" s="37"/>
      <c r="K112" s="37"/>
      <c r="L112" s="37"/>
      <c r="M112" s="37"/>
      <c r="N112" s="37"/>
      <c r="O112" s="37"/>
      <c r="P112" s="37"/>
      <c r="Q112" s="37"/>
      <c r="R112" s="37"/>
      <c r="S112" s="37"/>
      <c r="T112" s="37"/>
      <c r="U112" s="43"/>
      <c r="V112" s="43"/>
      <c r="W112" s="43"/>
      <c r="X112" s="87"/>
      <c r="Y112" s="137">
        <f>SUMPRODUCT(D106:D110,Y106:Y110)</f>
        <v>500000</v>
      </c>
      <c r="Z112" s="87">
        <f>SUMPRODUCT(D106:D110,Z106:Z110)</f>
        <v>0</v>
      </c>
      <c r="AA112" s="87">
        <f>SUMPRODUCT(D106:D110,AA106:AA110)</f>
        <v>0</v>
      </c>
      <c r="AB112" s="87">
        <f>SUMPRODUCT(D106:D110,AB106:AB110)</f>
        <v>0</v>
      </c>
      <c r="AC112" s="87">
        <f>SUMPRODUCT(D106:D110,AC106:AC110)</f>
        <v>0</v>
      </c>
      <c r="AD112" s="87">
        <f>SUMPRODUCT(D106:D110,AD106:AD110)</f>
        <v>0</v>
      </c>
      <c r="AE112" s="87">
        <f>SUMPRODUCT(D106:D110,AE106:AE110)</f>
        <v>0</v>
      </c>
      <c r="AF112" s="87">
        <f>SUMPRODUCT(D106:D110,AF106:AF110)</f>
        <v>0</v>
      </c>
      <c r="AG112" s="87">
        <f>SUMPRODUCT(D106:D110,AG106:AG110)</f>
        <v>0</v>
      </c>
      <c r="AH112" s="87">
        <f>SUMPRODUCT(D106:D110,AH106:AH110)</f>
        <v>0</v>
      </c>
      <c r="AI112" s="87">
        <f>SUMPRODUCT(D106:D110,AI106:AI110)</f>
        <v>0</v>
      </c>
      <c r="AJ112" s="87">
        <f>SUMPRODUCT(D106:D110,AJ106:AJ110)</f>
        <v>0</v>
      </c>
      <c r="AK112" s="87">
        <f>SUMPRODUCT(D106:D110,AK106:AK110)</f>
        <v>0</v>
      </c>
      <c r="AL112" s="87">
        <f>SUMPRODUCT(D106:D110,AL106:AL110)</f>
        <v>0</v>
      </c>
      <c r="AM112" s="87">
        <f>SUMPRODUCT(D106:D110,AM106:AM110)</f>
        <v>500000</v>
      </c>
      <c r="AN112" s="87">
        <f>SUMPRODUCT(D106:D110,AN106:AN110)</f>
        <v>500000</v>
      </c>
      <c r="AO112" s="87">
        <f>SUMPRODUCT(D106:D110,AO106:AO110)</f>
        <v>0</v>
      </c>
      <c r="AQ112" s="88"/>
      <c r="AR112" s="88"/>
    </row>
    <row r="113" spans="1:46" ht="18.75" customHeight="1" x14ac:dyDescent="0.55000000000000004">
      <c r="A113" s="162"/>
      <c r="B113" s="164" t="s">
        <v>22</v>
      </c>
      <c r="C113" s="6" t="s">
        <v>101</v>
      </c>
      <c r="D113" s="109">
        <v>500000</v>
      </c>
      <c r="E113" s="6"/>
      <c r="F113" s="6"/>
      <c r="G113" s="6"/>
      <c r="H113" s="6"/>
      <c r="I113" s="63">
        <v>2</v>
      </c>
      <c r="J113" s="6"/>
      <c r="K113" s="6"/>
      <c r="L113" s="6"/>
      <c r="M113" s="6"/>
      <c r="N113" s="6"/>
      <c r="O113" s="6">
        <v>1</v>
      </c>
      <c r="P113" s="40"/>
      <c r="Q113" s="40"/>
      <c r="R113" s="40"/>
      <c r="S113" s="40"/>
      <c r="T113" s="40"/>
      <c r="U113" s="56"/>
      <c r="V113" s="51">
        <f>SUM(J113:U113)</f>
        <v>1</v>
      </c>
      <c r="W113" s="86">
        <f>I113-V113</f>
        <v>1</v>
      </c>
      <c r="X113" s="85"/>
      <c r="Y113" s="51"/>
      <c r="Z113" s="6"/>
      <c r="AA113" s="6"/>
      <c r="AB113" s="6"/>
      <c r="AC113" s="6"/>
      <c r="AD113" s="6"/>
      <c r="AE113" s="6"/>
      <c r="AF113" s="6"/>
      <c r="AG113" s="6"/>
      <c r="AH113" s="6"/>
      <c r="AI113" s="6"/>
      <c r="AJ113" s="6"/>
      <c r="AK113" s="6"/>
      <c r="AL113" s="6">
        <f t="shared" ref="AL113:AL118" si="18">SUM(Z113:AK113)</f>
        <v>0</v>
      </c>
      <c r="AM113" s="6">
        <f>Y113-AL113</f>
        <v>0</v>
      </c>
      <c r="AN113" s="130">
        <v>0</v>
      </c>
      <c r="AO113" s="130">
        <f>Y113-AL113-AN113</f>
        <v>0</v>
      </c>
      <c r="AQ113" s="18" t="s">
        <v>65</v>
      </c>
      <c r="AR113" s="18"/>
    </row>
    <row r="114" spans="1:46" ht="18.75" customHeight="1" x14ac:dyDescent="0.55000000000000004">
      <c r="A114" s="162"/>
      <c r="B114" s="165"/>
      <c r="C114" s="6" t="s">
        <v>102</v>
      </c>
      <c r="D114" s="109">
        <v>250000</v>
      </c>
      <c r="E114" s="6"/>
      <c r="F114" s="6"/>
      <c r="G114" s="6"/>
      <c r="H114" s="6"/>
      <c r="I114" s="63"/>
      <c r="J114" s="6"/>
      <c r="K114" s="6"/>
      <c r="L114" s="6"/>
      <c r="M114" s="6"/>
      <c r="N114" s="6"/>
      <c r="O114" s="6"/>
      <c r="P114" s="40"/>
      <c r="Q114" s="40"/>
      <c r="R114" s="40"/>
      <c r="S114" s="40"/>
      <c r="T114" s="40"/>
      <c r="U114" s="56"/>
      <c r="V114" s="51"/>
      <c r="W114" s="86"/>
      <c r="X114" s="85"/>
      <c r="Y114" s="51"/>
      <c r="Z114" s="6"/>
      <c r="AA114" s="6"/>
      <c r="AB114" s="6"/>
      <c r="AC114" s="6"/>
      <c r="AD114" s="6"/>
      <c r="AE114" s="6"/>
      <c r="AF114" s="6"/>
      <c r="AG114" s="6"/>
      <c r="AH114" s="6"/>
      <c r="AI114" s="6"/>
      <c r="AJ114" s="6"/>
      <c r="AK114" s="6"/>
      <c r="AL114" s="6">
        <f t="shared" si="18"/>
        <v>0</v>
      </c>
      <c r="AM114" s="6">
        <f>Y114-AL114</f>
        <v>0</v>
      </c>
      <c r="AN114" s="130">
        <v>0</v>
      </c>
      <c r="AO114" s="130">
        <f t="shared" ref="AO114:AO116" si="19">Y114-AL114-AN114</f>
        <v>0</v>
      </c>
      <c r="AQ114" s="158"/>
      <c r="AR114" s="158"/>
    </row>
    <row r="115" spans="1:46" ht="18.75" customHeight="1" x14ac:dyDescent="0.55000000000000004">
      <c r="A115" s="162"/>
      <c r="B115" s="165"/>
      <c r="C115" s="6" t="s">
        <v>103</v>
      </c>
      <c r="D115" s="109">
        <v>500000</v>
      </c>
      <c r="E115" s="6"/>
      <c r="F115" s="6"/>
      <c r="G115" s="6"/>
      <c r="H115" s="6"/>
      <c r="I115" s="63"/>
      <c r="J115" s="6"/>
      <c r="K115" s="6"/>
      <c r="L115" s="6"/>
      <c r="M115" s="6"/>
      <c r="N115" s="6"/>
      <c r="O115" s="6"/>
      <c r="P115" s="40"/>
      <c r="Q115" s="40"/>
      <c r="R115" s="40"/>
      <c r="S115" s="40"/>
      <c r="T115" s="40"/>
      <c r="U115" s="56"/>
      <c r="V115" s="51"/>
      <c r="W115" s="86"/>
      <c r="X115" s="85"/>
      <c r="Y115" s="51"/>
      <c r="Z115" s="6"/>
      <c r="AA115" s="6"/>
      <c r="AB115" s="6"/>
      <c r="AC115" s="6"/>
      <c r="AD115" s="6"/>
      <c r="AE115" s="6"/>
      <c r="AF115" s="6"/>
      <c r="AG115" s="6"/>
      <c r="AH115" s="6"/>
      <c r="AI115" s="6"/>
      <c r="AJ115" s="6"/>
      <c r="AK115" s="6"/>
      <c r="AL115" s="6">
        <f t="shared" si="18"/>
        <v>0</v>
      </c>
      <c r="AM115" s="6">
        <f>Y115-AL115</f>
        <v>0</v>
      </c>
      <c r="AN115" s="130">
        <v>0</v>
      </c>
      <c r="AO115" s="130">
        <f t="shared" si="19"/>
        <v>0</v>
      </c>
      <c r="AQ115" s="158"/>
      <c r="AR115" s="158"/>
    </row>
    <row r="116" spans="1:46" ht="18.75" customHeight="1" x14ac:dyDescent="0.55000000000000004">
      <c r="A116" s="162"/>
      <c r="B116" s="165"/>
      <c r="C116" s="6" t="s">
        <v>104</v>
      </c>
      <c r="D116" s="109">
        <v>380000</v>
      </c>
      <c r="E116" s="6"/>
      <c r="F116" s="6"/>
      <c r="G116" s="6"/>
      <c r="H116" s="6"/>
      <c r="I116" s="63"/>
      <c r="J116" s="6"/>
      <c r="K116" s="6"/>
      <c r="L116" s="6"/>
      <c r="M116" s="6"/>
      <c r="N116" s="6"/>
      <c r="O116" s="6"/>
      <c r="P116" s="40"/>
      <c r="Q116" s="40"/>
      <c r="R116" s="40"/>
      <c r="S116" s="40"/>
      <c r="T116" s="40"/>
      <c r="U116" s="56"/>
      <c r="V116" s="51"/>
      <c r="W116" s="86"/>
      <c r="X116" s="85"/>
      <c r="Y116" s="51"/>
      <c r="Z116" s="6"/>
      <c r="AA116" s="6"/>
      <c r="AB116" s="6"/>
      <c r="AC116" s="6"/>
      <c r="AD116" s="6"/>
      <c r="AE116" s="6"/>
      <c r="AF116" s="6"/>
      <c r="AG116" s="6"/>
      <c r="AH116" s="6"/>
      <c r="AI116" s="6"/>
      <c r="AJ116" s="6"/>
      <c r="AK116" s="6"/>
      <c r="AL116" s="6">
        <f t="shared" si="18"/>
        <v>0</v>
      </c>
      <c r="AM116" s="6">
        <f>Y116-AL116</f>
        <v>0</v>
      </c>
      <c r="AN116" s="130">
        <v>0</v>
      </c>
      <c r="AO116" s="130">
        <f t="shared" si="19"/>
        <v>0</v>
      </c>
      <c r="AQ116" s="158"/>
      <c r="AR116" s="158"/>
    </row>
    <row r="117" spans="1:46" ht="18.75" customHeight="1" x14ac:dyDescent="0.55000000000000004">
      <c r="A117" s="162"/>
      <c r="B117" s="165"/>
      <c r="C117" s="6" t="s">
        <v>105</v>
      </c>
      <c r="D117" s="6">
        <v>0</v>
      </c>
      <c r="E117" s="6"/>
      <c r="F117" s="6"/>
      <c r="G117" s="6"/>
      <c r="H117" s="6"/>
      <c r="I117" s="63"/>
      <c r="J117" s="6"/>
      <c r="K117" s="6"/>
      <c r="L117" s="6"/>
      <c r="M117" s="6"/>
      <c r="N117" s="6"/>
      <c r="O117" s="6"/>
      <c r="P117" s="40"/>
      <c r="Q117" s="40"/>
      <c r="R117" s="40"/>
      <c r="S117" s="40"/>
      <c r="T117" s="40"/>
      <c r="U117" s="56"/>
      <c r="V117" s="51"/>
      <c r="W117" s="86"/>
      <c r="X117" s="85"/>
      <c r="Y117" s="99"/>
      <c r="Z117" s="6"/>
      <c r="AA117" s="6"/>
      <c r="AB117" s="6"/>
      <c r="AC117" s="6"/>
      <c r="AD117" s="6"/>
      <c r="AE117" s="6"/>
      <c r="AF117" s="6"/>
      <c r="AG117" s="6"/>
      <c r="AH117" s="6"/>
      <c r="AI117" s="6"/>
      <c r="AJ117" s="6"/>
      <c r="AK117" s="6"/>
      <c r="AL117" s="6">
        <f t="shared" si="18"/>
        <v>0</v>
      </c>
      <c r="AM117" s="68"/>
      <c r="AN117" s="121"/>
      <c r="AO117" s="121"/>
      <c r="AP117"/>
      <c r="AQ117" s="158"/>
      <c r="AR117" s="158"/>
    </row>
    <row r="118" spans="1:46" ht="18.75" customHeight="1" x14ac:dyDescent="0.55000000000000004">
      <c r="A118" s="162"/>
      <c r="B118" s="165"/>
      <c r="C118" s="37" t="s">
        <v>95</v>
      </c>
      <c r="D118" s="37"/>
      <c r="E118" s="37"/>
      <c r="F118" s="37"/>
      <c r="G118" s="37"/>
      <c r="H118" s="37"/>
      <c r="I118" s="87"/>
      <c r="J118" s="37"/>
      <c r="K118" s="37"/>
      <c r="L118" s="37"/>
      <c r="M118" s="37"/>
      <c r="N118" s="37"/>
      <c r="O118" s="37">
        <v>1</v>
      </c>
      <c r="P118" s="37"/>
      <c r="Q118" s="37"/>
      <c r="R118" s="37"/>
      <c r="S118" s="37"/>
      <c r="T118" s="37"/>
      <c r="U118" s="43"/>
      <c r="V118" s="43">
        <f>SUM(J118:U118)</f>
        <v>1</v>
      </c>
      <c r="W118" s="43"/>
      <c r="X118" s="87">
        <f>SUM(X113:X117)</f>
        <v>0</v>
      </c>
      <c r="Y118" s="87">
        <f>SUM(Y113:Y116)</f>
        <v>0</v>
      </c>
      <c r="Z118" s="37"/>
      <c r="AA118" s="37"/>
      <c r="AB118" s="37"/>
      <c r="AC118" s="37"/>
      <c r="AD118" s="37"/>
      <c r="AE118" s="37"/>
      <c r="AF118" s="37"/>
      <c r="AG118" s="37"/>
      <c r="AH118" s="37"/>
      <c r="AI118" s="37"/>
      <c r="AJ118" s="37"/>
      <c r="AK118" s="37"/>
      <c r="AL118" s="37">
        <f t="shared" si="18"/>
        <v>0</v>
      </c>
      <c r="AM118" s="37">
        <f>Y118-AL118</f>
        <v>0</v>
      </c>
      <c r="AN118" s="119">
        <f>SUM(AN113:AN117)</f>
        <v>0</v>
      </c>
      <c r="AO118" s="119">
        <f>SUM(AO113:AO117)</f>
        <v>0</v>
      </c>
      <c r="AP118"/>
      <c r="AQ118" s="89"/>
      <c r="AR118" s="89"/>
    </row>
    <row r="119" spans="1:46" ht="18.75" customHeight="1" x14ac:dyDescent="0.55000000000000004">
      <c r="A119" s="162"/>
      <c r="B119" s="166"/>
      <c r="C119" s="37" t="s">
        <v>108</v>
      </c>
      <c r="D119" s="37"/>
      <c r="E119" s="37"/>
      <c r="F119" s="37"/>
      <c r="G119" s="37"/>
      <c r="H119" s="37"/>
      <c r="I119" s="87"/>
      <c r="J119" s="37"/>
      <c r="K119" s="37"/>
      <c r="L119" s="37"/>
      <c r="M119" s="37"/>
      <c r="N119" s="37"/>
      <c r="O119" s="37"/>
      <c r="P119" s="37"/>
      <c r="Q119" s="37"/>
      <c r="R119" s="37"/>
      <c r="S119" s="37"/>
      <c r="T119" s="37"/>
      <c r="U119" s="43"/>
      <c r="V119" s="43"/>
      <c r="W119" s="43"/>
      <c r="X119" s="87"/>
      <c r="Y119" s="87">
        <f>SUMPRODUCT(D113:D117,Y113:Y117)</f>
        <v>0</v>
      </c>
      <c r="Z119" s="87">
        <f>SUMPRODUCT(D113:D117,Z113:Z117)</f>
        <v>0</v>
      </c>
      <c r="AA119" s="87">
        <f>SUMPRODUCT(D113:D117,AA113:AA117)</f>
        <v>0</v>
      </c>
      <c r="AB119" s="87">
        <f>SUMPRODUCT(D113:D117,AB113:AB117)</f>
        <v>0</v>
      </c>
      <c r="AC119" s="87">
        <f>SUMPRODUCT(D113:D117,AC113:AC117)</f>
        <v>0</v>
      </c>
      <c r="AD119" s="87">
        <f>SUMPRODUCT(D113:D117,AD113:AD117)</f>
        <v>0</v>
      </c>
      <c r="AE119" s="87">
        <f>SUMPRODUCT(D113:D117,AE113:AE117)</f>
        <v>0</v>
      </c>
      <c r="AF119" s="87">
        <f>SUMPRODUCT(D113:D117,AF113:AF117)</f>
        <v>0</v>
      </c>
      <c r="AG119" s="87">
        <f>SUMPRODUCT(D113:D117,AG113:AG117)</f>
        <v>0</v>
      </c>
      <c r="AH119" s="87">
        <f>SUMPRODUCT(D113:D117,AH113:AH117)</f>
        <v>0</v>
      </c>
      <c r="AI119" s="87">
        <f>SUMPRODUCT(D113:D117,AI113:AI117)</f>
        <v>0</v>
      </c>
      <c r="AJ119" s="87">
        <f>SUMPRODUCT(D113:D117,AJ113:AJ117)</f>
        <v>0</v>
      </c>
      <c r="AK119" s="87">
        <f>SUMPRODUCT(D113:D117,AK113:AK117)</f>
        <v>0</v>
      </c>
      <c r="AL119" s="87">
        <f>SUMPRODUCT(D113:D117,AL113:AL117)</f>
        <v>0</v>
      </c>
      <c r="AM119" s="87">
        <f>SUMPRODUCT(D113:D117,AM113:AM117)</f>
        <v>0</v>
      </c>
      <c r="AN119" s="87">
        <f>SUMPRODUCT(D113:D117,AN113:AN117)</f>
        <v>0</v>
      </c>
      <c r="AO119" s="87">
        <f t="shared" ref="AO119" si="20">SUMPRODUCT(G113:G117,AO113:AO117)</f>
        <v>0</v>
      </c>
      <c r="AP119"/>
      <c r="AQ119" s="89"/>
      <c r="AR119" s="89"/>
    </row>
    <row r="120" spans="1:46" ht="18.75" customHeight="1" x14ac:dyDescent="0.55000000000000004">
      <c r="A120" s="163"/>
      <c r="B120" s="77" t="s">
        <v>11</v>
      </c>
      <c r="C120" s="77"/>
      <c r="D120" s="77"/>
      <c r="E120" s="77"/>
      <c r="F120" s="77"/>
      <c r="G120" s="77"/>
      <c r="H120" s="77"/>
      <c r="I120" s="77"/>
      <c r="J120" s="77"/>
      <c r="K120" s="77"/>
      <c r="L120" s="77"/>
      <c r="M120" s="77"/>
      <c r="N120" s="77"/>
      <c r="O120" s="77"/>
      <c r="P120" s="77"/>
      <c r="Q120" s="77"/>
      <c r="R120" s="77"/>
      <c r="S120" s="77"/>
      <c r="T120" s="77"/>
      <c r="U120" s="80"/>
      <c r="V120" s="80"/>
      <c r="W120" s="80"/>
      <c r="X120" s="77"/>
      <c r="Y120" s="80"/>
      <c r="Z120" s="77"/>
      <c r="AA120" s="77"/>
      <c r="AB120" s="77"/>
      <c r="AC120" s="77"/>
      <c r="AD120" s="77"/>
      <c r="AE120" s="77"/>
      <c r="AF120" s="77"/>
      <c r="AG120" s="77"/>
      <c r="AH120" s="77"/>
      <c r="AI120" s="77"/>
      <c r="AJ120" s="77"/>
      <c r="AK120" s="77"/>
      <c r="AL120" s="78">
        <f>SUM(Z120:AE120)</f>
        <v>0</v>
      </c>
      <c r="AM120" s="101">
        <f>SUM(AM118,AM111,AM104,AM97)</f>
        <v>3</v>
      </c>
      <c r="AN120" s="120"/>
      <c r="AO120" s="120"/>
      <c r="AP120"/>
      <c r="AQ120" s="19"/>
      <c r="AR120" s="19"/>
    </row>
    <row r="121" spans="1:46" ht="18" x14ac:dyDescent="0.55000000000000004">
      <c r="A121" s="161" t="s">
        <v>24</v>
      </c>
      <c r="B121" s="164" t="s">
        <v>19</v>
      </c>
      <c r="C121" s="6" t="s">
        <v>91</v>
      </c>
      <c r="D121" s="109">
        <v>30000</v>
      </c>
      <c r="E121" s="6"/>
      <c r="F121" s="6"/>
      <c r="G121" s="6"/>
      <c r="H121" s="6"/>
      <c r="I121" s="63">
        <v>20</v>
      </c>
      <c r="J121" s="6"/>
      <c r="K121" s="6"/>
      <c r="L121" s="6">
        <v>2</v>
      </c>
      <c r="M121" s="6">
        <v>2</v>
      </c>
      <c r="N121" s="6">
        <v>1</v>
      </c>
      <c r="O121" s="6">
        <v>2</v>
      </c>
      <c r="P121" s="40">
        <v>2</v>
      </c>
      <c r="Q121" s="40">
        <v>2</v>
      </c>
      <c r="R121" s="40">
        <v>2</v>
      </c>
      <c r="S121" s="40">
        <v>2</v>
      </c>
      <c r="T121" s="40">
        <v>2</v>
      </c>
      <c r="U121" s="56">
        <v>2</v>
      </c>
      <c r="V121" s="51">
        <f>SUM(J121:U121)</f>
        <v>19</v>
      </c>
      <c r="W121" s="86">
        <f>I121-V121</f>
        <v>1</v>
      </c>
      <c r="X121" s="85">
        <v>15</v>
      </c>
      <c r="Y121" s="51">
        <v>9</v>
      </c>
      <c r="Z121" s="6">
        <v>1</v>
      </c>
      <c r="AA121" s="6">
        <v>2</v>
      </c>
      <c r="AB121" s="6">
        <v>2</v>
      </c>
      <c r="AC121" s="6"/>
      <c r="AD121" s="6">
        <v>2</v>
      </c>
      <c r="AE121" s="6"/>
      <c r="AF121" s="6">
        <v>1</v>
      </c>
      <c r="AG121" s="6"/>
      <c r="AH121" s="6"/>
      <c r="AI121" s="6"/>
      <c r="AJ121" s="6">
        <v>1</v>
      </c>
      <c r="AK121" s="6"/>
      <c r="AL121" s="6">
        <f>SUM(Z121:AK121)</f>
        <v>9</v>
      </c>
      <c r="AM121" s="6">
        <f>Y121-AL121</f>
        <v>0</v>
      </c>
      <c r="AN121" s="130">
        <v>0</v>
      </c>
      <c r="AO121" s="130">
        <f>Y121-AL121-AN121</f>
        <v>0</v>
      </c>
      <c r="AP121"/>
      <c r="AQ121" s="18" t="s">
        <v>69</v>
      </c>
      <c r="AR121" s="18" t="s">
        <v>70</v>
      </c>
      <c r="AS121" t="s">
        <v>71</v>
      </c>
    </row>
    <row r="122" spans="1:46" ht="18" customHeight="1" x14ac:dyDescent="0.55000000000000004">
      <c r="A122" s="162"/>
      <c r="B122" s="165"/>
      <c r="C122" s="6" t="s">
        <v>92</v>
      </c>
      <c r="D122" s="109">
        <v>15000</v>
      </c>
      <c r="E122" s="6"/>
      <c r="F122" s="6"/>
      <c r="G122" s="6"/>
      <c r="H122" s="6"/>
      <c r="I122" s="63"/>
      <c r="J122" s="6"/>
      <c r="K122" s="6"/>
      <c r="L122" s="6"/>
      <c r="M122" s="6"/>
      <c r="N122" s="6"/>
      <c r="O122" s="6"/>
      <c r="P122" s="40"/>
      <c r="Q122" s="40"/>
      <c r="R122" s="40"/>
      <c r="S122" s="40"/>
      <c r="T122" s="40"/>
      <c r="U122" s="56"/>
      <c r="V122" s="51"/>
      <c r="W122" s="86"/>
      <c r="X122" s="85"/>
      <c r="Y122" s="51">
        <v>2</v>
      </c>
      <c r="Z122" s="6"/>
      <c r="AA122" s="6"/>
      <c r="AB122" s="6"/>
      <c r="AC122" s="6"/>
      <c r="AD122" s="6"/>
      <c r="AE122" s="6"/>
      <c r="AF122" s="6"/>
      <c r="AG122" s="6">
        <v>2</v>
      </c>
      <c r="AH122" s="6"/>
      <c r="AI122" s="6"/>
      <c r="AJ122" s="6"/>
      <c r="AK122" s="6"/>
      <c r="AL122" s="6">
        <f t="shared" ref="AL122" si="21">SUM(Z122:AK122)</f>
        <v>2</v>
      </c>
      <c r="AM122" s="6">
        <f>Y122-AL122</f>
        <v>0</v>
      </c>
      <c r="AN122" s="130">
        <v>0</v>
      </c>
      <c r="AO122" s="130">
        <f t="shared" ref="AO122" si="22">Y122-AL122-AN122</f>
        <v>0</v>
      </c>
      <c r="AP122"/>
      <c r="AQ122" s="18"/>
      <c r="AR122" s="18"/>
    </row>
    <row r="123" spans="1:46" ht="18" customHeight="1" x14ac:dyDescent="0.55000000000000004">
      <c r="A123" s="162"/>
      <c r="B123" s="165"/>
      <c r="C123" s="6" t="s">
        <v>93</v>
      </c>
      <c r="D123" s="109">
        <v>45000</v>
      </c>
      <c r="E123" s="6"/>
      <c r="F123" s="6"/>
      <c r="G123" s="6"/>
      <c r="H123" s="6"/>
      <c r="I123" s="63"/>
      <c r="J123" s="6"/>
      <c r="K123" s="6"/>
      <c r="L123" s="6"/>
      <c r="M123" s="6"/>
      <c r="N123" s="6"/>
      <c r="O123" s="6"/>
      <c r="P123" s="40"/>
      <c r="Q123" s="40"/>
      <c r="R123" s="40"/>
      <c r="S123" s="40"/>
      <c r="T123" s="40"/>
      <c r="U123" s="56"/>
      <c r="V123" s="51"/>
      <c r="W123" s="86"/>
      <c r="X123" s="85"/>
      <c r="Y123" s="51">
        <v>5</v>
      </c>
      <c r="Z123" s="6"/>
      <c r="AA123" s="6"/>
      <c r="AB123" s="6"/>
      <c r="AC123" s="6"/>
      <c r="AD123" s="6"/>
      <c r="AE123" s="6"/>
      <c r="AF123" s="6"/>
      <c r="AG123" s="6"/>
      <c r="AH123" s="6"/>
      <c r="AI123" s="6">
        <v>1</v>
      </c>
      <c r="AJ123" s="6">
        <v>1</v>
      </c>
      <c r="AK123" s="6">
        <v>2</v>
      </c>
      <c r="AL123" s="6">
        <f>SUM(Z123:AK123)</f>
        <v>4</v>
      </c>
      <c r="AM123" s="6">
        <f>Y123-AL123</f>
        <v>1</v>
      </c>
      <c r="AN123" s="130">
        <v>1</v>
      </c>
      <c r="AO123" s="130">
        <v>0</v>
      </c>
      <c r="AQ123" s="18"/>
      <c r="AR123" s="18"/>
    </row>
    <row r="124" spans="1:46" s="63" customFormat="1" ht="18" customHeight="1" x14ac:dyDescent="0.55000000000000004">
      <c r="A124" s="162"/>
      <c r="B124" s="165"/>
      <c r="C124" s="6" t="s">
        <v>105</v>
      </c>
      <c r="D124" s="6">
        <v>0</v>
      </c>
      <c r="E124" s="63">
        <f>SUM(E120:E120)</f>
        <v>0</v>
      </c>
      <c r="W124" s="85"/>
      <c r="X124" s="85"/>
      <c r="Y124" s="100"/>
      <c r="AD124" s="63">
        <v>3</v>
      </c>
      <c r="AF124" s="63">
        <v>1</v>
      </c>
      <c r="AG124" s="63">
        <v>1</v>
      </c>
      <c r="AI124" s="63">
        <v>1</v>
      </c>
      <c r="AJ124" s="63">
        <v>2</v>
      </c>
      <c r="AK124" s="63">
        <v>2</v>
      </c>
      <c r="AL124" s="105">
        <f>SUM(Z124:AK124)</f>
        <v>10</v>
      </c>
      <c r="AM124" s="144"/>
      <c r="AN124" s="140"/>
      <c r="AO124" s="140"/>
      <c r="AP124"/>
      <c r="AQ124" s="63">
        <f>SUM(AQ120:AQ120)</f>
        <v>0</v>
      </c>
      <c r="AR124" s="63">
        <f>SUM(AR120:AR120)</f>
        <v>0</v>
      </c>
      <c r="AS124"/>
      <c r="AT124"/>
    </row>
    <row r="125" spans="1:46" ht="18" customHeight="1" x14ac:dyDescent="0.55000000000000004">
      <c r="A125" s="162"/>
      <c r="B125" s="165"/>
      <c r="C125" s="37" t="s">
        <v>95</v>
      </c>
      <c r="D125" s="37"/>
      <c r="E125" s="37"/>
      <c r="F125" s="37"/>
      <c r="G125" s="37"/>
      <c r="H125" s="37"/>
      <c r="I125" s="87"/>
      <c r="J125" s="37"/>
      <c r="K125" s="37"/>
      <c r="L125" s="37">
        <v>2</v>
      </c>
      <c r="M125" s="37">
        <v>2</v>
      </c>
      <c r="N125" s="37">
        <v>1</v>
      </c>
      <c r="O125" s="37">
        <v>2</v>
      </c>
      <c r="P125" s="37">
        <v>2</v>
      </c>
      <c r="Q125" s="37">
        <v>2</v>
      </c>
      <c r="R125" s="37">
        <v>2</v>
      </c>
      <c r="S125" s="37">
        <v>2</v>
      </c>
      <c r="T125" s="37">
        <v>2</v>
      </c>
      <c r="U125" s="43">
        <v>2</v>
      </c>
      <c r="V125" s="43">
        <f t="shared" ref="V125:V132" si="23">SUM(J125:U125)</f>
        <v>19</v>
      </c>
      <c r="W125" s="43"/>
      <c r="X125" s="87"/>
      <c r="Y125" s="43">
        <f>SUM(Y121:Y123)</f>
        <v>16</v>
      </c>
      <c r="Z125" s="43">
        <f t="shared" ref="Z125:AK125" si="24">SUM(Z121:Z124)</f>
        <v>1</v>
      </c>
      <c r="AA125" s="43">
        <f t="shared" si="24"/>
        <v>2</v>
      </c>
      <c r="AB125" s="43">
        <f t="shared" si="24"/>
        <v>2</v>
      </c>
      <c r="AC125" s="43"/>
      <c r="AD125" s="43">
        <f t="shared" si="24"/>
        <v>5</v>
      </c>
      <c r="AE125" s="43"/>
      <c r="AF125" s="43">
        <f t="shared" si="24"/>
        <v>2</v>
      </c>
      <c r="AG125" s="43">
        <f t="shared" si="24"/>
        <v>3</v>
      </c>
      <c r="AH125" s="43">
        <f t="shared" si="24"/>
        <v>0</v>
      </c>
      <c r="AI125" s="43">
        <f>SUM(AI121:AI124)</f>
        <v>2</v>
      </c>
      <c r="AJ125" s="43">
        <f t="shared" si="24"/>
        <v>4</v>
      </c>
      <c r="AK125" s="104">
        <f t="shared" si="24"/>
        <v>4</v>
      </c>
      <c r="AL125" s="142">
        <f>SUM(Z125:AK125)</f>
        <v>25</v>
      </c>
      <c r="AM125" s="142">
        <f>Y125-AL125</f>
        <v>-9</v>
      </c>
      <c r="AN125" s="143">
        <v>0</v>
      </c>
      <c r="AO125" s="143">
        <f>SUM(AO121:AO124)</f>
        <v>0</v>
      </c>
      <c r="AP125"/>
      <c r="AQ125" s="88"/>
      <c r="AR125" s="88"/>
    </row>
    <row r="126" spans="1:46" ht="18" customHeight="1" x14ac:dyDescent="0.55000000000000004">
      <c r="A126" s="162"/>
      <c r="B126" s="166"/>
      <c r="C126" s="37" t="s">
        <v>108</v>
      </c>
      <c r="D126" s="37"/>
      <c r="E126" s="37"/>
      <c r="F126" s="37"/>
      <c r="G126" s="37"/>
      <c r="H126" s="37"/>
      <c r="I126" s="87"/>
      <c r="J126" s="37"/>
      <c r="K126" s="37"/>
      <c r="L126" s="37"/>
      <c r="M126" s="37"/>
      <c r="N126" s="37"/>
      <c r="O126" s="37"/>
      <c r="P126" s="37"/>
      <c r="Q126" s="37"/>
      <c r="R126" s="37"/>
      <c r="S126" s="37"/>
      <c r="T126" s="37"/>
      <c r="U126" s="43"/>
      <c r="V126" s="43"/>
      <c r="W126" s="43"/>
      <c r="X126" s="87"/>
      <c r="Y126" s="43">
        <f>SUMPRODUCT(D121:D124,Y121:Y124)</f>
        <v>525000</v>
      </c>
      <c r="Z126" s="43">
        <f>SUMPRODUCT(D121:D124,Z121:Z124)</f>
        <v>30000</v>
      </c>
      <c r="AA126" s="43">
        <f>SUMPRODUCT(D121:D124,AA121:AA124)</f>
        <v>60000</v>
      </c>
      <c r="AB126" s="43">
        <f>SUMPRODUCT(D121:D124,AB121:AB124)</f>
        <v>60000</v>
      </c>
      <c r="AC126" s="43">
        <f>SUMPRODUCT(D121:D124,AC121:AC124)</f>
        <v>0</v>
      </c>
      <c r="AD126" s="43">
        <f>SUMPRODUCT(D121:D124,AD121:AD124)</f>
        <v>60000</v>
      </c>
      <c r="AE126" s="43">
        <f>SUMPRODUCT(D121:D124,AE121:AE124)</f>
        <v>0</v>
      </c>
      <c r="AF126" s="43">
        <f>SUMPRODUCT(D121:D124,AF121:AF124)</f>
        <v>30000</v>
      </c>
      <c r="AG126" s="135">
        <f>SUMPRODUCT(D121:D124,AG121:AG124)</f>
        <v>30000</v>
      </c>
      <c r="AH126" s="43">
        <f>SUMPRODUCT(D121:D124,AH121:AH124)</f>
        <v>0</v>
      </c>
      <c r="AI126" s="43">
        <f>SUMPRODUCT(D121:D124,AI121:AI124)</f>
        <v>45000</v>
      </c>
      <c r="AJ126" s="43">
        <f>SUMPRODUCT(D121:D124,AJ121:AJ124)</f>
        <v>75000</v>
      </c>
      <c r="AK126" s="104">
        <f>SUMPRODUCT(D121:D124,AK121:AK124)</f>
        <v>90000</v>
      </c>
      <c r="AL126" s="146">
        <f>SUMPRODUCT(D121:D124,AL121:AL124)</f>
        <v>480000</v>
      </c>
      <c r="AM126" s="146">
        <f>SUMPRODUCT(D121:D124,AM121:AM124)</f>
        <v>45000</v>
      </c>
      <c r="AN126" s="139">
        <f>SUMPRODUCT(D121:D124,AN121:AN124)</f>
        <v>45000</v>
      </c>
      <c r="AO126" s="145">
        <f>SUMPRODUCT(D121:D124,AO121:AO124)</f>
        <v>0</v>
      </c>
      <c r="AP126"/>
      <c r="AQ126" s="88"/>
      <c r="AR126" s="88"/>
    </row>
    <row r="127" spans="1:46" ht="18.75" customHeight="1" x14ac:dyDescent="0.55000000000000004">
      <c r="A127" s="162"/>
      <c r="B127" s="164" t="s">
        <v>20</v>
      </c>
      <c r="C127" s="6" t="s">
        <v>91</v>
      </c>
      <c r="D127" s="109">
        <v>30000</v>
      </c>
      <c r="E127" s="6"/>
      <c r="F127" s="6"/>
      <c r="G127" s="6"/>
      <c r="H127" s="6"/>
      <c r="I127" s="63">
        <v>12</v>
      </c>
      <c r="J127" s="6"/>
      <c r="K127" s="6"/>
      <c r="L127" s="6"/>
      <c r="M127" s="6"/>
      <c r="N127" s="6"/>
      <c r="O127" s="6">
        <v>1</v>
      </c>
      <c r="P127" s="40">
        <v>1</v>
      </c>
      <c r="Q127" s="40">
        <v>1</v>
      </c>
      <c r="R127" s="40">
        <v>2</v>
      </c>
      <c r="S127" s="40">
        <v>1</v>
      </c>
      <c r="T127" s="40">
        <v>1</v>
      </c>
      <c r="U127" s="56">
        <v>1</v>
      </c>
      <c r="V127" s="51">
        <f t="shared" si="23"/>
        <v>8</v>
      </c>
      <c r="W127" s="86">
        <f>I127-V127</f>
        <v>4</v>
      </c>
      <c r="X127" s="85">
        <v>15</v>
      </c>
      <c r="Y127" s="51">
        <v>8</v>
      </c>
      <c r="Z127" s="6"/>
      <c r="AA127" s="6">
        <v>1</v>
      </c>
      <c r="AB127" s="6">
        <v>1</v>
      </c>
      <c r="AC127" s="6">
        <v>2</v>
      </c>
      <c r="AD127" s="90"/>
      <c r="AE127" s="6"/>
      <c r="AF127" s="75"/>
      <c r="AG127" s="6">
        <v>1</v>
      </c>
      <c r="AH127" s="51">
        <v>1</v>
      </c>
      <c r="AI127" s="75"/>
      <c r="AJ127" s="51">
        <v>2</v>
      </c>
      <c r="AK127" s="75"/>
      <c r="AL127" s="13">
        <f>SUM(Z127:AK127)</f>
        <v>8</v>
      </c>
      <c r="AM127" s="13">
        <f>Y127-AL127</f>
        <v>0</v>
      </c>
      <c r="AN127" s="141">
        <v>0</v>
      </c>
      <c r="AO127" s="141">
        <f>Y127-AL127-AN127</f>
        <v>0</v>
      </c>
      <c r="AP127"/>
      <c r="AQ127" s="18" t="s">
        <v>73</v>
      </c>
      <c r="AR127" s="18" t="s">
        <v>74</v>
      </c>
      <c r="AS127" t="s">
        <v>75</v>
      </c>
    </row>
    <row r="128" spans="1:46" ht="18.75" customHeight="1" x14ac:dyDescent="0.55000000000000004">
      <c r="A128" s="162"/>
      <c r="B128" s="165"/>
      <c r="C128" s="6" t="s">
        <v>92</v>
      </c>
      <c r="D128" s="109">
        <v>15000</v>
      </c>
      <c r="E128" s="6"/>
      <c r="F128" s="6"/>
      <c r="G128" s="6"/>
      <c r="H128" s="6"/>
      <c r="I128" s="63"/>
      <c r="J128" s="6"/>
      <c r="K128" s="6"/>
      <c r="L128" s="6"/>
      <c r="M128" s="6"/>
      <c r="N128" s="6"/>
      <c r="O128" s="6"/>
      <c r="P128" s="40"/>
      <c r="Q128" s="40"/>
      <c r="R128" s="40"/>
      <c r="S128" s="40"/>
      <c r="T128" s="40"/>
      <c r="U128" s="56"/>
      <c r="V128" s="51"/>
      <c r="W128" s="86"/>
      <c r="X128" s="85"/>
      <c r="Y128" s="97">
        <v>2</v>
      </c>
      <c r="Z128" s="6"/>
      <c r="AA128" s="6"/>
      <c r="AB128" s="6"/>
      <c r="AC128" s="6"/>
      <c r="AD128" s="90"/>
      <c r="AE128" s="6"/>
      <c r="AF128" s="75"/>
      <c r="AG128" s="75"/>
      <c r="AH128" s="51"/>
      <c r="AI128" s="6">
        <v>1</v>
      </c>
      <c r="AJ128" s="75"/>
      <c r="AK128" s="75"/>
      <c r="AL128" s="6">
        <f>SUM(Z128:AK128)</f>
        <v>1</v>
      </c>
      <c r="AM128" s="6">
        <f>Y128-AL128</f>
        <v>1</v>
      </c>
      <c r="AN128" s="130">
        <v>1</v>
      </c>
      <c r="AO128" s="130">
        <f t="shared" ref="AO128" si="25">Y128-AL128-AN128</f>
        <v>0</v>
      </c>
      <c r="AP128"/>
      <c r="AQ128" s="18"/>
      <c r="AR128" s="18"/>
    </row>
    <row r="129" spans="1:45" ht="18.75" customHeight="1" x14ac:dyDescent="0.55000000000000004">
      <c r="A129" s="162"/>
      <c r="B129" s="165"/>
      <c r="C129" s="6" t="s">
        <v>93</v>
      </c>
      <c r="D129" s="109">
        <v>45000</v>
      </c>
      <c r="E129" s="6"/>
      <c r="F129" s="6"/>
      <c r="G129" s="6"/>
      <c r="H129" s="6"/>
      <c r="I129" s="63"/>
      <c r="J129" s="6"/>
      <c r="K129" s="6"/>
      <c r="L129" s="6"/>
      <c r="M129" s="6"/>
      <c r="N129" s="6"/>
      <c r="O129" s="6"/>
      <c r="P129" s="40"/>
      <c r="Q129" s="40"/>
      <c r="R129" s="40"/>
      <c r="S129" s="40"/>
      <c r="T129" s="40"/>
      <c r="U129" s="56"/>
      <c r="V129" s="51"/>
      <c r="W129" s="86"/>
      <c r="X129" s="85"/>
      <c r="Y129" s="51">
        <v>4</v>
      </c>
      <c r="Z129" s="6"/>
      <c r="AA129" s="6"/>
      <c r="AB129" s="6"/>
      <c r="AC129" s="6"/>
      <c r="AD129" s="90"/>
      <c r="AE129" s="6"/>
      <c r="AF129" s="75"/>
      <c r="AG129" s="75"/>
      <c r="AH129" s="75"/>
      <c r="AI129" s="75"/>
      <c r="AJ129" s="51"/>
      <c r="AK129" s="51">
        <v>2</v>
      </c>
      <c r="AL129" s="6">
        <f>SUM(Z129:AK129)</f>
        <v>2</v>
      </c>
      <c r="AM129" s="6">
        <f>Y129-AL129</f>
        <v>2</v>
      </c>
      <c r="AN129" s="130">
        <v>2</v>
      </c>
      <c r="AO129" s="130">
        <v>0</v>
      </c>
      <c r="AP129"/>
      <c r="AQ129" s="18"/>
      <c r="AR129" s="18"/>
    </row>
    <row r="130" spans="1:45" ht="18.75" customHeight="1" x14ac:dyDescent="0.55000000000000004">
      <c r="A130" s="162"/>
      <c r="B130" s="165"/>
      <c r="C130" s="6" t="s">
        <v>105</v>
      </c>
      <c r="D130" s="118"/>
      <c r="E130" s="6"/>
      <c r="F130" s="6"/>
      <c r="G130" s="6"/>
      <c r="H130" s="6"/>
      <c r="I130" s="63"/>
      <c r="J130" s="6"/>
      <c r="K130" s="6"/>
      <c r="L130" s="6"/>
      <c r="M130" s="6"/>
      <c r="N130" s="6"/>
      <c r="O130" s="6"/>
      <c r="P130" s="40"/>
      <c r="Q130" s="40"/>
      <c r="R130" s="40"/>
      <c r="S130" s="40"/>
      <c r="T130" s="40"/>
      <c r="U130" s="56"/>
      <c r="V130" s="51"/>
      <c r="W130" s="86"/>
      <c r="X130" s="85"/>
      <c r="Y130" s="132"/>
      <c r="Z130" s="6"/>
      <c r="AA130" s="6"/>
      <c r="AB130" s="6"/>
      <c r="AC130" s="6"/>
      <c r="AD130" s="6">
        <v>3</v>
      </c>
      <c r="AE130" s="6"/>
      <c r="AF130" s="75"/>
      <c r="AG130" s="75"/>
      <c r="AH130" s="75"/>
      <c r="AI130" s="51">
        <v>1</v>
      </c>
      <c r="AJ130" s="51">
        <v>2</v>
      </c>
      <c r="AK130" s="51">
        <v>2</v>
      </c>
      <c r="AL130" s="6">
        <f>SUM(Z130:AK130)</f>
        <v>8</v>
      </c>
      <c r="AM130" s="68"/>
      <c r="AN130" s="121"/>
      <c r="AO130" s="121"/>
      <c r="AP130"/>
      <c r="AQ130" s="18"/>
      <c r="AR130" s="18"/>
    </row>
    <row r="131" spans="1:45" ht="18.75" customHeight="1" x14ac:dyDescent="0.55000000000000004">
      <c r="A131" s="162"/>
      <c r="B131" s="165"/>
      <c r="C131" s="6" t="s">
        <v>98</v>
      </c>
      <c r="D131" s="133">
        <v>35000</v>
      </c>
      <c r="E131" s="6"/>
      <c r="F131" s="6"/>
      <c r="G131" s="6"/>
      <c r="H131" s="6"/>
      <c r="I131" s="63"/>
      <c r="J131" s="6"/>
      <c r="K131" s="6"/>
      <c r="L131" s="6"/>
      <c r="M131" s="6"/>
      <c r="N131" s="6"/>
      <c r="O131" s="6"/>
      <c r="P131" s="40"/>
      <c r="Q131" s="40"/>
      <c r="R131" s="40"/>
      <c r="S131" s="40"/>
      <c r="T131" s="40"/>
      <c r="U131" s="56"/>
      <c r="V131" s="51"/>
      <c r="W131" s="86"/>
      <c r="X131" s="85"/>
      <c r="Y131" s="99"/>
      <c r="Z131" s="6"/>
      <c r="AA131" s="6"/>
      <c r="AB131" s="6"/>
      <c r="AC131" s="6"/>
      <c r="AD131" s="6">
        <v>1</v>
      </c>
      <c r="AE131" s="6">
        <v>1</v>
      </c>
      <c r="AF131" s="75"/>
      <c r="AG131" s="75"/>
      <c r="AH131" s="75"/>
      <c r="AI131" s="75"/>
      <c r="AJ131" s="75"/>
      <c r="AK131" s="75"/>
      <c r="AL131" s="6">
        <f t="shared" ref="AL131" si="26">SUM(Z131:AK131)</f>
        <v>2</v>
      </c>
      <c r="AM131" s="68"/>
      <c r="AN131" s="121"/>
      <c r="AO131" s="121"/>
      <c r="AP131"/>
      <c r="AQ131" s="18"/>
      <c r="AR131" s="18"/>
    </row>
    <row r="132" spans="1:45" ht="18.75" customHeight="1" x14ac:dyDescent="0.55000000000000004">
      <c r="A132" s="162"/>
      <c r="B132" s="165"/>
      <c r="C132" s="37" t="s">
        <v>95</v>
      </c>
      <c r="D132" s="37"/>
      <c r="E132" s="37"/>
      <c r="F132" s="37"/>
      <c r="G132" s="37"/>
      <c r="H132" s="37"/>
      <c r="I132" s="87"/>
      <c r="J132" s="37"/>
      <c r="K132" s="37"/>
      <c r="L132" s="37"/>
      <c r="M132" s="37"/>
      <c r="N132" s="37"/>
      <c r="O132" s="37">
        <v>1</v>
      </c>
      <c r="P132" s="37">
        <v>1</v>
      </c>
      <c r="Q132" s="37">
        <v>1</v>
      </c>
      <c r="R132" s="37">
        <v>2</v>
      </c>
      <c r="S132" s="37">
        <v>1</v>
      </c>
      <c r="T132" s="37">
        <v>1</v>
      </c>
      <c r="U132" s="43">
        <v>1</v>
      </c>
      <c r="V132" s="43">
        <f t="shared" si="23"/>
        <v>8</v>
      </c>
      <c r="W132" s="43"/>
      <c r="X132" s="87"/>
      <c r="Y132" s="43">
        <f>SUM(Y127:Y129)</f>
        <v>14</v>
      </c>
      <c r="Z132" s="43">
        <f t="shared" ref="Z132:AK132" si="27">SUM(Z127:Z131)</f>
        <v>0</v>
      </c>
      <c r="AA132" s="43">
        <f t="shared" si="27"/>
        <v>1</v>
      </c>
      <c r="AB132" s="43">
        <f t="shared" si="27"/>
        <v>1</v>
      </c>
      <c r="AC132" s="43">
        <f t="shared" si="27"/>
        <v>2</v>
      </c>
      <c r="AD132" s="43">
        <f t="shared" si="27"/>
        <v>4</v>
      </c>
      <c r="AE132" s="43">
        <f t="shared" si="27"/>
        <v>1</v>
      </c>
      <c r="AF132" s="43">
        <f t="shared" si="27"/>
        <v>0</v>
      </c>
      <c r="AG132" s="43">
        <f t="shared" si="27"/>
        <v>1</v>
      </c>
      <c r="AH132" s="43">
        <f t="shared" si="27"/>
        <v>1</v>
      </c>
      <c r="AI132" s="43">
        <f t="shared" si="27"/>
        <v>2</v>
      </c>
      <c r="AJ132" s="43">
        <f t="shared" si="27"/>
        <v>4</v>
      </c>
      <c r="AK132" s="43">
        <f t="shared" si="27"/>
        <v>4</v>
      </c>
      <c r="AL132" s="37">
        <f>SUM(Z132:AK132)</f>
        <v>21</v>
      </c>
      <c r="AM132" s="37">
        <f>Y132-AL132</f>
        <v>-7</v>
      </c>
      <c r="AN132" s="119">
        <v>0</v>
      </c>
      <c r="AO132" s="119">
        <v>0</v>
      </c>
      <c r="AP132"/>
      <c r="AQ132" s="88"/>
      <c r="AR132" s="88"/>
    </row>
    <row r="133" spans="1:45" ht="18.75" customHeight="1" x14ac:dyDescent="0.55000000000000004">
      <c r="A133" s="162"/>
      <c r="B133" s="166"/>
      <c r="C133" s="37" t="s">
        <v>108</v>
      </c>
      <c r="D133" s="37"/>
      <c r="E133" s="37"/>
      <c r="F133" s="37"/>
      <c r="G133" s="37"/>
      <c r="H133" s="37"/>
      <c r="I133" s="87"/>
      <c r="J133" s="37"/>
      <c r="K133" s="37"/>
      <c r="L133" s="37"/>
      <c r="M133" s="37"/>
      <c r="N133" s="37"/>
      <c r="O133" s="37"/>
      <c r="P133" s="37"/>
      <c r="Q133" s="37"/>
      <c r="R133" s="37"/>
      <c r="S133" s="37"/>
      <c r="T133" s="37"/>
      <c r="U133" s="43"/>
      <c r="V133" s="43"/>
      <c r="W133" s="43"/>
      <c r="X133" s="87"/>
      <c r="Y133" s="43">
        <f>SUMPRODUCT(D127:D131,Y127:Y131)</f>
        <v>450000</v>
      </c>
      <c r="Z133" s="43">
        <f>SUMPRODUCT(D127:D131,Z127:Z131)</f>
        <v>0</v>
      </c>
      <c r="AA133" s="43">
        <f>SUMPRODUCT(D127:D131,AA127:AA131)</f>
        <v>30000</v>
      </c>
      <c r="AB133" s="43">
        <f>SUMPRODUCT(D127:D131,AB127:AB131)</f>
        <v>30000</v>
      </c>
      <c r="AC133" s="43">
        <f>SUMPRODUCT(D127:D131,AC127:AC131)</f>
        <v>60000</v>
      </c>
      <c r="AD133" s="43">
        <f>SUMPRODUCT(D127:D131,AD127:AD131)</f>
        <v>35000</v>
      </c>
      <c r="AE133" s="43">
        <f>SUMPRODUCT(D127:D131,AE127:AE131)</f>
        <v>35000</v>
      </c>
      <c r="AF133" s="43">
        <f>SUMPRODUCT(D127:D131,AF127:AF131)</f>
        <v>0</v>
      </c>
      <c r="AG133" s="43">
        <f>SUMPRODUCT(D127:D131,AG127:AG131)</f>
        <v>30000</v>
      </c>
      <c r="AH133" s="135">
        <f>SUMPRODUCT(D127:D131,AH127:AH131)</f>
        <v>30000</v>
      </c>
      <c r="AI133" s="43">
        <f>SUMPRODUCT(D127:D131,AI127:AI131)</f>
        <v>15000</v>
      </c>
      <c r="AJ133" s="43">
        <f>SUMPRODUCT(D127:D131,AJ127:AJ131)</f>
        <v>60000</v>
      </c>
      <c r="AK133" s="43">
        <f>SUMPRODUCT(D127:D131,AK127:AK131)</f>
        <v>90000</v>
      </c>
      <c r="AL133" s="43">
        <f>SUMPRODUCT(D127:D131,AL127:AL131)</f>
        <v>415000</v>
      </c>
      <c r="AM133" s="43">
        <f>SUMPRODUCT(D127:D131,AM127:AM131)</f>
        <v>105000</v>
      </c>
      <c r="AN133" s="43">
        <f>SUMPRODUCT(D127:D131,AN127:AN131)</f>
        <v>105000</v>
      </c>
      <c r="AO133" s="43">
        <f>SUMPRODUCT(D127:D131,AO127:AO131)</f>
        <v>0</v>
      </c>
      <c r="AP133"/>
      <c r="AQ133" s="88"/>
      <c r="AR133" s="88"/>
    </row>
    <row r="134" spans="1:45" ht="18.75" customHeight="1" x14ac:dyDescent="0.55000000000000004">
      <c r="A134" s="162"/>
      <c r="B134" s="164" t="s">
        <v>21</v>
      </c>
      <c r="C134" s="6" t="s">
        <v>91</v>
      </c>
      <c r="D134" s="109">
        <v>30000</v>
      </c>
      <c r="E134" s="6"/>
      <c r="F134" s="6"/>
      <c r="G134" s="6"/>
      <c r="H134" s="6"/>
      <c r="I134" s="63">
        <v>12</v>
      </c>
      <c r="J134" s="6"/>
      <c r="K134" s="6"/>
      <c r="L134" s="6"/>
      <c r="M134" s="6"/>
      <c r="N134" s="6"/>
      <c r="O134" s="6"/>
      <c r="P134" s="6"/>
      <c r="Q134" s="6"/>
      <c r="R134" s="6">
        <v>2</v>
      </c>
      <c r="S134" s="6"/>
      <c r="T134" s="6">
        <v>2</v>
      </c>
      <c r="U134" s="51">
        <v>1</v>
      </c>
      <c r="V134" s="51">
        <f>SUM(J134:U134)</f>
        <v>5</v>
      </c>
      <c r="W134" s="86">
        <f t="shared" ref="W134:W140" si="28">I134-V134</f>
        <v>7</v>
      </c>
      <c r="X134" s="85">
        <v>15</v>
      </c>
      <c r="Y134" s="51">
        <v>12</v>
      </c>
      <c r="Z134" s="6">
        <v>3</v>
      </c>
      <c r="AA134" s="6">
        <v>1</v>
      </c>
      <c r="AB134" s="6">
        <v>1</v>
      </c>
      <c r="AC134" s="6">
        <v>1</v>
      </c>
      <c r="AD134" s="63">
        <v>2</v>
      </c>
      <c r="AE134" s="63">
        <v>1</v>
      </c>
      <c r="AF134" s="63"/>
      <c r="AG134" s="6"/>
      <c r="AH134" s="6">
        <v>1</v>
      </c>
      <c r="AI134" s="6"/>
      <c r="AJ134" s="6"/>
      <c r="AK134" s="6">
        <v>1</v>
      </c>
      <c r="AL134" s="6">
        <f>SUM(Z134:AK134)</f>
        <v>11</v>
      </c>
      <c r="AM134" s="6">
        <f>Y134-AL134</f>
        <v>1</v>
      </c>
      <c r="AN134" s="130">
        <v>1</v>
      </c>
      <c r="AO134" s="130">
        <v>0</v>
      </c>
      <c r="AQ134" s="18" t="s">
        <v>76</v>
      </c>
      <c r="AR134" s="18" t="s">
        <v>77</v>
      </c>
      <c r="AS134" t="s">
        <v>78</v>
      </c>
    </row>
    <row r="135" spans="1:45" ht="18.75" customHeight="1" x14ac:dyDescent="0.55000000000000004">
      <c r="A135" s="162"/>
      <c r="B135" s="165"/>
      <c r="C135" s="6" t="s">
        <v>92</v>
      </c>
      <c r="D135" s="109">
        <v>15000</v>
      </c>
      <c r="E135" s="6"/>
      <c r="F135" s="6"/>
      <c r="G135" s="6"/>
      <c r="H135" s="6"/>
      <c r="I135" s="63"/>
      <c r="J135" s="6"/>
      <c r="K135" s="6"/>
      <c r="L135" s="6"/>
      <c r="M135" s="6"/>
      <c r="N135" s="6"/>
      <c r="O135" s="6"/>
      <c r="P135" s="6"/>
      <c r="Q135" s="6"/>
      <c r="R135" s="6"/>
      <c r="S135" s="6"/>
      <c r="T135" s="6"/>
      <c r="U135" s="51"/>
      <c r="V135" s="51"/>
      <c r="W135" s="86"/>
      <c r="X135" s="85"/>
      <c r="Y135" s="97">
        <v>2</v>
      </c>
      <c r="Z135" s="6"/>
      <c r="AA135" s="6"/>
      <c r="AB135" s="6"/>
      <c r="AC135" s="6"/>
      <c r="AD135" s="63"/>
      <c r="AE135" s="63"/>
      <c r="AF135" s="63"/>
      <c r="AG135" s="6"/>
      <c r="AH135" s="6"/>
      <c r="AI135" s="6"/>
      <c r="AJ135" s="6"/>
      <c r="AK135" s="6">
        <v>2</v>
      </c>
      <c r="AL135" s="6">
        <f>SUM(Z135:AK135)</f>
        <v>2</v>
      </c>
      <c r="AM135" s="6">
        <f>Y135-AL135</f>
        <v>0</v>
      </c>
      <c r="AN135" s="130">
        <v>0</v>
      </c>
      <c r="AO135" s="130">
        <v>0</v>
      </c>
      <c r="AQ135" s="18"/>
      <c r="AR135" s="18"/>
    </row>
    <row r="136" spans="1:45" ht="18.75" customHeight="1" x14ac:dyDescent="0.55000000000000004">
      <c r="A136" s="162"/>
      <c r="B136" s="165"/>
      <c r="C136" s="6" t="s">
        <v>93</v>
      </c>
      <c r="D136" s="109">
        <v>45000</v>
      </c>
      <c r="E136" s="6"/>
      <c r="F136" s="6"/>
      <c r="G136" s="6"/>
      <c r="H136" s="6"/>
      <c r="I136" s="63"/>
      <c r="J136" s="6"/>
      <c r="K136" s="6"/>
      <c r="L136" s="6"/>
      <c r="M136" s="6"/>
      <c r="N136" s="6"/>
      <c r="O136" s="6"/>
      <c r="P136" s="6"/>
      <c r="Q136" s="6"/>
      <c r="R136" s="6"/>
      <c r="S136" s="6"/>
      <c r="T136" s="6"/>
      <c r="U136" s="51"/>
      <c r="V136" s="51"/>
      <c r="W136" s="86"/>
      <c r="X136" s="85"/>
      <c r="Y136" s="51">
        <v>3</v>
      </c>
      <c r="Z136" s="6"/>
      <c r="AA136" s="6"/>
      <c r="AB136" s="6"/>
      <c r="AC136" s="6"/>
      <c r="AD136" s="63"/>
      <c r="AE136" s="63"/>
      <c r="AF136" s="63"/>
      <c r="AG136" s="6"/>
      <c r="AH136" s="6"/>
      <c r="AI136" s="6"/>
      <c r="AJ136" s="6">
        <v>1</v>
      </c>
      <c r="AK136" s="6">
        <v>1</v>
      </c>
      <c r="AL136" s="6">
        <f>SUM(Z136:AK136)</f>
        <v>2</v>
      </c>
      <c r="AM136" s="6">
        <f>Y136-AL136</f>
        <v>1</v>
      </c>
      <c r="AN136" s="130">
        <v>1</v>
      </c>
      <c r="AO136" s="130">
        <v>0</v>
      </c>
      <c r="AQ136" s="18"/>
      <c r="AR136" s="18"/>
    </row>
    <row r="137" spans="1:45" ht="18.75" customHeight="1" x14ac:dyDescent="0.55000000000000004">
      <c r="A137" s="162"/>
      <c r="B137" s="165"/>
      <c r="C137" s="6" t="s">
        <v>105</v>
      </c>
      <c r="D137" s="6"/>
      <c r="E137" s="6"/>
      <c r="F137" s="6"/>
      <c r="G137" s="6"/>
      <c r="H137" s="6"/>
      <c r="I137" s="63"/>
      <c r="J137" s="6"/>
      <c r="K137" s="6"/>
      <c r="L137" s="6"/>
      <c r="M137" s="6"/>
      <c r="N137" s="6"/>
      <c r="O137" s="6"/>
      <c r="P137" s="6"/>
      <c r="Q137" s="6"/>
      <c r="R137" s="6"/>
      <c r="S137" s="6"/>
      <c r="T137" s="6"/>
      <c r="U137" s="51"/>
      <c r="V137" s="51"/>
      <c r="W137" s="86"/>
      <c r="X137" s="85"/>
      <c r="Y137" s="99"/>
      <c r="Z137" s="6"/>
      <c r="AA137" s="6"/>
      <c r="AB137" s="6"/>
      <c r="AC137" s="6"/>
      <c r="AD137" s="63">
        <v>3</v>
      </c>
      <c r="AE137" s="63"/>
      <c r="AF137" s="63"/>
      <c r="AG137" s="6"/>
      <c r="AH137" s="6"/>
      <c r="AI137" s="6">
        <v>2</v>
      </c>
      <c r="AJ137" s="6">
        <v>1</v>
      </c>
      <c r="AK137" s="6">
        <v>3</v>
      </c>
      <c r="AL137" s="6">
        <f>SUM(Z137:AK137)</f>
        <v>9</v>
      </c>
      <c r="AM137" s="68"/>
      <c r="AN137" s="121"/>
      <c r="AO137" s="121"/>
      <c r="AQ137" s="18"/>
      <c r="AR137" s="18"/>
    </row>
    <row r="138" spans="1:45" ht="18.75" customHeight="1" x14ac:dyDescent="0.55000000000000004">
      <c r="A138" s="162"/>
      <c r="B138" s="165"/>
      <c r="C138" s="37" t="s">
        <v>95</v>
      </c>
      <c r="D138" s="37"/>
      <c r="E138" s="37"/>
      <c r="F138" s="37"/>
      <c r="G138" s="37"/>
      <c r="H138" s="37"/>
      <c r="I138" s="87"/>
      <c r="J138" s="37"/>
      <c r="K138" s="37"/>
      <c r="L138" s="37"/>
      <c r="M138" s="37"/>
      <c r="N138" s="37"/>
      <c r="O138" s="37"/>
      <c r="P138" s="37"/>
      <c r="Q138" s="37"/>
      <c r="R138" s="37">
        <v>2</v>
      </c>
      <c r="S138" s="37"/>
      <c r="T138" s="37">
        <v>2</v>
      </c>
      <c r="U138" s="43">
        <v>1</v>
      </c>
      <c r="V138" s="43">
        <f>SUM(J138:U138)</f>
        <v>5</v>
      </c>
      <c r="W138" s="43"/>
      <c r="X138" s="87"/>
      <c r="Y138" s="43">
        <f>SUM(Y134:Y136)</f>
        <v>17</v>
      </c>
      <c r="Z138" s="43">
        <f t="shared" ref="Z138" si="29">SUM(Z134:Z137)</f>
        <v>3</v>
      </c>
      <c r="AA138" s="43">
        <f t="shared" ref="AA138" si="30">SUM(AA134:AA137)</f>
        <v>1</v>
      </c>
      <c r="AB138" s="43">
        <f t="shared" ref="AB138" si="31">SUM(AB134:AB137)</f>
        <v>1</v>
      </c>
      <c r="AC138" s="43">
        <f t="shared" ref="AC138" si="32">SUM(AC134:AC137)</f>
        <v>1</v>
      </c>
      <c r="AD138" s="43">
        <f t="shared" ref="AD138" si="33">SUM(AD134:AD137)</f>
        <v>5</v>
      </c>
      <c r="AE138" s="43">
        <f t="shared" ref="AE138" si="34">SUM(AE134:AE137)</f>
        <v>1</v>
      </c>
      <c r="AF138" s="43">
        <f t="shared" ref="AF138" si="35">SUM(AF134:AF137)</f>
        <v>0</v>
      </c>
      <c r="AG138" s="43">
        <f t="shared" ref="AG138" si="36">SUM(AG134:AG137)</f>
        <v>0</v>
      </c>
      <c r="AH138" s="43">
        <f t="shared" ref="AH138" si="37">SUM(AH134:AH137)</f>
        <v>1</v>
      </c>
      <c r="AI138" s="43">
        <f t="shared" ref="AI138" si="38">SUM(AI134:AI137)</f>
        <v>2</v>
      </c>
      <c r="AJ138" s="43">
        <f t="shared" ref="AJ138" si="39">SUM(AJ134:AJ137)</f>
        <v>2</v>
      </c>
      <c r="AK138" s="43">
        <f t="shared" ref="AK138" si="40">SUM(AK134:AK137)</f>
        <v>7</v>
      </c>
      <c r="AL138" s="37">
        <f>SUM(Z138:AK138)</f>
        <v>24</v>
      </c>
      <c r="AM138" s="37">
        <f>Y138-AL138</f>
        <v>-7</v>
      </c>
      <c r="AN138" s="119">
        <f>SUM(AN134:AN137)</f>
        <v>2</v>
      </c>
      <c r="AO138" s="119">
        <f>SUM(AO134:AO137)</f>
        <v>0</v>
      </c>
      <c r="AQ138" s="88"/>
      <c r="AR138" s="88"/>
    </row>
    <row r="139" spans="1:45" ht="18.75" customHeight="1" x14ac:dyDescent="0.55000000000000004">
      <c r="A139" s="162"/>
      <c r="B139" s="166"/>
      <c r="C139" s="37" t="s">
        <v>108</v>
      </c>
      <c r="D139" s="37"/>
      <c r="E139" s="37"/>
      <c r="F139" s="37"/>
      <c r="G139" s="37"/>
      <c r="H139" s="37"/>
      <c r="I139" s="87"/>
      <c r="J139" s="37"/>
      <c r="K139" s="37"/>
      <c r="L139" s="37"/>
      <c r="M139" s="37"/>
      <c r="N139" s="37"/>
      <c r="O139" s="37"/>
      <c r="P139" s="37"/>
      <c r="Q139" s="37"/>
      <c r="R139" s="37"/>
      <c r="S139" s="37"/>
      <c r="T139" s="37"/>
      <c r="U139" s="43"/>
      <c r="V139" s="43"/>
      <c r="W139" s="43"/>
      <c r="X139" s="87"/>
      <c r="Y139" s="43">
        <f>SUMPRODUCT(D134:D137,Y134:Y137)</f>
        <v>525000</v>
      </c>
      <c r="Z139" s="43">
        <f>SUMPRODUCT(D134:D137,Z134:Z137)</f>
        <v>90000</v>
      </c>
      <c r="AA139" s="43">
        <f>SUMPRODUCT(D134:D137,AA134:AA137)</f>
        <v>30000</v>
      </c>
      <c r="AB139" s="43">
        <f>SUMPRODUCT(D134:D137,AB134:AB137)</f>
        <v>30000</v>
      </c>
      <c r="AC139" s="43">
        <f>SUMPRODUCT(D134:D137,AC134:AC137)</f>
        <v>30000</v>
      </c>
      <c r="AD139" s="43">
        <f>SUMPRODUCT(D134:D137,AD134:AD137)</f>
        <v>60000</v>
      </c>
      <c r="AE139" s="43">
        <f>SUMPRODUCT(D134:D137,AE134:AE137)</f>
        <v>30000</v>
      </c>
      <c r="AF139" s="43">
        <f>SUMPRODUCT(D134:D137,AF134:AF137)</f>
        <v>0</v>
      </c>
      <c r="AG139" s="43">
        <f>SUMPRODUCT(D134:D137,AG134:AG137)</f>
        <v>0</v>
      </c>
      <c r="AH139" s="136">
        <f>SUMPRODUCT(D134:D137,AH134:AH137)</f>
        <v>30000</v>
      </c>
      <c r="AI139" s="43">
        <f>SUMPRODUCT(D134:D137,AI134:AI137)</f>
        <v>0</v>
      </c>
      <c r="AJ139" s="43">
        <f>SUMPRODUCT(D134:D137,AJ134:AJ137)</f>
        <v>45000</v>
      </c>
      <c r="AK139" s="43">
        <f>SUMPRODUCT(D134:D137,AK134:AK137)</f>
        <v>105000</v>
      </c>
      <c r="AL139" s="43">
        <f>SUMPRODUCT(D134:D137,AL134:AL137)</f>
        <v>450000</v>
      </c>
      <c r="AM139" s="43">
        <f>SUMPRODUCT(D134:D137,AM134:AM137)</f>
        <v>75000</v>
      </c>
      <c r="AN139" s="43">
        <f>SUMPRODUCT(D134:D137,AN134:AN137)</f>
        <v>75000</v>
      </c>
      <c r="AO139" s="43">
        <f>SUMPRODUCT(D134:D137,AO134:AO137)</f>
        <v>0</v>
      </c>
      <c r="AQ139" s="88"/>
      <c r="AR139" s="88"/>
    </row>
    <row r="140" spans="1:45" ht="18.75" customHeight="1" x14ac:dyDescent="0.55000000000000004">
      <c r="A140" s="162"/>
      <c r="B140" s="164" t="s">
        <v>22</v>
      </c>
      <c r="C140" s="6" t="s">
        <v>91</v>
      </c>
      <c r="D140" s="109">
        <v>30000</v>
      </c>
      <c r="E140" s="6"/>
      <c r="F140" s="6"/>
      <c r="G140" s="6"/>
      <c r="H140" s="6"/>
      <c r="I140" s="63">
        <v>12</v>
      </c>
      <c r="J140" s="6"/>
      <c r="K140" s="6"/>
      <c r="L140" s="6"/>
      <c r="M140" s="6"/>
      <c r="N140" s="6"/>
      <c r="O140" s="6"/>
      <c r="P140" s="6"/>
      <c r="Q140" s="6"/>
      <c r="R140" s="6"/>
      <c r="S140" s="6"/>
      <c r="T140" s="6">
        <v>2</v>
      </c>
      <c r="U140" s="51">
        <v>2</v>
      </c>
      <c r="V140" s="51">
        <f>SUM(J140:U140)</f>
        <v>4</v>
      </c>
      <c r="W140" s="86">
        <f t="shared" si="28"/>
        <v>8</v>
      </c>
      <c r="X140" s="85">
        <v>15</v>
      </c>
      <c r="Y140" s="51">
        <v>7</v>
      </c>
      <c r="Z140" s="6">
        <v>1</v>
      </c>
      <c r="AA140" s="6">
        <v>1</v>
      </c>
      <c r="AB140" s="6">
        <v>1</v>
      </c>
      <c r="AC140" s="6">
        <v>1</v>
      </c>
      <c r="AD140" s="6"/>
      <c r="AE140" s="6">
        <v>1</v>
      </c>
      <c r="AF140" s="6">
        <v>2</v>
      </c>
      <c r="AG140" s="6"/>
      <c r="AH140" s="6"/>
      <c r="AI140" s="6"/>
      <c r="AJ140" s="6"/>
      <c r="AK140" s="6"/>
      <c r="AL140" s="6">
        <f>SUM(Z140:AK140)</f>
        <v>7</v>
      </c>
      <c r="AM140" s="6">
        <f>Y140-AL140</f>
        <v>0</v>
      </c>
      <c r="AN140" s="130">
        <v>0</v>
      </c>
      <c r="AO140" s="130">
        <f>Y140-AL140-AN140</f>
        <v>0</v>
      </c>
      <c r="AQ140" s="18" t="s">
        <v>55</v>
      </c>
      <c r="AR140" s="18" t="s">
        <v>79</v>
      </c>
      <c r="AS140" t="s">
        <v>109</v>
      </c>
    </row>
    <row r="141" spans="1:45" ht="18.75" customHeight="1" x14ac:dyDescent="0.55000000000000004">
      <c r="A141" s="162"/>
      <c r="B141" s="165"/>
      <c r="C141" s="6" t="s">
        <v>92</v>
      </c>
      <c r="D141" s="109">
        <v>15000</v>
      </c>
      <c r="E141" s="6"/>
      <c r="F141" s="6"/>
      <c r="G141" s="6"/>
      <c r="H141" s="6"/>
      <c r="I141" s="63"/>
      <c r="J141" s="6"/>
      <c r="K141" s="6"/>
      <c r="L141" s="6"/>
      <c r="M141" s="6"/>
      <c r="N141" s="6"/>
      <c r="O141" s="6"/>
      <c r="P141" s="6"/>
      <c r="Q141" s="6"/>
      <c r="R141" s="6"/>
      <c r="S141" s="6"/>
      <c r="T141" s="6"/>
      <c r="U141" s="51"/>
      <c r="V141" s="51"/>
      <c r="W141" s="86"/>
      <c r="X141" s="85"/>
      <c r="Y141" s="51">
        <v>2</v>
      </c>
      <c r="Z141" s="6"/>
      <c r="AA141" s="6"/>
      <c r="AB141" s="6"/>
      <c r="AC141" s="6"/>
      <c r="AD141" s="6"/>
      <c r="AE141" s="6"/>
      <c r="AF141" s="6"/>
      <c r="AG141" s="6"/>
      <c r="AH141" s="6">
        <v>1</v>
      </c>
      <c r="AI141" s="6"/>
      <c r="AJ141" s="6">
        <v>1</v>
      </c>
      <c r="AK141" s="6"/>
      <c r="AL141" s="6">
        <f>SUM(Z141:AK141)</f>
        <v>2</v>
      </c>
      <c r="AM141" s="6">
        <f>Y141-AL141</f>
        <v>0</v>
      </c>
      <c r="AN141" s="130">
        <v>0</v>
      </c>
      <c r="AO141" s="130">
        <f t="shared" ref="AO141:AO142" si="41">Y141-AL141-AN141</f>
        <v>0</v>
      </c>
      <c r="AQ141" s="158"/>
      <c r="AR141" s="158"/>
    </row>
    <row r="142" spans="1:45" ht="18.75" customHeight="1" x14ac:dyDescent="0.55000000000000004">
      <c r="A142" s="162"/>
      <c r="B142" s="165"/>
      <c r="C142" s="6" t="s">
        <v>93</v>
      </c>
      <c r="D142" s="109">
        <v>45000</v>
      </c>
      <c r="E142" s="6"/>
      <c r="F142" s="6"/>
      <c r="G142" s="6"/>
      <c r="H142" s="6"/>
      <c r="I142" s="63"/>
      <c r="J142" s="6"/>
      <c r="K142" s="6"/>
      <c r="L142" s="6"/>
      <c r="M142" s="6"/>
      <c r="N142" s="6"/>
      <c r="O142" s="6"/>
      <c r="P142" s="6"/>
      <c r="Q142" s="6"/>
      <c r="R142" s="6"/>
      <c r="S142" s="6"/>
      <c r="T142" s="6"/>
      <c r="U142" s="51"/>
      <c r="V142" s="51"/>
      <c r="W142" s="86"/>
      <c r="X142" s="85"/>
      <c r="Y142" s="51">
        <v>3</v>
      </c>
      <c r="Z142" s="6"/>
      <c r="AA142" s="6"/>
      <c r="AB142" s="6"/>
      <c r="AC142" s="6"/>
      <c r="AD142" s="6"/>
      <c r="AE142" s="6"/>
      <c r="AF142" s="6"/>
      <c r="AG142" s="6"/>
      <c r="AH142" s="6"/>
      <c r="AI142" s="6">
        <v>1</v>
      </c>
      <c r="AJ142" s="6">
        <v>1</v>
      </c>
      <c r="AK142" s="6"/>
      <c r="AL142" s="6">
        <f>SUM(Z142:AK142)</f>
        <v>2</v>
      </c>
      <c r="AM142" s="6">
        <f>Y142-AL142</f>
        <v>1</v>
      </c>
      <c r="AN142" s="130">
        <v>1</v>
      </c>
      <c r="AO142" s="130">
        <f t="shared" si="41"/>
        <v>0</v>
      </c>
      <c r="AQ142" s="158"/>
      <c r="AR142" s="158"/>
    </row>
    <row r="143" spans="1:45" ht="18.75" customHeight="1" x14ac:dyDescent="0.55000000000000004">
      <c r="A143" s="162"/>
      <c r="B143" s="165"/>
      <c r="C143" s="6" t="s">
        <v>105</v>
      </c>
      <c r="D143" s="6">
        <v>0</v>
      </c>
      <c r="E143" s="6"/>
      <c r="F143" s="6"/>
      <c r="G143" s="6"/>
      <c r="H143" s="6"/>
      <c r="I143" s="63"/>
      <c r="J143" s="6"/>
      <c r="K143" s="6"/>
      <c r="L143" s="6"/>
      <c r="M143" s="6"/>
      <c r="N143" s="6"/>
      <c r="O143" s="6"/>
      <c r="P143" s="6"/>
      <c r="Q143" s="6"/>
      <c r="R143" s="6"/>
      <c r="S143" s="6"/>
      <c r="T143" s="6"/>
      <c r="U143" s="51"/>
      <c r="V143" s="51"/>
      <c r="W143" s="86"/>
      <c r="X143" s="85"/>
      <c r="Y143" s="99"/>
      <c r="Z143" s="6"/>
      <c r="AA143" s="6"/>
      <c r="AB143" s="6"/>
      <c r="AC143" s="6"/>
      <c r="AD143" s="6">
        <v>2</v>
      </c>
      <c r="AE143" s="6"/>
      <c r="AF143" s="6">
        <v>1</v>
      </c>
      <c r="AG143" s="6"/>
      <c r="AH143" s="6"/>
      <c r="AI143" s="6">
        <v>2</v>
      </c>
      <c r="AJ143" s="6">
        <v>2</v>
      </c>
      <c r="AK143" s="6">
        <v>2</v>
      </c>
      <c r="AL143" s="6">
        <f>SUM(Z143:AK143)</f>
        <v>9</v>
      </c>
      <c r="AM143" s="68"/>
      <c r="AN143" s="121"/>
      <c r="AO143" s="121"/>
      <c r="AQ143" s="158"/>
      <c r="AR143" s="158"/>
    </row>
    <row r="144" spans="1:45" ht="18.75" customHeight="1" x14ac:dyDescent="0.55000000000000004">
      <c r="A144" s="162"/>
      <c r="B144" s="165"/>
      <c r="C144" s="37" t="s">
        <v>95</v>
      </c>
      <c r="D144" s="37"/>
      <c r="E144" s="37"/>
      <c r="F144" s="37"/>
      <c r="G144" s="37"/>
      <c r="H144" s="37"/>
      <c r="I144" s="87"/>
      <c r="J144" s="37"/>
      <c r="K144" s="37"/>
      <c r="L144" s="37"/>
      <c r="M144" s="37"/>
      <c r="N144" s="37"/>
      <c r="O144" s="37"/>
      <c r="P144" s="37"/>
      <c r="Q144" s="37"/>
      <c r="R144" s="37"/>
      <c r="S144" s="37"/>
      <c r="T144" s="37">
        <v>2</v>
      </c>
      <c r="U144" s="43">
        <v>2</v>
      </c>
      <c r="V144" s="43">
        <f>SUM(J144:U144)</f>
        <v>4</v>
      </c>
      <c r="W144" s="43"/>
      <c r="X144" s="87"/>
      <c r="Y144" s="43">
        <f>SUM(Y140:Y142)</f>
        <v>12</v>
      </c>
      <c r="Z144" s="43">
        <f t="shared" ref="Z144" si="42">SUM(Z140:Z143)</f>
        <v>1</v>
      </c>
      <c r="AA144" s="43">
        <f t="shared" ref="AA144" si="43">SUM(AA140:AA143)</f>
        <v>1</v>
      </c>
      <c r="AB144" s="43">
        <f t="shared" ref="AB144" si="44">SUM(AB140:AB143)</f>
        <v>1</v>
      </c>
      <c r="AC144" s="43">
        <f t="shared" ref="AC144" si="45">SUM(AC140:AC143)</f>
        <v>1</v>
      </c>
      <c r="AD144" s="43">
        <f t="shared" ref="AD144" si="46">SUM(AD140:AD143)</f>
        <v>2</v>
      </c>
      <c r="AE144" s="43">
        <f t="shared" ref="AE144" si="47">SUM(AE140:AE143)</f>
        <v>1</v>
      </c>
      <c r="AF144" s="43">
        <f t="shared" ref="AF144" si="48">SUM(AF140:AF143)</f>
        <v>3</v>
      </c>
      <c r="AG144" s="43">
        <f t="shared" ref="AG144" si="49">SUM(AG140:AG143)</f>
        <v>0</v>
      </c>
      <c r="AH144" s="43">
        <f t="shared" ref="AH144" si="50">SUM(AH140:AH143)</f>
        <v>1</v>
      </c>
      <c r="AI144" s="43">
        <f>SUM(AI140:AI143)</f>
        <v>3</v>
      </c>
      <c r="AJ144" s="43">
        <f t="shared" ref="AJ144" si="51">SUM(AJ140:AJ143)</f>
        <v>4</v>
      </c>
      <c r="AK144" s="43">
        <f t="shared" ref="AK144" si="52">SUM(AK140:AK143)</f>
        <v>2</v>
      </c>
      <c r="AL144" s="37">
        <f>SUM(Z144:AK144)</f>
        <v>20</v>
      </c>
      <c r="AM144" s="37">
        <f>Y144-AL144</f>
        <v>-8</v>
      </c>
      <c r="AN144" s="119">
        <f>SUM(AN140:AN143)</f>
        <v>1</v>
      </c>
      <c r="AO144" s="119">
        <f>SUM(AO140:AO143)</f>
        <v>0</v>
      </c>
      <c r="AQ144" s="89"/>
      <c r="AR144" s="89"/>
    </row>
    <row r="145" spans="1:44" ht="18.75" customHeight="1" x14ac:dyDescent="0.55000000000000004">
      <c r="A145" s="162"/>
      <c r="B145" s="166"/>
      <c r="C145" s="37" t="s">
        <v>108</v>
      </c>
      <c r="D145" s="37"/>
      <c r="E145" s="37"/>
      <c r="F145" s="37"/>
      <c r="G145" s="37"/>
      <c r="H145" s="37"/>
      <c r="I145" s="87"/>
      <c r="J145" s="37"/>
      <c r="K145" s="37"/>
      <c r="L145" s="37"/>
      <c r="M145" s="37"/>
      <c r="N145" s="37"/>
      <c r="O145" s="37"/>
      <c r="P145" s="37"/>
      <c r="Q145" s="37"/>
      <c r="R145" s="37"/>
      <c r="S145" s="37"/>
      <c r="T145" s="37"/>
      <c r="U145" s="43"/>
      <c r="V145" s="43"/>
      <c r="W145" s="43"/>
      <c r="X145" s="87"/>
      <c r="Y145" s="43">
        <f>SUMPRODUCT(D140:D143,Y140:Y143)</f>
        <v>375000</v>
      </c>
      <c r="Z145" s="43">
        <f>SUMPRODUCT(D140:D143,Z140:Z143)</f>
        <v>30000</v>
      </c>
      <c r="AA145" s="43">
        <f>SUMPRODUCT(D140:D143,AA140:AA143)</f>
        <v>30000</v>
      </c>
      <c r="AB145" s="43">
        <f>SUMPRODUCT(D140:D143,AB140:AB143)</f>
        <v>30000</v>
      </c>
      <c r="AC145" s="43">
        <f>SUMPRODUCT(D140:D143,AC140:AC143)</f>
        <v>30000</v>
      </c>
      <c r="AD145" s="43">
        <f>SUMPRODUCT(D140:D143,AD140:AD143)</f>
        <v>0</v>
      </c>
      <c r="AE145" s="43">
        <f>SUMPRODUCT(D140:D143,AE140:AE143)</f>
        <v>30000</v>
      </c>
      <c r="AF145" s="43">
        <f>SUMPRODUCT(D140:D143,AF140:AF143)</f>
        <v>60000</v>
      </c>
      <c r="AG145" s="43">
        <f>SUMPRODUCT(D140:D143,AG140:AG143)</f>
        <v>0</v>
      </c>
      <c r="AH145" s="43">
        <f>SUMPRODUCT(D140:D143,AH140:AH143)</f>
        <v>15000</v>
      </c>
      <c r="AI145" s="43">
        <f>SUMPRODUCT(D140:D143,AI140:AI143)</f>
        <v>45000</v>
      </c>
      <c r="AJ145" s="43">
        <f>SUMPRODUCT(D140:D143,AJ140:AJ143)</f>
        <v>60000</v>
      </c>
      <c r="AK145" s="43">
        <f>SUMPRODUCT(D140:D143,AK140:AK143)</f>
        <v>0</v>
      </c>
      <c r="AL145" s="43">
        <f>SUMPRODUCT(D140:D143,AL140:AL143)</f>
        <v>330000</v>
      </c>
      <c r="AM145" s="43">
        <f>SUMPRODUCT(D140:D143,AM140:AM143)</f>
        <v>45000</v>
      </c>
      <c r="AN145" s="43">
        <f>SUMPRODUCT(D140:D143,AN140:AN143)</f>
        <v>45000</v>
      </c>
      <c r="AO145" s="43">
        <f>SUMPRODUCT(D140:D143,AO140:AO143)</f>
        <v>0</v>
      </c>
      <c r="AQ145" s="89"/>
      <c r="AR145" s="89"/>
    </row>
    <row r="146" spans="1:44" ht="18.75" customHeight="1" x14ac:dyDescent="0.55000000000000004">
      <c r="A146" s="163"/>
      <c r="B146" s="77" t="s">
        <v>11</v>
      </c>
      <c r="C146" s="77"/>
      <c r="D146" s="77"/>
      <c r="E146" s="77"/>
      <c r="F146" s="77"/>
      <c r="G146" s="77"/>
      <c r="H146" s="77"/>
      <c r="I146" s="77"/>
      <c r="J146" s="77"/>
      <c r="K146" s="77"/>
      <c r="L146" s="77"/>
      <c r="M146" s="77"/>
      <c r="N146" s="77"/>
      <c r="O146" s="77"/>
      <c r="P146" s="77"/>
      <c r="Q146" s="77"/>
      <c r="R146" s="77"/>
      <c r="S146" s="77"/>
      <c r="T146" s="77"/>
      <c r="U146" s="80"/>
      <c r="V146" s="80"/>
      <c r="W146" s="86"/>
      <c r="X146" s="77"/>
      <c r="Y146" s="80"/>
      <c r="Z146" s="77"/>
      <c r="AA146" s="77"/>
      <c r="AB146" s="77"/>
      <c r="AC146" s="77"/>
      <c r="AD146" s="77"/>
      <c r="AE146" s="77"/>
      <c r="AF146" s="77"/>
      <c r="AG146" s="77"/>
      <c r="AH146" s="77"/>
      <c r="AI146" s="77"/>
      <c r="AJ146" s="77"/>
      <c r="AK146" s="77"/>
      <c r="AL146" s="78">
        <f>SUM(Z146:AE146)</f>
        <v>0</v>
      </c>
      <c r="AM146" s="101">
        <f>SUM(AM144,AM138,AM132,AM125)</f>
        <v>-31</v>
      </c>
      <c r="AN146" s="120"/>
      <c r="AO146" s="120"/>
      <c r="AQ146" s="19"/>
      <c r="AR146" s="19"/>
    </row>
    <row r="147" spans="1:44" ht="18.75" customHeight="1" x14ac:dyDescent="0.55000000000000004">
      <c r="A147" s="161" t="s">
        <v>110</v>
      </c>
      <c r="B147" s="164" t="s">
        <v>19</v>
      </c>
      <c r="C147" s="6" t="s">
        <v>111</v>
      </c>
      <c r="D147" s="109">
        <v>355000</v>
      </c>
      <c r="E147" s="84"/>
      <c r="F147" s="84"/>
      <c r="G147" s="84"/>
      <c r="H147" s="84"/>
      <c r="I147" s="85"/>
      <c r="J147" s="84"/>
      <c r="K147" s="84"/>
      <c r="L147" s="84"/>
      <c r="M147" s="84"/>
      <c r="N147" s="84"/>
      <c r="O147" s="84"/>
      <c r="P147" s="84"/>
      <c r="Q147" s="84"/>
      <c r="R147" s="84"/>
      <c r="S147" s="84"/>
      <c r="T147" s="84"/>
      <c r="U147" s="86"/>
      <c r="V147" s="86">
        <f>SUM(J147:U147)</f>
        <v>0</v>
      </c>
      <c r="W147" s="86">
        <f>I147-V147</f>
        <v>0</v>
      </c>
      <c r="X147" s="85"/>
      <c r="Y147" s="51"/>
      <c r="Z147" s="6"/>
      <c r="AA147" s="6"/>
      <c r="AB147" s="6"/>
      <c r="AC147" s="6"/>
      <c r="AD147" s="6"/>
      <c r="AE147" s="6"/>
      <c r="AF147" s="6"/>
      <c r="AG147" s="6"/>
      <c r="AH147" s="6"/>
      <c r="AI147" s="6"/>
      <c r="AJ147" s="6"/>
      <c r="AK147" s="6"/>
      <c r="AL147" s="6">
        <f>SUM(Z147:AK147)</f>
        <v>0</v>
      </c>
      <c r="AM147" s="6">
        <f>Y147-AL147</f>
        <v>0</v>
      </c>
      <c r="AN147" s="130">
        <v>0</v>
      </c>
      <c r="AO147" s="130">
        <f>Y147-AL147-AN147</f>
        <v>0</v>
      </c>
      <c r="AQ147" s="158"/>
      <c r="AR147" s="158"/>
    </row>
    <row r="148" spans="1:44" ht="18.75" customHeight="1" x14ac:dyDescent="0.55000000000000004">
      <c r="A148" s="162"/>
      <c r="B148" s="165"/>
      <c r="C148" s="6" t="s">
        <v>112</v>
      </c>
      <c r="D148" s="109">
        <v>10000</v>
      </c>
      <c r="E148" s="84"/>
      <c r="F148" s="84"/>
      <c r="G148" s="84"/>
      <c r="H148" s="84"/>
      <c r="I148" s="85"/>
      <c r="J148" s="84"/>
      <c r="K148" s="84"/>
      <c r="L148" s="84"/>
      <c r="M148" s="84"/>
      <c r="N148" s="84"/>
      <c r="O148" s="84"/>
      <c r="P148" s="84"/>
      <c r="Q148" s="84"/>
      <c r="R148" s="84"/>
      <c r="S148" s="84"/>
      <c r="T148" s="84"/>
      <c r="U148" s="86"/>
      <c r="V148" s="86"/>
      <c r="W148" s="86"/>
      <c r="X148" s="85"/>
      <c r="Y148" s="51"/>
      <c r="Z148" s="6"/>
      <c r="AA148" s="6"/>
      <c r="AB148" s="6"/>
      <c r="AC148" s="6"/>
      <c r="AD148" s="6"/>
      <c r="AE148" s="6"/>
      <c r="AF148" s="6"/>
      <c r="AG148" s="6"/>
      <c r="AH148" s="6"/>
      <c r="AI148" s="6"/>
      <c r="AJ148" s="6"/>
      <c r="AK148" s="6">
        <v>1</v>
      </c>
      <c r="AL148" s="6">
        <f>SUM(Z148:AK148)</f>
        <v>1</v>
      </c>
      <c r="AM148" s="6">
        <f>Y148-AL148</f>
        <v>-1</v>
      </c>
      <c r="AN148" s="130">
        <v>0</v>
      </c>
      <c r="AO148" s="130">
        <v>0</v>
      </c>
      <c r="AQ148" s="158"/>
      <c r="AR148" s="158"/>
    </row>
    <row r="149" spans="1:44" ht="18.75" customHeight="1" x14ac:dyDescent="0.55000000000000004">
      <c r="A149" s="162"/>
      <c r="B149" s="165"/>
      <c r="C149" s="6" t="s">
        <v>113</v>
      </c>
      <c r="D149" s="109">
        <v>0</v>
      </c>
      <c r="E149" s="84"/>
      <c r="F149" s="84"/>
      <c r="G149" s="84"/>
      <c r="H149" s="84"/>
      <c r="I149" s="85"/>
      <c r="J149" s="84"/>
      <c r="K149" s="84"/>
      <c r="L149" s="84"/>
      <c r="M149" s="84"/>
      <c r="N149" s="84"/>
      <c r="O149" s="84"/>
      <c r="P149" s="84"/>
      <c r="Q149" s="84"/>
      <c r="R149" s="84"/>
      <c r="S149" s="84"/>
      <c r="T149" s="84"/>
      <c r="U149" s="86"/>
      <c r="V149" s="86">
        <f t="shared" ref="V149" si="53">SUM(J149:U149)</f>
        <v>0</v>
      </c>
      <c r="W149" s="86"/>
      <c r="X149" s="85"/>
      <c r="Y149" s="51"/>
      <c r="Z149" s="6"/>
      <c r="AA149" s="6"/>
      <c r="AB149" s="6"/>
      <c r="AC149" s="6"/>
      <c r="AD149" s="6"/>
      <c r="AE149" s="6"/>
      <c r="AF149" s="6"/>
      <c r="AG149" s="6"/>
      <c r="AH149" s="6"/>
      <c r="AI149" s="6"/>
      <c r="AJ149" s="6"/>
      <c r="AK149" s="6"/>
      <c r="AL149" s="6">
        <f t="shared" ref="AL149" si="54">SUM(Z149:AK149)</f>
        <v>0</v>
      </c>
      <c r="AM149" s="6">
        <f t="shared" ref="AM149:AM154" si="55">Y149-AL149</f>
        <v>0</v>
      </c>
      <c r="AN149" s="130">
        <v>0</v>
      </c>
      <c r="AO149" s="130">
        <f>Y149-AL149-AN149</f>
        <v>0</v>
      </c>
      <c r="AQ149" s="158"/>
      <c r="AR149" s="158"/>
    </row>
    <row r="150" spans="1:44" ht="18.75" customHeight="1" x14ac:dyDescent="0.55000000000000004">
      <c r="A150" s="162"/>
      <c r="B150" s="165"/>
      <c r="C150" s="37" t="s">
        <v>95</v>
      </c>
      <c r="D150" s="37"/>
      <c r="E150" s="37"/>
      <c r="F150" s="37"/>
      <c r="G150" s="37"/>
      <c r="H150" s="37"/>
      <c r="I150" s="87"/>
      <c r="J150" s="37"/>
      <c r="K150" s="37"/>
      <c r="L150" s="37"/>
      <c r="M150" s="37"/>
      <c r="N150" s="37"/>
      <c r="O150" s="37"/>
      <c r="P150" s="37"/>
      <c r="Q150" s="37"/>
      <c r="R150" s="37"/>
      <c r="S150" s="37"/>
      <c r="T150" s="37"/>
      <c r="U150" s="43"/>
      <c r="V150" s="43">
        <f t="shared" ref="V150:V155" si="56">SUM(J150:U150)</f>
        <v>0</v>
      </c>
      <c r="W150" s="43"/>
      <c r="X150" s="87"/>
      <c r="Y150" s="43">
        <f>SUM(Y147:Y149)</f>
        <v>0</v>
      </c>
      <c r="Z150" s="43">
        <f t="shared" ref="Z150" si="57">SUM(Z147:Z149)</f>
        <v>0</v>
      </c>
      <c r="AA150" s="43">
        <f t="shared" ref="AA150" si="58">SUM(AA147:AA149)</f>
        <v>0</v>
      </c>
      <c r="AB150" s="43">
        <f t="shared" ref="AB150" si="59">SUM(AB147:AB149)</f>
        <v>0</v>
      </c>
      <c r="AC150" s="43">
        <f t="shared" ref="AC150" si="60">SUM(AC147:AC149)</f>
        <v>0</v>
      </c>
      <c r="AD150" s="43">
        <f t="shared" ref="AD150" si="61">SUM(AD147:AD149)</f>
        <v>0</v>
      </c>
      <c r="AE150" s="43">
        <f t="shared" ref="AE150" si="62">SUM(AE147:AE149)</f>
        <v>0</v>
      </c>
      <c r="AF150" s="43">
        <f t="shared" ref="AF150" si="63">SUM(AF147:AF149)</f>
        <v>0</v>
      </c>
      <c r="AG150" s="43">
        <f t="shared" ref="AG150" si="64">SUM(AG147:AG149)</f>
        <v>0</v>
      </c>
      <c r="AH150" s="43">
        <f t="shared" ref="AH150" si="65">SUM(AH147:AH149)</f>
        <v>0</v>
      </c>
      <c r="AI150" s="43">
        <f t="shared" ref="AI150" si="66">SUM(AI147:AI149)</f>
        <v>0</v>
      </c>
      <c r="AJ150" s="43">
        <f t="shared" ref="AJ150" si="67">SUM(AJ147:AJ149)</f>
        <v>0</v>
      </c>
      <c r="AK150" s="43">
        <f t="shared" ref="AK150" si="68">SUM(AK147:AK149)</f>
        <v>1</v>
      </c>
      <c r="AL150" s="37">
        <f t="shared" ref="AL150:AL155" si="69">SUM(Z150:AK150)</f>
        <v>1</v>
      </c>
      <c r="AM150" s="37">
        <v>0</v>
      </c>
      <c r="AN150" s="119">
        <f>SUM(AN147:AN149)</f>
        <v>0</v>
      </c>
      <c r="AO150" s="119">
        <f>SUM(AO147:AO149)</f>
        <v>0</v>
      </c>
      <c r="AQ150" s="89"/>
      <c r="AR150" s="89"/>
    </row>
    <row r="151" spans="1:44" ht="18.75" customHeight="1" x14ac:dyDescent="0.55000000000000004">
      <c r="A151" s="162"/>
      <c r="B151" s="166"/>
      <c r="C151" s="37" t="s">
        <v>108</v>
      </c>
      <c r="D151" s="37"/>
      <c r="E151" s="37"/>
      <c r="F151" s="37"/>
      <c r="G151" s="37"/>
      <c r="H151" s="37"/>
      <c r="I151" s="87"/>
      <c r="J151" s="37"/>
      <c r="K151" s="37"/>
      <c r="L151" s="37"/>
      <c r="M151" s="37"/>
      <c r="N151" s="37"/>
      <c r="O151" s="37"/>
      <c r="P151" s="37"/>
      <c r="Q151" s="37"/>
      <c r="R151" s="37"/>
      <c r="S151" s="37"/>
      <c r="T151" s="37"/>
      <c r="U151" s="43"/>
      <c r="V151" s="43"/>
      <c r="W151" s="43"/>
      <c r="X151" s="87"/>
      <c r="Y151" s="43">
        <f>SUMPRODUCT(D147:D149,Y147:Y149)</f>
        <v>0</v>
      </c>
      <c r="Z151" s="43">
        <f>SUMPRODUCT(D147:D149,Z147:Z149)</f>
        <v>0</v>
      </c>
      <c r="AA151" s="43">
        <f>SUMPRODUCT(D147:D149,AA147:AA149)</f>
        <v>0</v>
      </c>
      <c r="AB151" s="43">
        <f>SUMPRODUCT(D147:D149,AB147:AB149)</f>
        <v>0</v>
      </c>
      <c r="AC151" s="43">
        <f>SUMPRODUCT(D147:D149,AC147:AC149)</f>
        <v>0</v>
      </c>
      <c r="AD151" s="43">
        <f t="shared" ref="AD151:AI151" si="70">SUMPRODUCT(I147:I149,AD147:AD149)</f>
        <v>0</v>
      </c>
      <c r="AE151" s="43">
        <f t="shared" si="70"/>
        <v>0</v>
      </c>
      <c r="AF151" s="43">
        <f>SUMPRODUCT(D147:D149,AF147:AF149)</f>
        <v>0</v>
      </c>
      <c r="AG151" s="43">
        <f>SUMPRODUCT(D147:D149,AG147:AG149)</f>
        <v>0</v>
      </c>
      <c r="AH151" s="43">
        <f>SUMPRODUCT(D147:D149,AH147:AH149)</f>
        <v>0</v>
      </c>
      <c r="AI151" s="43">
        <f t="shared" si="70"/>
        <v>0</v>
      </c>
      <c r="AJ151" s="43">
        <f>SUMPRODUCT(D147:D149,AJ147:AJ149)</f>
        <v>0</v>
      </c>
      <c r="AK151" s="43">
        <f>SUMPRODUCT(D147:D149,AK147:AK149)</f>
        <v>10000</v>
      </c>
      <c r="AL151" s="43">
        <f>SUMPRODUCT(D147:D149,AL147:AL149)</f>
        <v>10000</v>
      </c>
      <c r="AM151" s="43">
        <f>SUMPRODUCT(D147:D149,AM147:AM149)</f>
        <v>-10000</v>
      </c>
      <c r="AN151" s="43">
        <f>SUMPRODUCT(D147:D149,AN147:AN149)</f>
        <v>0</v>
      </c>
      <c r="AO151" s="43">
        <f>SUMPRODUCT(D147:D149,AO147:AO149)</f>
        <v>0</v>
      </c>
      <c r="AQ151" s="89"/>
      <c r="AR151" s="89"/>
    </row>
    <row r="152" spans="1:44" ht="18.75" customHeight="1" x14ac:dyDescent="0.55000000000000004">
      <c r="A152" s="162"/>
      <c r="B152" s="164" t="s">
        <v>20</v>
      </c>
      <c r="C152" s="6" t="s">
        <v>111</v>
      </c>
      <c r="D152" s="109">
        <v>355000</v>
      </c>
      <c r="E152" s="84"/>
      <c r="F152" s="84"/>
      <c r="G152" s="84"/>
      <c r="H152" s="84"/>
      <c r="I152" s="85"/>
      <c r="J152" s="84"/>
      <c r="K152" s="84"/>
      <c r="L152" s="84"/>
      <c r="M152" s="84"/>
      <c r="N152" s="84"/>
      <c r="O152" s="84"/>
      <c r="P152" s="84"/>
      <c r="Q152" s="84"/>
      <c r="R152" s="84"/>
      <c r="S152" s="84"/>
      <c r="T152" s="84"/>
      <c r="U152" s="86"/>
      <c r="V152" s="86">
        <f t="shared" si="56"/>
        <v>0</v>
      </c>
      <c r="W152" s="86">
        <f>I152-V152</f>
        <v>0</v>
      </c>
      <c r="X152" s="85"/>
      <c r="Y152" s="51">
        <v>4</v>
      </c>
      <c r="Z152" s="6"/>
      <c r="AA152" s="6"/>
      <c r="AB152" s="6"/>
      <c r="AC152" s="6"/>
      <c r="AD152" s="83"/>
      <c r="AE152" s="75"/>
      <c r="AF152" s="75"/>
      <c r="AG152" s="75"/>
      <c r="AH152" s="75"/>
      <c r="AI152" s="75"/>
      <c r="AJ152" s="75"/>
      <c r="AK152" s="6">
        <v>1</v>
      </c>
      <c r="AL152" s="6">
        <f>SUM(Z152:AK152)</f>
        <v>1</v>
      </c>
      <c r="AM152" s="6">
        <f>Y152-AL152</f>
        <v>3</v>
      </c>
      <c r="AN152" s="130">
        <v>3</v>
      </c>
      <c r="AO152" s="130">
        <f>Y152-AL152-AN152</f>
        <v>0</v>
      </c>
      <c r="AQ152" s="158"/>
      <c r="AR152" s="158"/>
    </row>
    <row r="153" spans="1:44" ht="18.75" customHeight="1" x14ac:dyDescent="0.55000000000000004">
      <c r="A153" s="162"/>
      <c r="B153" s="165"/>
      <c r="C153" s="6" t="s">
        <v>112</v>
      </c>
      <c r="D153" s="109">
        <v>10000</v>
      </c>
      <c r="E153" s="84"/>
      <c r="F153" s="84"/>
      <c r="G153" s="84"/>
      <c r="H153" s="84"/>
      <c r="I153" s="85"/>
      <c r="J153" s="84"/>
      <c r="K153" s="84"/>
      <c r="L153" s="84"/>
      <c r="M153" s="84"/>
      <c r="N153" s="84"/>
      <c r="O153" s="84"/>
      <c r="P153" s="84"/>
      <c r="Q153" s="84"/>
      <c r="R153" s="84"/>
      <c r="S153" s="84"/>
      <c r="T153" s="84"/>
      <c r="U153" s="86"/>
      <c r="V153" s="86"/>
      <c r="W153" s="86"/>
      <c r="X153" s="85"/>
      <c r="Y153" s="51">
        <v>9</v>
      </c>
      <c r="Z153" s="6"/>
      <c r="AA153" s="6"/>
      <c r="AB153" s="6"/>
      <c r="AC153" s="6"/>
      <c r="AD153" s="102"/>
      <c r="AE153" s="75"/>
      <c r="AF153" s="6">
        <v>6</v>
      </c>
      <c r="AG153" s="6">
        <v>1</v>
      </c>
      <c r="AH153" s="51">
        <v>1</v>
      </c>
      <c r="AI153" s="6">
        <v>1</v>
      </c>
      <c r="AJ153" s="75"/>
      <c r="AK153" s="75"/>
      <c r="AL153" s="6">
        <f>SUM(Z153:AK153)</f>
        <v>9</v>
      </c>
      <c r="AM153" s="6">
        <f>Y153-AL153</f>
        <v>0</v>
      </c>
      <c r="AN153" s="130">
        <v>0</v>
      </c>
      <c r="AO153" s="130">
        <f t="shared" ref="AO153" si="71">Y153-AL153-AN153</f>
        <v>0</v>
      </c>
      <c r="AQ153" s="158"/>
      <c r="AR153" s="158"/>
    </row>
    <row r="154" spans="1:44" ht="18.75" customHeight="1" x14ac:dyDescent="0.55000000000000004">
      <c r="A154" s="162"/>
      <c r="B154" s="165"/>
      <c r="C154" s="6" t="s">
        <v>113</v>
      </c>
      <c r="D154" s="109">
        <v>0</v>
      </c>
      <c r="E154" s="84"/>
      <c r="F154" s="84"/>
      <c r="G154" s="84"/>
      <c r="H154" s="84"/>
      <c r="I154" s="85"/>
      <c r="J154" s="84"/>
      <c r="K154" s="84"/>
      <c r="L154" s="84"/>
      <c r="M154" s="84"/>
      <c r="N154" s="84"/>
      <c r="O154" s="84"/>
      <c r="P154" s="84"/>
      <c r="Q154" s="84"/>
      <c r="R154" s="84"/>
      <c r="S154" s="84"/>
      <c r="T154" s="84"/>
      <c r="U154" s="86"/>
      <c r="V154" s="86">
        <f t="shared" ref="V154" si="72">SUM(J154:U154)</f>
        <v>0</v>
      </c>
      <c r="W154" s="86"/>
      <c r="X154" s="85"/>
      <c r="Y154" s="51">
        <v>0</v>
      </c>
      <c r="Z154" s="6"/>
      <c r="AA154" s="6"/>
      <c r="AB154" s="6"/>
      <c r="AC154" s="6"/>
      <c r="AD154" s="63"/>
      <c r="AE154" s="63"/>
      <c r="AF154" s="63"/>
      <c r="AG154" s="75"/>
      <c r="AH154" s="75"/>
      <c r="AI154" s="75"/>
      <c r="AJ154" s="75"/>
      <c r="AK154" s="75"/>
      <c r="AL154" s="6">
        <f t="shared" ref="AL154" si="73">SUM(Z154:AK154)</f>
        <v>0</v>
      </c>
      <c r="AM154" s="6">
        <f t="shared" si="55"/>
        <v>0</v>
      </c>
      <c r="AN154" s="130">
        <v>0</v>
      </c>
      <c r="AO154" s="130">
        <f>Y154-AL154-AN154</f>
        <v>0</v>
      </c>
      <c r="AQ154" s="158"/>
      <c r="AR154" s="158"/>
    </row>
    <row r="155" spans="1:44" ht="18.75" customHeight="1" x14ac:dyDescent="0.55000000000000004">
      <c r="A155" s="162"/>
      <c r="B155" s="165"/>
      <c r="C155" s="37" t="s">
        <v>95</v>
      </c>
      <c r="D155" s="37"/>
      <c r="E155" s="37"/>
      <c r="F155" s="37"/>
      <c r="G155" s="37"/>
      <c r="H155" s="37"/>
      <c r="I155" s="87"/>
      <c r="J155" s="37"/>
      <c r="K155" s="37"/>
      <c r="L155" s="37"/>
      <c r="M155" s="37"/>
      <c r="N155" s="37"/>
      <c r="O155" s="37"/>
      <c r="P155" s="37"/>
      <c r="Q155" s="37"/>
      <c r="R155" s="37"/>
      <c r="S155" s="37"/>
      <c r="T155" s="37"/>
      <c r="U155" s="43"/>
      <c r="V155" s="43">
        <f t="shared" si="56"/>
        <v>0</v>
      </c>
      <c r="W155" s="43"/>
      <c r="X155" s="87"/>
      <c r="Y155" s="43">
        <f>SUM(Y152:Y154)</f>
        <v>13</v>
      </c>
      <c r="Z155" s="43">
        <f>SUM(Z152:Z154)</f>
        <v>0</v>
      </c>
      <c r="AA155" s="43">
        <f t="shared" ref="AA155:AK155" si="74">SUM(AA152:AA154)</f>
        <v>0</v>
      </c>
      <c r="AB155" s="43">
        <f t="shared" si="74"/>
        <v>0</v>
      </c>
      <c r="AC155" s="43">
        <f t="shared" si="74"/>
        <v>0</v>
      </c>
      <c r="AD155" s="43">
        <f t="shared" si="74"/>
        <v>0</v>
      </c>
      <c r="AE155" s="43">
        <f t="shared" si="74"/>
        <v>0</v>
      </c>
      <c r="AF155" s="43">
        <f t="shared" si="74"/>
        <v>6</v>
      </c>
      <c r="AG155" s="43">
        <f t="shared" si="74"/>
        <v>1</v>
      </c>
      <c r="AH155" s="43">
        <f t="shared" si="74"/>
        <v>1</v>
      </c>
      <c r="AI155" s="43">
        <f t="shared" si="74"/>
        <v>1</v>
      </c>
      <c r="AJ155" s="43">
        <f t="shared" si="74"/>
        <v>0</v>
      </c>
      <c r="AK155" s="43">
        <f t="shared" si="74"/>
        <v>1</v>
      </c>
      <c r="AL155" s="37">
        <f t="shared" si="69"/>
        <v>10</v>
      </c>
      <c r="AM155" s="37">
        <f>Y155-AL155</f>
        <v>3</v>
      </c>
      <c r="AN155" s="119">
        <f>SUM(AN152:AN154)</f>
        <v>3</v>
      </c>
      <c r="AO155" s="119">
        <f>SUM(AO152:AO154)</f>
        <v>0</v>
      </c>
      <c r="AQ155" s="89"/>
      <c r="AR155" s="89"/>
    </row>
    <row r="156" spans="1:44" ht="18.75" customHeight="1" x14ac:dyDescent="0.55000000000000004">
      <c r="A156" s="162"/>
      <c r="B156" s="166"/>
      <c r="C156" s="37" t="s">
        <v>108</v>
      </c>
      <c r="D156" s="37"/>
      <c r="E156" s="37"/>
      <c r="F156" s="37"/>
      <c r="G156" s="37"/>
      <c r="H156" s="37"/>
      <c r="I156" s="87"/>
      <c r="J156" s="37"/>
      <c r="K156" s="37"/>
      <c r="L156" s="37"/>
      <c r="M156" s="37"/>
      <c r="N156" s="37"/>
      <c r="O156" s="37"/>
      <c r="P156" s="37"/>
      <c r="Q156" s="37"/>
      <c r="R156" s="37"/>
      <c r="S156" s="37"/>
      <c r="T156" s="37"/>
      <c r="U156" s="43"/>
      <c r="V156" s="43"/>
      <c r="W156" s="43"/>
      <c r="X156" s="87"/>
      <c r="Y156" s="43">
        <f>SUMPRODUCT(D152:D154,Y152:Y154)</f>
        <v>1510000</v>
      </c>
      <c r="Z156" s="43">
        <f>SUMPRODUCT(D152:D154,Z152:Z154)</f>
        <v>0</v>
      </c>
      <c r="AA156" s="43">
        <f>SUMPRODUCT(D152:D154,AA152:AA154)</f>
        <v>0</v>
      </c>
      <c r="AB156" s="43">
        <f>SUMPRODUCT(D152:D154,AB152:AB154)</f>
        <v>0</v>
      </c>
      <c r="AC156" s="43">
        <f>SUMPRODUCT(D152:D154,AC152:AC154)</f>
        <v>0</v>
      </c>
      <c r="AD156" s="43">
        <f>SUMPRODUCT(D152:D154,AD152:AD154)</f>
        <v>0</v>
      </c>
      <c r="AE156" s="43">
        <f>SUMPRODUCT(D152:D154,AE152:AE154)</f>
        <v>0</v>
      </c>
      <c r="AF156" s="43">
        <f>SUMPRODUCT(D152:D154,AF152:AF154)</f>
        <v>60000</v>
      </c>
      <c r="AG156" s="43">
        <f>SUMPRODUCT(D152:D154,AG152:AG154)</f>
        <v>10000</v>
      </c>
      <c r="AH156" s="43">
        <f>SUMPRODUCT(D152:D154,AH152:AH154)</f>
        <v>10000</v>
      </c>
      <c r="AI156" s="43">
        <f>SUMPRODUCT(D152:D154,AI152:AI154)</f>
        <v>10000</v>
      </c>
      <c r="AJ156" s="43">
        <f>SUMPRODUCT(D152:D154,AJ152:AJ154)</f>
        <v>0</v>
      </c>
      <c r="AK156" s="43">
        <f>SUMPRODUCT(D152:D154,AK152:AK154)</f>
        <v>355000</v>
      </c>
      <c r="AL156" s="43">
        <f>SUMPRODUCT(D152:D154,AL152:AL154)</f>
        <v>445000</v>
      </c>
      <c r="AM156" s="43">
        <f>SUMPRODUCT(D152:D154,AM152:AM154)</f>
        <v>1065000</v>
      </c>
      <c r="AN156" s="43">
        <f>SUMPRODUCT(D152:D154,AN152:AN154)</f>
        <v>1065000</v>
      </c>
      <c r="AO156" s="43">
        <f>SUMPRODUCT(D152:D154,AO152:AO154)</f>
        <v>0</v>
      </c>
      <c r="AQ156" s="89"/>
      <c r="AR156" s="89"/>
    </row>
    <row r="157" spans="1:44" ht="18.75" customHeight="1" x14ac:dyDescent="0.55000000000000004">
      <c r="A157" s="162"/>
      <c r="B157" s="164" t="s">
        <v>21</v>
      </c>
      <c r="C157" s="6" t="s">
        <v>111</v>
      </c>
      <c r="D157" s="109">
        <v>355000</v>
      </c>
      <c r="E157" s="84"/>
      <c r="F157" s="84"/>
      <c r="G157" s="84"/>
      <c r="H157" s="84"/>
      <c r="I157" s="85"/>
      <c r="J157" s="84"/>
      <c r="K157" s="84"/>
      <c r="L157" s="84"/>
      <c r="M157" s="84"/>
      <c r="N157" s="84"/>
      <c r="O157" s="84"/>
      <c r="P157" s="84"/>
      <c r="Q157" s="84"/>
      <c r="R157" s="84"/>
      <c r="S157" s="84"/>
      <c r="T157" s="84"/>
      <c r="U157" s="86"/>
      <c r="V157" s="86">
        <f>SUM(J157:U157)</f>
        <v>0</v>
      </c>
      <c r="W157" s="86">
        <f t="shared" ref="W157" si="75">I157-V157</f>
        <v>0</v>
      </c>
      <c r="X157" s="85"/>
      <c r="Y157" s="51">
        <v>4</v>
      </c>
      <c r="Z157" s="6"/>
      <c r="AA157" s="6"/>
      <c r="AB157" s="6"/>
      <c r="AC157" s="6"/>
      <c r="AD157" s="63"/>
      <c r="AE157" s="63"/>
      <c r="AF157" s="63"/>
      <c r="AG157" s="6"/>
      <c r="AH157" s="6"/>
      <c r="AI157" s="6">
        <v>1</v>
      </c>
      <c r="AJ157" s="6">
        <v>1</v>
      </c>
      <c r="AK157" s="6"/>
      <c r="AL157" s="6">
        <f>SUM(Z157:AK157)</f>
        <v>2</v>
      </c>
      <c r="AM157" s="6">
        <f>Y157-AL157</f>
        <v>2</v>
      </c>
      <c r="AN157" s="130">
        <v>2</v>
      </c>
      <c r="AO157" s="130">
        <f>Y157-AL157-AN157</f>
        <v>0</v>
      </c>
      <c r="AQ157" s="158"/>
      <c r="AR157" s="158"/>
    </row>
    <row r="158" spans="1:44" ht="18.75" customHeight="1" x14ac:dyDescent="0.55000000000000004">
      <c r="A158" s="162"/>
      <c r="B158" s="165"/>
      <c r="C158" s="6" t="s">
        <v>112</v>
      </c>
      <c r="D158" s="109">
        <v>10000</v>
      </c>
      <c r="E158" s="84"/>
      <c r="F158" s="84"/>
      <c r="G158" s="84"/>
      <c r="H158" s="84"/>
      <c r="I158" s="85"/>
      <c r="J158" s="84"/>
      <c r="K158" s="84"/>
      <c r="L158" s="84"/>
      <c r="M158" s="84"/>
      <c r="N158" s="84"/>
      <c r="O158" s="84"/>
      <c r="P158" s="84"/>
      <c r="Q158" s="84"/>
      <c r="R158" s="84"/>
      <c r="S158" s="84"/>
      <c r="T158" s="84"/>
      <c r="U158" s="86"/>
      <c r="V158" s="86"/>
      <c r="W158" s="86"/>
      <c r="X158" s="85"/>
      <c r="Y158" s="51">
        <v>5</v>
      </c>
      <c r="Z158" s="6"/>
      <c r="AA158" s="6">
        <v>1</v>
      </c>
      <c r="AB158" s="6">
        <v>2</v>
      </c>
      <c r="AC158" s="6">
        <v>1</v>
      </c>
      <c r="AD158" s="103">
        <v>1</v>
      </c>
      <c r="AE158" s="63"/>
      <c r="AF158" s="63"/>
      <c r="AG158" s="6"/>
      <c r="AH158" s="6"/>
      <c r="AI158" s="6"/>
      <c r="AJ158" s="6"/>
      <c r="AK158" s="6"/>
      <c r="AL158" s="6">
        <f>SUM(Z158:AK158)</f>
        <v>5</v>
      </c>
      <c r="AM158" s="6">
        <f>Y158-AL158</f>
        <v>0</v>
      </c>
      <c r="AN158" s="130">
        <v>0</v>
      </c>
      <c r="AO158" s="130">
        <f>Y158-AL158-AN158</f>
        <v>0</v>
      </c>
      <c r="AQ158" s="158"/>
      <c r="AR158" s="158"/>
    </row>
    <row r="159" spans="1:44" ht="18.75" customHeight="1" x14ac:dyDescent="0.55000000000000004">
      <c r="A159" s="162"/>
      <c r="B159" s="165"/>
      <c r="C159" s="6" t="s">
        <v>113</v>
      </c>
      <c r="D159" s="109">
        <v>0</v>
      </c>
      <c r="E159" s="84"/>
      <c r="F159" s="84"/>
      <c r="G159" s="84"/>
      <c r="H159" s="84"/>
      <c r="I159" s="85"/>
      <c r="J159" s="84"/>
      <c r="K159" s="84"/>
      <c r="L159" s="84"/>
      <c r="M159" s="84"/>
      <c r="N159" s="84"/>
      <c r="O159" s="84"/>
      <c r="P159" s="84"/>
      <c r="Q159" s="84"/>
      <c r="R159" s="84"/>
      <c r="S159" s="84"/>
      <c r="T159" s="84"/>
      <c r="U159" s="86"/>
      <c r="V159" s="86">
        <f t="shared" ref="V159" si="76">SUM(J159:U159)</f>
        <v>0</v>
      </c>
      <c r="W159" s="86"/>
      <c r="X159" s="85"/>
      <c r="Y159" s="51">
        <v>11</v>
      </c>
      <c r="Z159" s="6"/>
      <c r="AA159" s="6"/>
      <c r="AB159" s="6"/>
      <c r="AC159" s="6"/>
      <c r="AD159" s="63"/>
      <c r="AE159" s="63"/>
      <c r="AF159" s="63"/>
      <c r="AG159" s="6">
        <v>3</v>
      </c>
      <c r="AH159" s="6">
        <v>5</v>
      </c>
      <c r="AI159" s="6">
        <v>3</v>
      </c>
      <c r="AJ159" s="6"/>
      <c r="AK159" s="6"/>
      <c r="AL159" s="6">
        <f t="shared" ref="AL159" si="77">SUM(Z159:AK159)</f>
        <v>11</v>
      </c>
      <c r="AM159" s="6">
        <f>Y159-AL159</f>
        <v>0</v>
      </c>
      <c r="AN159" s="130">
        <v>0</v>
      </c>
      <c r="AO159" s="130">
        <f>Y159-AL159-AN159</f>
        <v>0</v>
      </c>
      <c r="AQ159" s="158"/>
      <c r="AR159" s="158"/>
    </row>
    <row r="160" spans="1:44" ht="18.75" customHeight="1" x14ac:dyDescent="0.55000000000000004">
      <c r="A160" s="162"/>
      <c r="B160" s="165"/>
      <c r="C160" s="37" t="s">
        <v>95</v>
      </c>
      <c r="D160" s="37"/>
      <c r="E160" s="37"/>
      <c r="F160" s="37"/>
      <c r="G160" s="37"/>
      <c r="H160" s="37"/>
      <c r="I160" s="87"/>
      <c r="J160" s="37"/>
      <c r="K160" s="37"/>
      <c r="L160" s="37"/>
      <c r="M160" s="37"/>
      <c r="N160" s="37"/>
      <c r="O160" s="37"/>
      <c r="P160" s="37"/>
      <c r="Q160" s="37"/>
      <c r="R160" s="37"/>
      <c r="S160" s="37"/>
      <c r="T160" s="37"/>
      <c r="U160" s="43"/>
      <c r="V160" s="43">
        <f>SUM(J160:U160)</f>
        <v>0</v>
      </c>
      <c r="W160" s="43"/>
      <c r="X160" s="87"/>
      <c r="Y160" s="43">
        <f>SUM(Y157:Y159)</f>
        <v>20</v>
      </c>
      <c r="Z160" s="43">
        <f>SUM(Z157:Z159)</f>
        <v>0</v>
      </c>
      <c r="AA160" s="43">
        <f>SUM(AA157:AA159)</f>
        <v>1</v>
      </c>
      <c r="AB160" s="43">
        <f t="shared" ref="AB160:AK160" si="78">SUM(AB157:AB159)</f>
        <v>2</v>
      </c>
      <c r="AC160" s="43">
        <f t="shared" si="78"/>
        <v>1</v>
      </c>
      <c r="AD160" s="43">
        <f t="shared" si="78"/>
        <v>1</v>
      </c>
      <c r="AE160" s="43">
        <f t="shared" si="78"/>
        <v>0</v>
      </c>
      <c r="AF160" s="43">
        <f t="shared" si="78"/>
        <v>0</v>
      </c>
      <c r="AG160" s="43">
        <f t="shared" si="78"/>
        <v>3</v>
      </c>
      <c r="AH160" s="43">
        <f t="shared" si="78"/>
        <v>5</v>
      </c>
      <c r="AI160" s="43">
        <f t="shared" si="78"/>
        <v>4</v>
      </c>
      <c r="AJ160" s="43">
        <f t="shared" si="78"/>
        <v>1</v>
      </c>
      <c r="AK160" s="43">
        <f t="shared" si="78"/>
        <v>0</v>
      </c>
      <c r="AL160" s="37">
        <f>SUM(Z160:AK160)</f>
        <v>18</v>
      </c>
      <c r="AM160" s="37">
        <f>Y160-AL160</f>
        <v>2</v>
      </c>
      <c r="AN160" s="119">
        <f>SUM(AN157:AN159)</f>
        <v>2</v>
      </c>
      <c r="AO160" s="119">
        <f>SUM(AO157:AO159)</f>
        <v>0</v>
      </c>
      <c r="AQ160" s="89"/>
      <c r="AR160" s="89"/>
    </row>
    <row r="161" spans="1:44" ht="18.75" customHeight="1" x14ac:dyDescent="0.55000000000000004">
      <c r="A161" s="162"/>
      <c r="B161" s="166"/>
      <c r="C161" s="37" t="s">
        <v>108</v>
      </c>
      <c r="D161" s="37"/>
      <c r="E161" s="37"/>
      <c r="F161" s="37"/>
      <c r="G161" s="37"/>
      <c r="H161" s="37"/>
      <c r="I161" s="87"/>
      <c r="J161" s="37"/>
      <c r="K161" s="37"/>
      <c r="L161" s="37"/>
      <c r="M161" s="37"/>
      <c r="N161" s="37"/>
      <c r="O161" s="37"/>
      <c r="P161" s="37"/>
      <c r="Q161" s="37"/>
      <c r="R161" s="37"/>
      <c r="S161" s="37"/>
      <c r="T161" s="37"/>
      <c r="U161" s="43"/>
      <c r="V161" s="43"/>
      <c r="W161" s="43"/>
      <c r="X161" s="87"/>
      <c r="Y161" s="43">
        <f>SUMPRODUCT(D157:D159,Y157:Y159)</f>
        <v>1470000</v>
      </c>
      <c r="Z161" s="43">
        <f>SUMPRODUCT(D157:D159,Z157:Z159)</f>
        <v>0</v>
      </c>
      <c r="AA161" s="43">
        <f>SUMPRODUCT(D157:D159,AA157:AA159)</f>
        <v>10000</v>
      </c>
      <c r="AB161" s="43">
        <f>SUMPRODUCT(D157:D159,AB157:AB159)</f>
        <v>20000</v>
      </c>
      <c r="AC161" s="43">
        <f>SUMPRODUCT(D157:D159,AC157:AC159)</f>
        <v>10000</v>
      </c>
      <c r="AD161" s="43">
        <f>SUMPRODUCT(D157:D159,AD157:AD159)</f>
        <v>10000</v>
      </c>
      <c r="AE161" s="43">
        <f>SUMPRODUCT(E157:E159,AE157:AE159)</f>
        <v>0</v>
      </c>
      <c r="AF161" s="43">
        <f>SUMPRODUCT(D157:D159,AF157:AF159)</f>
        <v>0</v>
      </c>
      <c r="AG161" s="43">
        <f>SUMPRODUCT(D157:D159,AG157:AG159)</f>
        <v>0</v>
      </c>
      <c r="AH161" s="43">
        <f>SUMPRODUCT(D157:D159,AH157:AH159)</f>
        <v>0</v>
      </c>
      <c r="AI161" s="43">
        <f>SUMPRODUCT(D157:D159,AI157:AI159)</f>
        <v>355000</v>
      </c>
      <c r="AJ161" s="43">
        <f>SUMPRODUCT(D157:D159,AJ157:AJ159)</f>
        <v>355000</v>
      </c>
      <c r="AK161" s="43">
        <f>SUMPRODUCT(D157:D159,AK157:AK159)</f>
        <v>0</v>
      </c>
      <c r="AL161" s="43">
        <f>SUMPRODUCT(D157:D159,AL157:AL159)</f>
        <v>760000</v>
      </c>
      <c r="AM161" s="43">
        <f>SUMPRODUCT(D157:D159,AM157:AM159)</f>
        <v>710000</v>
      </c>
      <c r="AN161" s="43">
        <f>SUMPRODUCT(D157:D159,AN157:AN159)</f>
        <v>710000</v>
      </c>
      <c r="AO161" s="43">
        <f>SUMPRODUCT(D157:D159,AO157:AO159)</f>
        <v>0</v>
      </c>
      <c r="AQ161" s="89"/>
      <c r="AR161" s="89"/>
    </row>
    <row r="162" spans="1:44" ht="18.75" customHeight="1" x14ac:dyDescent="0.55000000000000004">
      <c r="A162" s="162"/>
      <c r="B162" s="164" t="s">
        <v>22</v>
      </c>
      <c r="C162" s="6" t="s">
        <v>111</v>
      </c>
      <c r="D162" s="109">
        <v>355000</v>
      </c>
      <c r="E162" s="84"/>
      <c r="F162" s="84"/>
      <c r="G162" s="84"/>
      <c r="H162" s="84"/>
      <c r="I162" s="85"/>
      <c r="J162" s="84"/>
      <c r="K162" s="84"/>
      <c r="L162" s="84"/>
      <c r="M162" s="84"/>
      <c r="N162" s="84"/>
      <c r="O162" s="84"/>
      <c r="P162" s="84"/>
      <c r="Q162" s="84"/>
      <c r="R162" s="84"/>
      <c r="S162" s="84"/>
      <c r="T162" s="84"/>
      <c r="U162" s="86"/>
      <c r="V162" s="86">
        <f>SUM(J162:U162)</f>
        <v>0</v>
      </c>
      <c r="W162" s="86">
        <f t="shared" ref="W162" si="79">I162-V162</f>
        <v>0</v>
      </c>
      <c r="X162" s="85"/>
      <c r="Y162" s="51"/>
      <c r="Z162" s="6"/>
      <c r="AA162" s="6"/>
      <c r="AB162" s="6"/>
      <c r="AC162" s="6"/>
      <c r="AD162" s="6"/>
      <c r="AE162" s="6"/>
      <c r="AF162" s="6"/>
      <c r="AG162" s="6"/>
      <c r="AH162" s="6"/>
      <c r="AI162" s="6"/>
      <c r="AJ162" s="6"/>
      <c r="AK162" s="6"/>
      <c r="AL162" s="6">
        <f>SUM(Z162:AK162)</f>
        <v>0</v>
      </c>
      <c r="AM162" s="6">
        <f>Y162-AL162</f>
        <v>0</v>
      </c>
      <c r="AN162" s="130">
        <v>0</v>
      </c>
      <c r="AO162" s="130">
        <f>Y162-AL162-AN162</f>
        <v>0</v>
      </c>
      <c r="AQ162" s="158"/>
      <c r="AR162" s="158"/>
    </row>
    <row r="163" spans="1:44" ht="18.75" customHeight="1" x14ac:dyDescent="0.55000000000000004">
      <c r="A163" s="162"/>
      <c r="B163" s="165"/>
      <c r="C163" s="6" t="s">
        <v>113</v>
      </c>
      <c r="D163" s="109">
        <v>0</v>
      </c>
      <c r="E163" s="84"/>
      <c r="F163" s="84"/>
      <c r="G163" s="84"/>
      <c r="H163" s="84"/>
      <c r="I163" s="85"/>
      <c r="J163" s="84"/>
      <c r="K163" s="84"/>
      <c r="L163" s="84"/>
      <c r="M163" s="84"/>
      <c r="N163" s="84"/>
      <c r="O163" s="84"/>
      <c r="P163" s="84"/>
      <c r="Q163" s="84"/>
      <c r="R163" s="84"/>
      <c r="S163" s="84"/>
      <c r="T163" s="84"/>
      <c r="U163" s="86"/>
      <c r="V163" s="86">
        <f t="shared" ref="V163" si="80">SUM(J163:U163)</f>
        <v>0</v>
      </c>
      <c r="W163" s="86"/>
      <c r="X163" s="85"/>
      <c r="Y163" s="51">
        <v>2</v>
      </c>
      <c r="Z163" s="6"/>
      <c r="AA163" s="6"/>
      <c r="AB163" s="6"/>
      <c r="AC163" s="6"/>
      <c r="AD163" s="6"/>
      <c r="AE163" s="6"/>
      <c r="AF163" s="6"/>
      <c r="AG163" s="6"/>
      <c r="AH163" s="6"/>
      <c r="AI163" s="6">
        <v>1</v>
      </c>
      <c r="AJ163" s="6"/>
      <c r="AK163" s="6"/>
      <c r="AL163" s="6">
        <f t="shared" ref="AL163" si="81">SUM(Z163:AK163)</f>
        <v>1</v>
      </c>
      <c r="AM163" s="6">
        <f>Y163-AL163</f>
        <v>1</v>
      </c>
      <c r="AN163" s="130">
        <v>0</v>
      </c>
      <c r="AO163" s="130">
        <f>Y163-AL163-AN163</f>
        <v>1</v>
      </c>
      <c r="AQ163" s="158"/>
      <c r="AR163" s="158"/>
    </row>
    <row r="164" spans="1:44" ht="18.75" customHeight="1" x14ac:dyDescent="0.55000000000000004">
      <c r="A164" s="162"/>
      <c r="B164" s="165"/>
      <c r="C164" s="37" t="s">
        <v>95</v>
      </c>
      <c r="D164" s="37"/>
      <c r="E164" s="37"/>
      <c r="F164" s="37"/>
      <c r="G164" s="37"/>
      <c r="H164" s="37"/>
      <c r="I164" s="87"/>
      <c r="J164" s="37"/>
      <c r="K164" s="37"/>
      <c r="L164" s="37"/>
      <c r="M164" s="37"/>
      <c r="N164" s="37"/>
      <c r="O164" s="37"/>
      <c r="P164" s="37"/>
      <c r="Q164" s="37"/>
      <c r="R164" s="37"/>
      <c r="S164" s="37"/>
      <c r="T164" s="37"/>
      <c r="U164" s="43"/>
      <c r="V164" s="43">
        <f>SUM(J164:U164)</f>
        <v>0</v>
      </c>
      <c r="W164" s="43"/>
      <c r="X164" s="87"/>
      <c r="Y164" s="43">
        <f>SUM(Y162:Y163)</f>
        <v>2</v>
      </c>
      <c r="Z164" s="43">
        <f>SUM(Z162:Z163)</f>
        <v>0</v>
      </c>
      <c r="AA164" s="43">
        <f t="shared" ref="AA164:AK164" si="82">SUM(AA162:AA163)</f>
        <v>0</v>
      </c>
      <c r="AB164" s="43">
        <f t="shared" si="82"/>
        <v>0</v>
      </c>
      <c r="AC164" s="43">
        <f t="shared" si="82"/>
        <v>0</v>
      </c>
      <c r="AD164" s="43">
        <f t="shared" si="82"/>
        <v>0</v>
      </c>
      <c r="AE164" s="43">
        <f t="shared" si="82"/>
        <v>0</v>
      </c>
      <c r="AF164" s="43">
        <f t="shared" si="82"/>
        <v>0</v>
      </c>
      <c r="AG164" s="43">
        <f t="shared" si="82"/>
        <v>0</v>
      </c>
      <c r="AH164" s="43">
        <f t="shared" si="82"/>
        <v>0</v>
      </c>
      <c r="AI164" s="43">
        <f t="shared" si="82"/>
        <v>1</v>
      </c>
      <c r="AJ164" s="43">
        <f t="shared" si="82"/>
        <v>0</v>
      </c>
      <c r="AK164" s="43">
        <f t="shared" si="82"/>
        <v>0</v>
      </c>
      <c r="AL164" s="37">
        <f>SUM(Z164:AK164)</f>
        <v>1</v>
      </c>
      <c r="AM164" s="37">
        <f>Y164-AL164</f>
        <v>1</v>
      </c>
      <c r="AN164" s="119">
        <f>SUM(AN162:AN163)</f>
        <v>0</v>
      </c>
      <c r="AO164" s="119">
        <f>SUM(AO162:AO163)</f>
        <v>1</v>
      </c>
      <c r="AQ164" s="89"/>
      <c r="AR164" s="89"/>
    </row>
    <row r="165" spans="1:44" ht="18.75" customHeight="1" x14ac:dyDescent="0.55000000000000004">
      <c r="A165" s="162"/>
      <c r="B165" s="166"/>
      <c r="C165" s="37" t="s">
        <v>108</v>
      </c>
      <c r="D165" s="37"/>
      <c r="E165" s="37"/>
      <c r="F165" s="37"/>
      <c r="G165" s="37"/>
      <c r="H165" s="37"/>
      <c r="I165" s="87"/>
      <c r="J165" s="37"/>
      <c r="K165" s="37"/>
      <c r="L165" s="37"/>
      <c r="M165" s="37"/>
      <c r="N165" s="37"/>
      <c r="O165" s="37"/>
      <c r="P165" s="37"/>
      <c r="Q165" s="37"/>
      <c r="R165" s="37"/>
      <c r="S165" s="37"/>
      <c r="T165" s="37"/>
      <c r="U165" s="43"/>
      <c r="V165" s="43"/>
      <c r="W165" s="43"/>
      <c r="X165" s="87"/>
      <c r="Y165" s="43">
        <f>SUMPRODUCT(D162:D163,Y162:Y163)</f>
        <v>0</v>
      </c>
      <c r="Z165" s="43">
        <f>SUMPRODUCT(D162:D163,Z162:Z163)</f>
        <v>0</v>
      </c>
      <c r="AA165" s="43">
        <f>SUMPRODUCT(D162:D163,AA162:AA163)</f>
        <v>0</v>
      </c>
      <c r="AB165" s="43">
        <f>SUMPRODUCT(D162:D163,AB162:AB163)</f>
        <v>0</v>
      </c>
      <c r="AC165" s="43">
        <f>SUMPRODUCT(D162:D163,AC162:AC163)</f>
        <v>0</v>
      </c>
      <c r="AD165" s="43">
        <f>SUMPRODUCT(D162:D163,AD162:AD163)</f>
        <v>0</v>
      </c>
      <c r="AE165" s="43">
        <f>SUMPRODUCT(D162:D163,AE162:AE163)</f>
        <v>0</v>
      </c>
      <c r="AF165" s="43">
        <f>SUMPRODUCT(D162:D163,AF162:AF163)</f>
        <v>0</v>
      </c>
      <c r="AG165" s="43">
        <f>SUMPRODUCT(D162:D163,AG162:AG163)</f>
        <v>0</v>
      </c>
      <c r="AH165" s="43">
        <f>SUMPRODUCT(D162:D163,AH162:AH163)</f>
        <v>0</v>
      </c>
      <c r="AI165" s="43">
        <f>SUMPRODUCT(D162:D163,AI162:AI163)</f>
        <v>0</v>
      </c>
      <c r="AJ165" s="43">
        <f t="shared" ref="AJ165" si="83">SUMPRODUCT(O162:O163,AJ162:AJ163)</f>
        <v>0</v>
      </c>
      <c r="AK165" s="43">
        <f>SUMPRODUCT(D162:D163,AK162:AK163)</f>
        <v>0</v>
      </c>
      <c r="AL165" s="43">
        <f>SUMPRODUCT(D162:D163,AL162:AL163)</f>
        <v>0</v>
      </c>
      <c r="AM165" s="43">
        <f>SUMPRODUCT(D162:D163,AM162:AM163)</f>
        <v>0</v>
      </c>
      <c r="AN165" s="43">
        <f>SUMPRODUCT(D162:D163,AN162:AN163)</f>
        <v>0</v>
      </c>
      <c r="AO165" s="43">
        <f>SUMPRODUCT(D162:D163,AO162:AO163)</f>
        <v>0</v>
      </c>
      <c r="AQ165" s="89"/>
      <c r="AR165" s="89"/>
    </row>
    <row r="166" spans="1:44" ht="18.75" customHeight="1" x14ac:dyDescent="0.55000000000000004">
      <c r="A166" s="163"/>
      <c r="B166" s="77" t="s">
        <v>11</v>
      </c>
      <c r="C166" s="77"/>
      <c r="D166" s="77"/>
      <c r="E166" s="77"/>
      <c r="F166" s="77"/>
      <c r="G166" s="77"/>
      <c r="H166" s="77"/>
      <c r="I166" s="77"/>
      <c r="J166" s="77"/>
      <c r="K166" s="77"/>
      <c r="L166" s="77"/>
      <c r="M166" s="77"/>
      <c r="N166" s="77"/>
      <c r="O166" s="77"/>
      <c r="P166" s="77"/>
      <c r="Q166" s="77"/>
      <c r="R166" s="77"/>
      <c r="S166" s="77"/>
      <c r="T166" s="77"/>
      <c r="U166" s="80"/>
      <c r="V166" s="80"/>
      <c r="W166" s="80"/>
      <c r="X166" s="77"/>
      <c r="Y166" s="80"/>
      <c r="Z166" s="77"/>
      <c r="AA166" s="77"/>
      <c r="AB166" s="77"/>
      <c r="AC166" s="77"/>
      <c r="AD166" s="77"/>
      <c r="AE166" s="77"/>
      <c r="AF166" s="77"/>
      <c r="AG166" s="77"/>
      <c r="AH166" s="77"/>
      <c r="AI166" s="77"/>
      <c r="AJ166" s="77"/>
      <c r="AK166" s="77"/>
      <c r="AL166" s="78">
        <f t="shared" ref="AL166" si="84">SUM(Z166:AE166)</f>
        <v>0</v>
      </c>
      <c r="AM166" s="101">
        <f>SUM(AM150,AM155,AM160,AM164)</f>
        <v>6</v>
      </c>
      <c r="AN166" s="120"/>
      <c r="AO166" s="120"/>
      <c r="AQ166" s="19"/>
      <c r="AR166" s="19"/>
    </row>
    <row r="167" spans="1:44" ht="18.75" customHeight="1" x14ac:dyDescent="0.55000000000000004">
      <c r="A167" s="155" t="s">
        <v>25</v>
      </c>
      <c r="B167" s="6" t="s">
        <v>21</v>
      </c>
      <c r="C167" s="6" t="s">
        <v>21</v>
      </c>
      <c r="D167" s="6"/>
      <c r="E167" s="37"/>
      <c r="F167" s="37"/>
      <c r="G167" s="37"/>
      <c r="H167" s="37"/>
      <c r="I167" s="63">
        <v>5</v>
      </c>
      <c r="J167" s="37"/>
      <c r="K167" s="37"/>
      <c r="L167" s="37"/>
      <c r="M167" s="37"/>
      <c r="N167" s="43"/>
      <c r="O167" s="43"/>
      <c r="P167" s="43">
        <v>1</v>
      </c>
      <c r="Q167" s="43">
        <v>1</v>
      </c>
      <c r="R167" s="43">
        <v>1</v>
      </c>
      <c r="S167" s="43">
        <v>1</v>
      </c>
      <c r="T167" s="43">
        <v>1</v>
      </c>
      <c r="U167" s="43">
        <v>1</v>
      </c>
      <c r="V167" s="51">
        <f>SUM(J167:U167)</f>
        <v>6</v>
      </c>
      <c r="W167" s="51">
        <f t="shared" ref="W167:W168" si="85">I167-V167</f>
        <v>-1</v>
      </c>
      <c r="X167" s="85">
        <v>0</v>
      </c>
      <c r="Y167" s="51">
        <f>SUM(W167:X167)</f>
        <v>-1</v>
      </c>
      <c r="Z167" s="68"/>
      <c r="AA167" s="68"/>
      <c r="AB167" s="68"/>
      <c r="AC167" s="68"/>
      <c r="AD167" s="68"/>
      <c r="AE167" s="68"/>
      <c r="AF167" s="68"/>
      <c r="AG167" s="68"/>
      <c r="AH167" s="68"/>
      <c r="AI167" s="68"/>
      <c r="AJ167" s="68"/>
      <c r="AK167" s="68"/>
      <c r="AL167" s="68">
        <f>SUM(Z167:AE167)</f>
        <v>0</v>
      </c>
      <c r="AM167" s="68">
        <f>Y167-AL167</f>
        <v>-1</v>
      </c>
      <c r="AN167" s="121"/>
      <c r="AO167" s="121"/>
      <c r="AP167" s="14"/>
    </row>
    <row r="168" spans="1:44" ht="18.75" customHeight="1" x14ac:dyDescent="0.55000000000000004">
      <c r="A168" s="156"/>
      <c r="B168" s="6" t="s">
        <v>22</v>
      </c>
      <c r="C168" s="6" t="s">
        <v>22</v>
      </c>
      <c r="D168" s="6"/>
      <c r="E168" s="37"/>
      <c r="F168" s="37"/>
      <c r="G168" s="37"/>
      <c r="H168" s="37"/>
      <c r="I168" s="63">
        <v>5</v>
      </c>
      <c r="J168" s="37"/>
      <c r="K168" s="37"/>
      <c r="L168" s="37"/>
      <c r="M168" s="37"/>
      <c r="N168" s="43"/>
      <c r="O168" s="43"/>
      <c r="P168" s="43">
        <v>1</v>
      </c>
      <c r="Q168" s="43">
        <v>1</v>
      </c>
      <c r="R168" s="43">
        <v>1</v>
      </c>
      <c r="S168" s="43">
        <v>1</v>
      </c>
      <c r="T168" s="43">
        <v>1</v>
      </c>
      <c r="U168" s="43">
        <v>1</v>
      </c>
      <c r="V168" s="51">
        <f>SUM(J168:U168)</f>
        <v>6</v>
      </c>
      <c r="W168" s="51">
        <f t="shared" si="85"/>
        <v>-1</v>
      </c>
      <c r="X168" s="85">
        <v>0</v>
      </c>
      <c r="Y168" s="51">
        <f>SUM(W168:X168)</f>
        <v>-1</v>
      </c>
      <c r="Z168" s="68"/>
      <c r="AA168" s="68"/>
      <c r="AB168" s="68"/>
      <c r="AC168" s="68"/>
      <c r="AD168" s="68"/>
      <c r="AE168" s="68"/>
      <c r="AF168" s="68"/>
      <c r="AG168" s="68"/>
      <c r="AH168" s="68"/>
      <c r="AI168" s="68"/>
      <c r="AJ168" s="68"/>
      <c r="AK168" s="68"/>
      <c r="AL168" s="68">
        <f>SUM(Z168:AE168)</f>
        <v>0</v>
      </c>
      <c r="AM168" s="68">
        <f>Y168-AL168</f>
        <v>-1</v>
      </c>
      <c r="AN168" s="121"/>
      <c r="AO168" s="121"/>
      <c r="AP168" s="14"/>
    </row>
    <row r="169" spans="1:44" ht="18" x14ac:dyDescent="0.55000000000000004">
      <c r="A169" s="156"/>
      <c r="B169" s="6" t="s">
        <v>19</v>
      </c>
      <c r="C169" s="6" t="s">
        <v>19</v>
      </c>
      <c r="D169" s="6"/>
      <c r="E169" s="37"/>
      <c r="F169" s="37"/>
      <c r="G169" s="37"/>
      <c r="H169" s="37"/>
      <c r="I169" s="63">
        <v>10</v>
      </c>
      <c r="J169" s="37"/>
      <c r="K169" s="37">
        <v>1</v>
      </c>
      <c r="L169" s="37">
        <v>1</v>
      </c>
      <c r="M169" s="37">
        <v>1</v>
      </c>
      <c r="N169" s="43">
        <v>1</v>
      </c>
      <c r="O169" s="43">
        <v>1</v>
      </c>
      <c r="P169" s="43">
        <v>1</v>
      </c>
      <c r="Q169" s="43">
        <v>1</v>
      </c>
      <c r="R169" s="43">
        <v>1</v>
      </c>
      <c r="S169" s="43">
        <v>1</v>
      </c>
      <c r="T169" s="43">
        <v>1</v>
      </c>
      <c r="U169" s="43">
        <v>1</v>
      </c>
      <c r="V169" s="51">
        <f>SUM(J169:U169)</f>
        <v>11</v>
      </c>
      <c r="W169" s="51">
        <f>I169-V169</f>
        <v>-1</v>
      </c>
      <c r="X169" s="85">
        <v>0</v>
      </c>
      <c r="Y169" s="51">
        <f t="shared" ref="Y169:Y175" si="86">SUM(W169:X169)</f>
        <v>-1</v>
      </c>
      <c r="Z169" s="68"/>
      <c r="AA169" s="68"/>
      <c r="AB169" s="68"/>
      <c r="AC169" s="68"/>
      <c r="AD169" s="68"/>
      <c r="AE169" s="68"/>
      <c r="AF169" s="68"/>
      <c r="AG169" s="68"/>
      <c r="AH169" s="68"/>
      <c r="AI169" s="68"/>
      <c r="AJ169" s="68"/>
      <c r="AK169" s="68"/>
      <c r="AL169" s="68">
        <f t="shared" ref="AL169:AL176" si="87">SUM(Z169:AE169)</f>
        <v>0</v>
      </c>
      <c r="AM169" s="68">
        <f t="shared" ref="AM169:AM175" si="88">Y169-AL169</f>
        <v>-1</v>
      </c>
      <c r="AN169" s="121"/>
      <c r="AO169" s="121"/>
      <c r="AP169" s="14"/>
    </row>
    <row r="170" spans="1:44" ht="18.75" customHeight="1" x14ac:dyDescent="0.55000000000000004">
      <c r="A170" s="156"/>
      <c r="B170" s="6" t="s">
        <v>20</v>
      </c>
      <c r="C170" s="6" t="s">
        <v>20</v>
      </c>
      <c r="D170" s="6"/>
      <c r="E170" s="37"/>
      <c r="F170" s="37"/>
      <c r="G170" s="37"/>
      <c r="H170" s="37"/>
      <c r="I170" s="63">
        <v>6</v>
      </c>
      <c r="J170" s="37"/>
      <c r="K170" s="37"/>
      <c r="L170" s="37"/>
      <c r="M170" s="37"/>
      <c r="N170" s="43">
        <v>1</v>
      </c>
      <c r="O170" s="43">
        <v>1</v>
      </c>
      <c r="P170" s="43">
        <v>1</v>
      </c>
      <c r="Q170" s="43">
        <v>1</v>
      </c>
      <c r="R170" s="43">
        <v>1</v>
      </c>
      <c r="S170" s="43">
        <v>1</v>
      </c>
      <c r="T170" s="43">
        <v>1</v>
      </c>
      <c r="U170" s="43">
        <v>1</v>
      </c>
      <c r="V170" s="51">
        <f>SUM(J170:U170)</f>
        <v>8</v>
      </c>
      <c r="W170" s="51">
        <f>I170-V170</f>
        <v>-2</v>
      </c>
      <c r="X170" s="85">
        <v>0</v>
      </c>
      <c r="Y170" s="51">
        <f t="shared" si="86"/>
        <v>-2</v>
      </c>
      <c r="Z170" s="68"/>
      <c r="AA170" s="68"/>
      <c r="AB170" s="68"/>
      <c r="AC170" s="68"/>
      <c r="AD170" s="68"/>
      <c r="AE170" s="68"/>
      <c r="AF170" s="68"/>
      <c r="AG170" s="68"/>
      <c r="AH170" s="68"/>
      <c r="AI170" s="68"/>
      <c r="AJ170" s="68"/>
      <c r="AK170" s="68"/>
      <c r="AL170" s="68">
        <f t="shared" si="87"/>
        <v>0</v>
      </c>
      <c r="AM170" s="68">
        <f t="shared" si="88"/>
        <v>-2</v>
      </c>
      <c r="AN170" s="121"/>
      <c r="AO170" s="121"/>
      <c r="AP170" s="14"/>
    </row>
    <row r="171" spans="1:44" ht="18.75" customHeight="1" x14ac:dyDescent="0.55000000000000004">
      <c r="A171" s="157"/>
      <c r="B171" s="77" t="s">
        <v>11</v>
      </c>
      <c r="C171" s="77" t="s">
        <v>11</v>
      </c>
      <c r="D171" s="77"/>
      <c r="E171" s="77"/>
      <c r="F171" s="77"/>
      <c r="G171" s="77"/>
      <c r="H171" s="77"/>
      <c r="I171" s="77"/>
      <c r="J171" s="77"/>
      <c r="K171" s="77"/>
      <c r="L171" s="77"/>
      <c r="M171" s="77"/>
      <c r="N171" s="77"/>
      <c r="O171" s="77"/>
      <c r="P171" s="77"/>
      <c r="Q171" s="77"/>
      <c r="R171" s="77"/>
      <c r="S171" s="77"/>
      <c r="T171" s="77"/>
      <c r="U171" s="77"/>
      <c r="V171" s="77"/>
      <c r="W171" s="80"/>
      <c r="X171" s="77"/>
      <c r="Y171" s="80"/>
      <c r="Z171" s="68"/>
      <c r="AA171" s="68"/>
      <c r="AB171" s="68"/>
      <c r="AC171" s="68"/>
      <c r="AD171" s="68"/>
      <c r="AE171" s="68"/>
      <c r="AF171" s="68"/>
      <c r="AG171" s="68"/>
      <c r="AH171" s="68"/>
      <c r="AI171" s="68"/>
      <c r="AJ171" s="68"/>
      <c r="AK171" s="68"/>
      <c r="AL171" s="68">
        <f t="shared" si="87"/>
        <v>0</v>
      </c>
      <c r="AM171" s="68">
        <f t="shared" si="88"/>
        <v>0</v>
      </c>
      <c r="AN171" s="121"/>
      <c r="AO171" s="121"/>
      <c r="AP171" s="14"/>
    </row>
    <row r="172" spans="1:44" ht="18.75" customHeight="1" x14ac:dyDescent="0.55000000000000004">
      <c r="A172" s="155" t="s">
        <v>114</v>
      </c>
      <c r="B172" s="6" t="s">
        <v>21</v>
      </c>
      <c r="C172" s="6" t="s">
        <v>21</v>
      </c>
      <c r="D172" s="6"/>
      <c r="E172" s="37"/>
      <c r="F172" s="37"/>
      <c r="G172" s="37"/>
      <c r="H172" s="37"/>
      <c r="I172" s="81">
        <v>3</v>
      </c>
      <c r="J172" s="37"/>
      <c r="K172" s="37"/>
      <c r="L172" s="37"/>
      <c r="M172" s="37"/>
      <c r="N172" s="37"/>
      <c r="O172" s="37"/>
      <c r="P172" s="37"/>
      <c r="Q172" s="45">
        <v>1</v>
      </c>
      <c r="R172" s="45">
        <v>1</v>
      </c>
      <c r="S172" s="45">
        <v>1</v>
      </c>
      <c r="T172" s="45">
        <v>1</v>
      </c>
      <c r="U172" s="47">
        <v>1</v>
      </c>
      <c r="V172" s="6">
        <f>SUM(P172:U172)</f>
        <v>5</v>
      </c>
      <c r="W172" s="51">
        <f t="shared" ref="W172:W173" si="89">I172-V172</f>
        <v>-2</v>
      </c>
      <c r="X172" s="82">
        <v>7</v>
      </c>
      <c r="Y172" s="51">
        <f>SUM(W172:X172)</f>
        <v>5</v>
      </c>
      <c r="Z172" s="48">
        <v>1</v>
      </c>
      <c r="AA172" s="48">
        <v>1</v>
      </c>
      <c r="AB172" s="48">
        <v>1</v>
      </c>
      <c r="AC172" s="48">
        <v>1</v>
      </c>
      <c r="AD172" s="48">
        <v>1</v>
      </c>
      <c r="AE172" s="48">
        <v>1</v>
      </c>
      <c r="AF172" s="48"/>
      <c r="AG172" s="48"/>
      <c r="AH172" s="48"/>
      <c r="AI172" s="48"/>
      <c r="AJ172" s="48"/>
      <c r="AK172" s="48"/>
      <c r="AL172" s="6">
        <f>SUM(Z172:AE172)</f>
        <v>6</v>
      </c>
      <c r="AM172" s="6">
        <f>Y172-AL172</f>
        <v>-1</v>
      </c>
      <c r="AN172" s="118"/>
      <c r="AO172" s="118"/>
      <c r="AP172" s="14"/>
    </row>
    <row r="173" spans="1:44" ht="18.75" customHeight="1" x14ac:dyDescent="0.55000000000000004">
      <c r="A173" s="156"/>
      <c r="B173" s="6" t="s">
        <v>22</v>
      </c>
      <c r="C173" s="6" t="s">
        <v>22</v>
      </c>
      <c r="D173" s="6"/>
      <c r="E173" s="37"/>
      <c r="F173" s="37"/>
      <c r="G173" s="37"/>
      <c r="H173" s="37"/>
      <c r="I173" s="81">
        <v>3</v>
      </c>
      <c r="J173" s="37"/>
      <c r="K173" s="37"/>
      <c r="L173" s="37"/>
      <c r="M173" s="37"/>
      <c r="N173" s="37"/>
      <c r="O173" s="37"/>
      <c r="P173" s="37"/>
      <c r="Q173" s="45">
        <v>1</v>
      </c>
      <c r="R173" s="45">
        <v>1</v>
      </c>
      <c r="S173" s="45">
        <v>1</v>
      </c>
      <c r="T173" s="47">
        <v>1</v>
      </c>
      <c r="U173" s="47">
        <v>1</v>
      </c>
      <c r="V173" s="6">
        <f>SUM(P173:U173)</f>
        <v>5</v>
      </c>
      <c r="W173" s="51">
        <f t="shared" si="89"/>
        <v>-2</v>
      </c>
      <c r="X173" s="82">
        <v>8</v>
      </c>
      <c r="Y173" s="51">
        <f>SUM(W173:X173)</f>
        <v>6</v>
      </c>
      <c r="Z173" s="48">
        <v>1</v>
      </c>
      <c r="AA173" s="48">
        <v>1</v>
      </c>
      <c r="AB173" s="48">
        <v>1</v>
      </c>
      <c r="AC173" s="48">
        <v>1</v>
      </c>
      <c r="AD173" s="48">
        <v>1</v>
      </c>
      <c r="AE173" s="48">
        <v>1</v>
      </c>
      <c r="AF173" s="48"/>
      <c r="AG173" s="48"/>
      <c r="AH173" s="48"/>
      <c r="AI173" s="48"/>
      <c r="AJ173" s="48"/>
      <c r="AK173" s="48"/>
      <c r="AL173" s="6">
        <f>SUM(Z173:AE173)</f>
        <v>6</v>
      </c>
      <c r="AM173" s="6">
        <f>Y173-AL173</f>
        <v>0</v>
      </c>
      <c r="AN173" s="118"/>
      <c r="AO173" s="118"/>
      <c r="AP173" s="14"/>
    </row>
    <row r="174" spans="1:44" ht="18" x14ac:dyDescent="0.55000000000000004">
      <c r="A174" s="156"/>
      <c r="B174" s="6" t="s">
        <v>19</v>
      </c>
      <c r="C174" s="6" t="s">
        <v>19</v>
      </c>
      <c r="D174" s="6"/>
      <c r="E174" s="37"/>
      <c r="F174" s="37"/>
      <c r="G174" s="37"/>
      <c r="H174" s="37"/>
      <c r="I174" s="81">
        <v>3</v>
      </c>
      <c r="J174" s="37"/>
      <c r="K174" s="37"/>
      <c r="L174" s="37"/>
      <c r="M174" s="37"/>
      <c r="N174" s="37"/>
      <c r="O174" s="37"/>
      <c r="P174" s="37"/>
      <c r="Q174" s="45">
        <v>1</v>
      </c>
      <c r="R174" s="45">
        <v>1</v>
      </c>
      <c r="S174" s="45">
        <v>1</v>
      </c>
      <c r="T174" s="47">
        <v>1</v>
      </c>
      <c r="U174" s="47">
        <v>1</v>
      </c>
      <c r="V174" s="6">
        <f>SUM(P174:U174)</f>
        <v>5</v>
      </c>
      <c r="W174" s="51">
        <f>I174-V174</f>
        <v>-2</v>
      </c>
      <c r="X174" s="82">
        <v>8</v>
      </c>
      <c r="Y174" s="51">
        <f t="shared" si="86"/>
        <v>6</v>
      </c>
      <c r="Z174" s="48">
        <v>1</v>
      </c>
      <c r="AA174" s="48">
        <v>1</v>
      </c>
      <c r="AB174" s="48">
        <v>1</v>
      </c>
      <c r="AC174" s="48">
        <v>1</v>
      </c>
      <c r="AD174" s="48">
        <v>1</v>
      </c>
      <c r="AE174" s="48">
        <v>1</v>
      </c>
      <c r="AF174" s="48"/>
      <c r="AG174" s="48"/>
      <c r="AH174" s="48"/>
      <c r="AI174" s="48"/>
      <c r="AJ174" s="48"/>
      <c r="AK174" s="48"/>
      <c r="AL174" s="6">
        <f t="shared" si="87"/>
        <v>6</v>
      </c>
      <c r="AM174" s="6">
        <f t="shared" si="88"/>
        <v>0</v>
      </c>
      <c r="AN174" s="118"/>
      <c r="AO174" s="118"/>
      <c r="AP174" s="14"/>
    </row>
    <row r="175" spans="1:44" ht="18.75" customHeight="1" x14ac:dyDescent="0.55000000000000004">
      <c r="A175" s="156"/>
      <c r="B175" s="6" t="s">
        <v>20</v>
      </c>
      <c r="C175" s="6" t="s">
        <v>20</v>
      </c>
      <c r="D175" s="6"/>
      <c r="E175" s="37"/>
      <c r="F175" s="37"/>
      <c r="G175" s="37"/>
      <c r="H175" s="37"/>
      <c r="I175" s="81">
        <v>3</v>
      </c>
      <c r="J175" s="37"/>
      <c r="K175" s="37"/>
      <c r="L175" s="37"/>
      <c r="M175" s="37"/>
      <c r="N175" s="37"/>
      <c r="O175" s="37"/>
      <c r="P175" s="37"/>
      <c r="Q175" s="43">
        <v>0</v>
      </c>
      <c r="R175" s="45">
        <v>1</v>
      </c>
      <c r="S175" s="45">
        <v>1</v>
      </c>
      <c r="T175" s="45">
        <v>1</v>
      </c>
      <c r="U175" s="47">
        <v>1</v>
      </c>
      <c r="V175" s="6">
        <f>SUM(P175:U175)</f>
        <v>4</v>
      </c>
      <c r="W175" s="51">
        <f>I175-V175</f>
        <v>-1</v>
      </c>
      <c r="X175" s="82">
        <v>7</v>
      </c>
      <c r="Y175" s="51">
        <f t="shared" si="86"/>
        <v>6</v>
      </c>
      <c r="Z175" s="48">
        <v>1</v>
      </c>
      <c r="AA175" s="48">
        <v>1</v>
      </c>
      <c r="AB175" s="48">
        <v>1</v>
      </c>
      <c r="AC175" s="48">
        <v>1</v>
      </c>
      <c r="AD175" s="48">
        <v>1</v>
      </c>
      <c r="AE175" s="48">
        <v>1</v>
      </c>
      <c r="AF175" s="48"/>
      <c r="AG175" s="48"/>
      <c r="AH175" s="48"/>
      <c r="AI175" s="48"/>
      <c r="AJ175" s="48"/>
      <c r="AK175" s="48"/>
      <c r="AL175" s="6">
        <f t="shared" si="87"/>
        <v>6</v>
      </c>
      <c r="AM175" s="6">
        <f t="shared" si="88"/>
        <v>0</v>
      </c>
      <c r="AN175" s="118"/>
      <c r="AO175" s="118"/>
      <c r="AP175" s="14"/>
    </row>
    <row r="176" spans="1:44" ht="18.75" customHeight="1" x14ac:dyDescent="0.55000000000000004">
      <c r="A176" s="138"/>
      <c r="B176" s="77" t="s">
        <v>11</v>
      </c>
      <c r="C176" s="77" t="s">
        <v>11</v>
      </c>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c r="AE176" s="77"/>
      <c r="AF176" s="77"/>
      <c r="AG176" s="77"/>
      <c r="AH176" s="77"/>
      <c r="AI176" s="77"/>
      <c r="AJ176" s="77"/>
      <c r="AK176" s="77"/>
      <c r="AL176" s="78">
        <f t="shared" si="87"/>
        <v>0</v>
      </c>
      <c r="AM176" s="78">
        <f>Y176-AL176</f>
        <v>0</v>
      </c>
      <c r="AN176" s="117"/>
      <c r="AO176" s="117"/>
      <c r="AP176" s="14"/>
    </row>
    <row r="177" spans="1:42" ht="18" x14ac:dyDescent="0.550000000000000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4"/>
      <c r="AP177" s="14"/>
    </row>
    <row r="178" spans="1:42" ht="18" x14ac:dyDescent="0.55000000000000004">
      <c r="A178" s="1"/>
      <c r="B178" s="1"/>
      <c r="C178" s="1"/>
      <c r="D178" s="1"/>
      <c r="E178" s="1"/>
      <c r="F178" s="1"/>
      <c r="G178" s="1"/>
      <c r="H178" s="1"/>
      <c r="I178" s="1"/>
      <c r="J178" s="1"/>
      <c r="K178" s="1"/>
      <c r="L178" s="1"/>
      <c r="M178" s="1"/>
      <c r="N178" s="1"/>
      <c r="O178" s="1"/>
      <c r="P178" s="1"/>
      <c r="Q178" s="1"/>
      <c r="R178" s="1"/>
      <c r="S178" s="1"/>
      <c r="T178" s="1"/>
      <c r="U178" s="1"/>
      <c r="V178" s="1"/>
      <c r="W178" s="49" t="s">
        <v>115</v>
      </c>
      <c r="X178" s="1"/>
      <c r="Y178" s="1"/>
      <c r="Z178" s="1"/>
      <c r="AA178" s="1"/>
      <c r="AB178" s="1"/>
      <c r="AC178" s="1"/>
      <c r="AD178" s="1"/>
      <c r="AE178" s="1"/>
      <c r="AF178" s="1"/>
      <c r="AG178" s="1"/>
      <c r="AH178" s="1"/>
      <c r="AI178" s="1"/>
      <c r="AJ178" s="1"/>
      <c r="AK178" s="1"/>
      <c r="AL178" s="1"/>
      <c r="AM178" s="1"/>
      <c r="AN178" s="1"/>
      <c r="AO178" s="14"/>
      <c r="AP178" s="14"/>
    </row>
    <row r="179" spans="1:42" ht="18" x14ac:dyDescent="0.55000000000000004">
      <c r="A179" s="1"/>
      <c r="B179" s="1"/>
      <c r="C179" s="1"/>
      <c r="D179" s="1"/>
      <c r="E179" s="1"/>
      <c r="F179" s="1"/>
      <c r="G179" s="1"/>
      <c r="H179" s="1"/>
      <c r="I179" s="1"/>
      <c r="J179" s="1"/>
      <c r="K179" s="1"/>
      <c r="L179" s="1"/>
      <c r="M179" s="1"/>
      <c r="N179" s="1"/>
      <c r="O179" s="1"/>
      <c r="P179" s="1"/>
      <c r="Q179" s="1"/>
      <c r="R179" s="1"/>
      <c r="S179" s="1"/>
      <c r="T179" s="1"/>
      <c r="U179" s="1"/>
      <c r="V179" s="1"/>
      <c r="W179" s="1" t="s">
        <v>116</v>
      </c>
      <c r="X179" s="1"/>
      <c r="Y179" s="1"/>
      <c r="Z179" s="1"/>
      <c r="AA179" s="1"/>
      <c r="AB179" s="1"/>
      <c r="AC179" s="1"/>
      <c r="AD179" s="1"/>
      <c r="AE179" s="1"/>
      <c r="AF179" s="1"/>
      <c r="AG179" s="1"/>
      <c r="AH179" s="1"/>
      <c r="AI179" s="1"/>
      <c r="AJ179" s="1"/>
      <c r="AK179" s="1"/>
      <c r="AL179" s="1"/>
      <c r="AM179" s="1"/>
      <c r="AN179" s="1"/>
      <c r="AO179" s="14"/>
      <c r="AP179" s="14"/>
    </row>
    <row r="180" spans="1:42" ht="18" x14ac:dyDescent="0.55000000000000004">
      <c r="A180" s="1"/>
      <c r="B180" s="1"/>
      <c r="C180" s="1"/>
      <c r="D180" s="1"/>
      <c r="E180" s="1"/>
      <c r="F180" s="1"/>
      <c r="G180" s="1"/>
      <c r="H180" s="1"/>
      <c r="I180" s="1"/>
      <c r="J180" s="1"/>
      <c r="K180" s="1"/>
      <c r="L180" s="1"/>
      <c r="M180" s="1"/>
      <c r="N180" s="1"/>
      <c r="O180" s="1"/>
      <c r="P180" s="1"/>
      <c r="Q180" s="1"/>
      <c r="R180" s="1"/>
      <c r="S180" s="1"/>
      <c r="T180" s="1"/>
      <c r="U180" s="1"/>
      <c r="V180" s="1"/>
      <c r="W180" s="1" t="s">
        <v>117</v>
      </c>
      <c r="X180" s="1"/>
      <c r="Y180" s="1"/>
      <c r="Z180" s="1"/>
      <c r="AA180" s="1"/>
      <c r="AB180" s="1"/>
      <c r="AC180" s="1"/>
      <c r="AD180" s="1"/>
      <c r="AE180" s="1"/>
      <c r="AF180" s="1"/>
      <c r="AG180" s="1"/>
      <c r="AH180" s="1"/>
      <c r="AI180" s="1"/>
      <c r="AJ180" s="1"/>
      <c r="AK180" s="1"/>
      <c r="AL180" s="1"/>
      <c r="AM180" s="1"/>
      <c r="AN180" s="1"/>
      <c r="AO180" s="14"/>
      <c r="AP180" s="14"/>
    </row>
    <row r="181" spans="1:42" ht="15.75" customHeight="1" x14ac:dyDescent="0.55000000000000004">
      <c r="W181" s="1" t="s">
        <v>118</v>
      </c>
      <c r="AO181" s="20"/>
    </row>
  </sheetData>
  <mergeCells count="30">
    <mergeCell ref="A121:A146"/>
    <mergeCell ref="A147:A166"/>
    <mergeCell ref="B152:B156"/>
    <mergeCell ref="B157:B161"/>
    <mergeCell ref="B162:B165"/>
    <mergeCell ref="B121:B126"/>
    <mergeCell ref="B127:B133"/>
    <mergeCell ref="B134:B139"/>
    <mergeCell ref="B140:B145"/>
    <mergeCell ref="B147:B151"/>
    <mergeCell ref="A92:A120"/>
    <mergeCell ref="B99:B105"/>
    <mergeCell ref="B106:B112"/>
    <mergeCell ref="B113:B119"/>
    <mergeCell ref="A66:A91"/>
    <mergeCell ref="B66:B71"/>
    <mergeCell ref="B72:B78"/>
    <mergeCell ref="B79:B84"/>
    <mergeCell ref="B85:B90"/>
    <mergeCell ref="B92:B98"/>
    <mergeCell ref="C9:U9"/>
    <mergeCell ref="A10:A14"/>
    <mergeCell ref="C14:U14"/>
    <mergeCell ref="C29:U29"/>
    <mergeCell ref="A25:A29"/>
    <mergeCell ref="A15:A19"/>
    <mergeCell ref="C19:U19"/>
    <mergeCell ref="A20:A24"/>
    <mergeCell ref="C24:U24"/>
    <mergeCell ref="A5:A9"/>
  </mergeCells>
  <phoneticPr fontId="1"/>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17EE-5CB7-4353-845B-B540152800DB}">
  <dimension ref="A1:Z144"/>
  <sheetViews>
    <sheetView tabSelected="1" zoomScale="69" zoomScaleNormal="80" workbookViewId="0">
      <pane xSplit="5" ySplit="1" topLeftCell="F22" activePane="bottomRight" state="frozen"/>
      <selection pane="topRight" activeCell="F1" sqref="F1"/>
      <selection pane="bottomLeft" activeCell="A2" sqref="A2"/>
      <selection pane="bottomRight" activeCell="V27" sqref="V27"/>
    </sheetView>
  </sheetViews>
  <sheetFormatPr defaultColWidth="9" defaultRowHeight="15.75" customHeight="1" x14ac:dyDescent="0.55000000000000004"/>
  <cols>
    <col min="1" max="1" width="17" customWidth="1"/>
    <col min="2" max="2" width="9" bestFit="1" customWidth="1"/>
    <col min="4" max="4" width="9.58203125" bestFit="1" customWidth="1"/>
    <col min="5" max="5" width="13.08203125" hidden="1" customWidth="1"/>
    <col min="6" max="7" width="9.5" bestFit="1" customWidth="1"/>
    <col min="11" max="12" width="9.5" bestFit="1" customWidth="1"/>
    <col min="13" max="13" width="10.08203125" bestFit="1" customWidth="1"/>
    <col min="14" max="14" width="9.08203125" customWidth="1"/>
    <col min="18" max="18" width="11.33203125" bestFit="1" customWidth="1"/>
    <col min="19" max="19" width="13" hidden="1" customWidth="1"/>
    <col min="20" max="20" width="10.5" hidden="1" customWidth="1"/>
    <col min="21" max="21" width="9.33203125" hidden="1" customWidth="1"/>
    <col min="22" max="22" width="21.25" style="20" customWidth="1"/>
    <col min="23" max="25" width="0" hidden="1" customWidth="1"/>
  </cols>
  <sheetData>
    <row r="1" spans="1:25" ht="75" x14ac:dyDescent="0.55000000000000004">
      <c r="A1" s="126" t="s">
        <v>3</v>
      </c>
      <c r="B1" s="127" t="s">
        <v>4</v>
      </c>
      <c r="C1" s="127" t="s">
        <v>82</v>
      </c>
      <c r="D1" s="127" t="s">
        <v>83</v>
      </c>
      <c r="E1" s="129" t="s">
        <v>119</v>
      </c>
      <c r="F1" s="127" t="s">
        <v>12</v>
      </c>
      <c r="G1" s="127" t="s">
        <v>13</v>
      </c>
      <c r="H1" s="127" t="s">
        <v>14</v>
      </c>
      <c r="I1" s="127" t="s">
        <v>15</v>
      </c>
      <c r="J1" s="127" t="s">
        <v>16</v>
      </c>
      <c r="K1" s="127" t="s">
        <v>17</v>
      </c>
      <c r="L1" s="127" t="s">
        <v>32</v>
      </c>
      <c r="M1" s="127" t="s">
        <v>6</v>
      </c>
      <c r="N1" s="127" t="s">
        <v>7</v>
      </c>
      <c r="O1" s="127" t="s">
        <v>8</v>
      </c>
      <c r="P1" s="127" t="s">
        <v>9</v>
      </c>
      <c r="Q1" s="127" t="s">
        <v>10</v>
      </c>
      <c r="R1" s="122" t="s">
        <v>120</v>
      </c>
      <c r="S1" s="122" t="s">
        <v>121</v>
      </c>
      <c r="T1" s="125" t="s">
        <v>87</v>
      </c>
      <c r="U1" s="123" t="s">
        <v>88</v>
      </c>
      <c r="V1" s="124" t="s">
        <v>89</v>
      </c>
      <c r="W1" s="16" t="s">
        <v>38</v>
      </c>
      <c r="X1" s="16" t="s">
        <v>39</v>
      </c>
    </row>
    <row r="2" spans="1:25" ht="18.75" customHeight="1" x14ac:dyDescent="0.55000000000000004">
      <c r="A2" s="162" t="s">
        <v>90</v>
      </c>
      <c r="B2" s="164" t="s">
        <v>19</v>
      </c>
      <c r="C2" s="6" t="s">
        <v>91</v>
      </c>
      <c r="D2" s="109">
        <v>110000</v>
      </c>
      <c r="E2" s="51"/>
      <c r="F2" s="6"/>
      <c r="G2" s="6"/>
      <c r="H2" s="6"/>
      <c r="I2" s="6"/>
      <c r="J2" s="6"/>
      <c r="K2" s="6"/>
      <c r="L2" s="6"/>
      <c r="M2" s="6"/>
      <c r="N2" s="6"/>
      <c r="O2" s="6"/>
      <c r="P2" s="6"/>
      <c r="Q2" s="6"/>
      <c r="R2" s="6">
        <f>SUM(F2:Q2)</f>
        <v>0</v>
      </c>
      <c r="S2" s="6" t="str">
        <f>IF(E2="","",E2-R2)</f>
        <v/>
      </c>
      <c r="T2" s="131">
        <v>0</v>
      </c>
      <c r="U2" s="134">
        <f>E2-R2-T2</f>
        <v>0</v>
      </c>
      <c r="W2" s="160" t="s">
        <v>48</v>
      </c>
      <c r="X2" s="160" t="s">
        <v>49</v>
      </c>
      <c r="Y2" t="s">
        <v>50</v>
      </c>
    </row>
    <row r="3" spans="1:25" ht="18.75" customHeight="1" x14ac:dyDescent="0.55000000000000004">
      <c r="A3" s="162"/>
      <c r="B3" s="165"/>
      <c r="C3" s="6" t="s">
        <v>92</v>
      </c>
      <c r="D3" s="109">
        <v>55000</v>
      </c>
      <c r="E3" s="51"/>
      <c r="F3" s="6"/>
      <c r="G3" s="6"/>
      <c r="H3" s="6"/>
      <c r="I3" s="6"/>
      <c r="J3" s="6"/>
      <c r="K3" s="6"/>
      <c r="L3" s="105"/>
      <c r="M3" s="6"/>
      <c r="N3" s="6"/>
      <c r="O3" s="6"/>
      <c r="P3" s="6"/>
      <c r="Q3" s="6"/>
      <c r="R3" s="6">
        <f>SUM(F3:Q3)</f>
        <v>0</v>
      </c>
      <c r="S3" s="6" t="str">
        <f t="shared" ref="S3:S6" si="0">IF(E3="","",E3-R3)</f>
        <v/>
      </c>
      <c r="T3" s="130">
        <v>0</v>
      </c>
      <c r="U3" s="134">
        <f>E3-R3-T3</f>
        <v>0</v>
      </c>
      <c r="W3" s="160"/>
      <c r="X3" s="160"/>
    </row>
    <row r="4" spans="1:25" ht="18.75" customHeight="1" x14ac:dyDescent="0.55000000000000004">
      <c r="A4" s="162"/>
      <c r="B4" s="165"/>
      <c r="C4" s="6" t="s">
        <v>93</v>
      </c>
      <c r="D4" s="109">
        <v>88000</v>
      </c>
      <c r="E4" s="51"/>
      <c r="F4" s="6">
        <v>2</v>
      </c>
      <c r="G4" s="6"/>
      <c r="H4" s="6"/>
      <c r="I4" s="6"/>
      <c r="J4" s="6"/>
      <c r="K4" s="28"/>
      <c r="L4" s="24"/>
      <c r="M4" s="96"/>
      <c r="N4" s="6"/>
      <c r="O4" s="6"/>
      <c r="P4" s="6"/>
      <c r="Q4" s="6"/>
      <c r="R4" s="6">
        <f>SUM(F4:Q4)</f>
        <v>2</v>
      </c>
      <c r="S4" s="6" t="str">
        <f t="shared" si="0"/>
        <v/>
      </c>
      <c r="T4" s="130">
        <v>0</v>
      </c>
      <c r="U4" s="134">
        <f>E4-R4-T4</f>
        <v>-2</v>
      </c>
      <c r="W4" s="160"/>
      <c r="X4" s="160"/>
    </row>
    <row r="5" spans="1:25" ht="18.75" customHeight="1" x14ac:dyDescent="0.55000000000000004">
      <c r="A5" s="162"/>
      <c r="B5" s="165"/>
      <c r="C5" s="6" t="s">
        <v>122</v>
      </c>
      <c r="D5" s="109">
        <v>78000</v>
      </c>
      <c r="E5" s="51"/>
      <c r="F5" s="6"/>
      <c r="G5" s="6">
        <v>1</v>
      </c>
      <c r="H5" s="6">
        <v>1</v>
      </c>
      <c r="I5" s="6"/>
      <c r="J5" s="6"/>
      <c r="K5" s="28"/>
      <c r="L5" s="24"/>
      <c r="M5" s="147"/>
      <c r="N5" s="105"/>
      <c r="O5" s="6"/>
      <c r="P5" s="6"/>
      <c r="Q5" s="6"/>
      <c r="R5" s="6">
        <f>SUM(F5:Q5)</f>
        <v>2</v>
      </c>
      <c r="S5" s="6" t="str">
        <f>IF(E5="","",E5-R5)</f>
        <v/>
      </c>
      <c r="T5" s="130">
        <v>1</v>
      </c>
      <c r="U5" s="134">
        <f>E5-R5-T5</f>
        <v>-3</v>
      </c>
      <c r="W5" s="160"/>
      <c r="X5" s="160"/>
    </row>
    <row r="6" spans="1:25" ht="18.75" customHeight="1" x14ac:dyDescent="0.55000000000000004">
      <c r="A6" s="162"/>
      <c r="B6" s="165"/>
      <c r="C6" s="6" t="s">
        <v>94</v>
      </c>
      <c r="D6" s="109">
        <v>70000</v>
      </c>
      <c r="E6" s="51"/>
      <c r="F6" s="6">
        <v>1</v>
      </c>
      <c r="G6" s="6"/>
      <c r="H6" s="6"/>
      <c r="I6" s="6"/>
      <c r="J6" s="6"/>
      <c r="K6" s="28"/>
      <c r="L6" s="24"/>
      <c r="M6" s="147"/>
      <c r="N6" s="105"/>
      <c r="O6" s="6"/>
      <c r="P6" s="6"/>
      <c r="Q6" s="6"/>
      <c r="R6" s="6">
        <f>SUM(F6:Q6)</f>
        <v>1</v>
      </c>
      <c r="S6" s="6" t="str">
        <f t="shared" si="0"/>
        <v/>
      </c>
      <c r="T6" s="130">
        <v>0</v>
      </c>
      <c r="U6" s="134">
        <f>E6-R6-T6</f>
        <v>-1</v>
      </c>
      <c r="W6" s="160"/>
      <c r="X6" s="160"/>
    </row>
    <row r="7" spans="1:25" ht="18.75" customHeight="1" x14ac:dyDescent="0.55000000000000004">
      <c r="A7" s="162"/>
      <c r="B7" s="165"/>
      <c r="C7" s="37" t="s">
        <v>95</v>
      </c>
      <c r="D7" s="37"/>
      <c r="E7" s="43">
        <f>SUM(E2:E6)</f>
        <v>0</v>
      </c>
      <c r="F7" s="43">
        <f t="shared" ref="F7:R7" si="1">SUM(F2:F6)</f>
        <v>3</v>
      </c>
      <c r="G7" s="43">
        <f t="shared" si="1"/>
        <v>1</v>
      </c>
      <c r="H7" s="43">
        <f t="shared" si="1"/>
        <v>1</v>
      </c>
      <c r="I7" s="43">
        <f t="shared" si="1"/>
        <v>0</v>
      </c>
      <c r="J7" s="43">
        <f t="shared" si="1"/>
        <v>0</v>
      </c>
      <c r="K7" s="43">
        <f t="shared" si="1"/>
        <v>0</v>
      </c>
      <c r="L7" s="43">
        <f t="shared" si="1"/>
        <v>0</v>
      </c>
      <c r="M7" s="43">
        <f t="shared" si="1"/>
        <v>0</v>
      </c>
      <c r="N7" s="43">
        <f t="shared" si="1"/>
        <v>0</v>
      </c>
      <c r="O7" s="43">
        <f t="shared" si="1"/>
        <v>0</v>
      </c>
      <c r="P7" s="43">
        <f t="shared" si="1"/>
        <v>0</v>
      </c>
      <c r="Q7" s="43">
        <f t="shared" si="1"/>
        <v>0</v>
      </c>
      <c r="R7" s="43">
        <f t="shared" si="1"/>
        <v>5</v>
      </c>
      <c r="S7" s="37">
        <f>SUM(S2:S6)</f>
        <v>0</v>
      </c>
      <c r="T7" s="119">
        <f>SUM(T2:T6)</f>
        <v>1</v>
      </c>
      <c r="U7" s="119">
        <f>SUM(U2:U6)</f>
        <v>-6</v>
      </c>
      <c r="W7" s="93"/>
      <c r="X7" s="93"/>
    </row>
    <row r="8" spans="1:25" ht="18.75" customHeight="1" x14ac:dyDescent="0.55000000000000004">
      <c r="A8" s="162"/>
      <c r="B8" s="166"/>
      <c r="C8" s="37" t="s">
        <v>96</v>
      </c>
      <c r="D8" s="37"/>
      <c r="E8" s="110">
        <f>SUMPRODUCT(D2:D4,E2:E4)</f>
        <v>0</v>
      </c>
      <c r="F8" s="110">
        <f>SUMPRODUCT($D2:$D6,F2:F6)</f>
        <v>246000</v>
      </c>
      <c r="G8" s="110">
        <f>SUMPRODUCT($D2:$D6,G2:G6)</f>
        <v>78000</v>
      </c>
      <c r="H8" s="110">
        <f t="shared" ref="H8:Q8" si="2">SUMPRODUCT($D2:$D6,H2:H6)</f>
        <v>78000</v>
      </c>
      <c r="I8" s="110">
        <f t="shared" si="2"/>
        <v>0</v>
      </c>
      <c r="J8" s="110">
        <f t="shared" si="2"/>
        <v>0</v>
      </c>
      <c r="K8" s="110">
        <f t="shared" si="2"/>
        <v>0</v>
      </c>
      <c r="L8" s="110">
        <f t="shared" si="2"/>
        <v>0</v>
      </c>
      <c r="M8" s="110">
        <f t="shared" si="2"/>
        <v>0</v>
      </c>
      <c r="N8" s="110">
        <f t="shared" si="2"/>
        <v>0</v>
      </c>
      <c r="O8" s="110">
        <f t="shared" si="2"/>
        <v>0</v>
      </c>
      <c r="P8" s="110">
        <f t="shared" si="2"/>
        <v>0</v>
      </c>
      <c r="Q8" s="110">
        <f t="shared" si="2"/>
        <v>0</v>
      </c>
      <c r="R8" s="110">
        <f>SUMPRODUCT(D2:D6,R2:R6)</f>
        <v>402000</v>
      </c>
      <c r="S8" s="37">
        <f>SUMPRODUCT(D2:D6,S2:S6)</f>
        <v>0</v>
      </c>
      <c r="T8" s="119">
        <f>SUMPRODUCT(D2:D6,T2:T6)</f>
        <v>78000</v>
      </c>
      <c r="U8" s="119" t="e">
        <f>SUMPRODUCT(#REF!,U2:U6)</f>
        <v>#REF!</v>
      </c>
      <c r="W8" s="93"/>
      <c r="X8" s="93"/>
    </row>
    <row r="9" spans="1:25" ht="18.75" customHeight="1" x14ac:dyDescent="0.55000000000000004">
      <c r="A9" s="162"/>
      <c r="B9" s="164" t="s">
        <v>20</v>
      </c>
      <c r="C9" s="6" t="s">
        <v>91</v>
      </c>
      <c r="D9" s="109">
        <v>110000</v>
      </c>
      <c r="E9" s="51"/>
      <c r="F9" s="6">
        <v>2</v>
      </c>
      <c r="G9" s="6"/>
      <c r="H9" s="6">
        <v>1</v>
      </c>
      <c r="I9" s="6"/>
      <c r="J9" s="6"/>
      <c r="K9" s="28"/>
      <c r="L9" s="107"/>
      <c r="M9" s="108"/>
      <c r="N9" s="13"/>
      <c r="O9" s="6"/>
      <c r="P9" s="6"/>
      <c r="Q9" s="6"/>
      <c r="R9" s="6">
        <f>SUM(F9:Q9)</f>
        <v>3</v>
      </c>
      <c r="S9" s="6" t="str">
        <f>IF(E9="","",E9-R9)</f>
        <v/>
      </c>
      <c r="T9" s="130">
        <v>1</v>
      </c>
      <c r="U9" s="130">
        <f>E9-R9-T9</f>
        <v>-4</v>
      </c>
      <c r="W9" s="18" t="s">
        <v>52</v>
      </c>
      <c r="X9" s="18" t="s">
        <v>97</v>
      </c>
      <c r="Y9" t="s">
        <v>54</v>
      </c>
    </row>
    <row r="10" spans="1:25" ht="18.75" customHeight="1" x14ac:dyDescent="0.55000000000000004">
      <c r="A10" s="162"/>
      <c r="B10" s="165"/>
      <c r="C10" s="6" t="s">
        <v>92</v>
      </c>
      <c r="D10" s="109">
        <v>55000</v>
      </c>
      <c r="E10" s="97"/>
      <c r="F10" s="6"/>
      <c r="G10" s="6">
        <v>1</v>
      </c>
      <c r="H10" s="6"/>
      <c r="I10" s="6"/>
      <c r="J10" s="6"/>
      <c r="K10" s="28"/>
      <c r="L10" s="95"/>
      <c r="M10" s="96"/>
      <c r="N10" s="6"/>
      <c r="O10" s="6"/>
      <c r="P10" s="6"/>
      <c r="Q10" s="6"/>
      <c r="R10" s="6">
        <f t="shared" ref="R10:R12" si="3">SUM(F10:Q10)</f>
        <v>1</v>
      </c>
      <c r="S10" s="6" t="str">
        <f>IF(E10="","",E10-R10)</f>
        <v/>
      </c>
      <c r="T10" s="130">
        <v>1</v>
      </c>
      <c r="U10" s="130">
        <v>0</v>
      </c>
      <c r="W10" s="18"/>
      <c r="X10" s="18"/>
    </row>
    <row r="11" spans="1:25" ht="18.75" customHeight="1" x14ac:dyDescent="0.55000000000000004">
      <c r="A11" s="162"/>
      <c r="B11" s="165"/>
      <c r="C11" s="6" t="s">
        <v>93</v>
      </c>
      <c r="D11" s="109">
        <v>88000</v>
      </c>
      <c r="E11" s="51"/>
      <c r="F11" s="6">
        <v>1</v>
      </c>
      <c r="G11" s="6">
        <v>1</v>
      </c>
      <c r="H11" s="6">
        <v>1</v>
      </c>
      <c r="I11" s="6"/>
      <c r="J11" s="6"/>
      <c r="K11" s="6"/>
      <c r="M11" s="6"/>
      <c r="N11" s="6"/>
      <c r="O11" s="6"/>
      <c r="P11" s="6"/>
      <c r="Q11" s="6"/>
      <c r="R11" s="6">
        <f t="shared" si="3"/>
        <v>3</v>
      </c>
      <c r="S11" s="6" t="str">
        <f t="shared" ref="S11:S14" si="4">IF(E11="","",E11-R11)</f>
        <v/>
      </c>
      <c r="T11" s="130">
        <v>2</v>
      </c>
      <c r="U11" s="130">
        <f>E11-R11-T11</f>
        <v>-5</v>
      </c>
      <c r="W11" s="18"/>
      <c r="X11" s="18"/>
    </row>
    <row r="12" spans="1:25" ht="18.75" customHeight="1" x14ac:dyDescent="0.55000000000000004">
      <c r="A12" s="162"/>
      <c r="B12" s="165"/>
      <c r="C12" s="6" t="s">
        <v>98</v>
      </c>
      <c r="D12" s="109">
        <v>35000</v>
      </c>
      <c r="E12" s="97"/>
      <c r="F12" s="6"/>
      <c r="G12" s="6"/>
      <c r="H12" s="6"/>
      <c r="I12" s="6"/>
      <c r="J12" s="6"/>
      <c r="K12" s="28"/>
      <c r="L12" s="24"/>
      <c r="M12" s="96"/>
      <c r="N12" s="6"/>
      <c r="O12" s="6"/>
      <c r="P12" s="6"/>
      <c r="Q12" s="6"/>
      <c r="R12" s="6">
        <f t="shared" si="3"/>
        <v>0</v>
      </c>
      <c r="S12" s="6" t="str">
        <f t="shared" si="4"/>
        <v/>
      </c>
      <c r="T12" s="130">
        <v>0</v>
      </c>
      <c r="U12" s="130">
        <f>E12-R12-T12</f>
        <v>0</v>
      </c>
      <c r="W12" s="18"/>
      <c r="X12" s="18"/>
    </row>
    <row r="13" spans="1:25" ht="18.75" customHeight="1" x14ac:dyDescent="0.55000000000000004">
      <c r="A13" s="162"/>
      <c r="B13" s="165"/>
      <c r="C13" s="6" t="s">
        <v>122</v>
      </c>
      <c r="D13" s="109">
        <v>78000</v>
      </c>
      <c r="E13" s="97"/>
      <c r="F13" s="6"/>
      <c r="G13" s="6"/>
      <c r="H13" s="6"/>
      <c r="I13" s="6"/>
      <c r="J13" s="6"/>
      <c r="K13" s="28"/>
      <c r="L13" s="24"/>
      <c r="M13" s="147"/>
      <c r="N13" s="105"/>
      <c r="O13" s="6"/>
      <c r="P13" s="6"/>
      <c r="Q13" s="6"/>
      <c r="R13" s="6">
        <f t="shared" ref="R13" si="5">SUM(F13:Q13)</f>
        <v>0</v>
      </c>
      <c r="S13" s="6" t="str">
        <f t="shared" si="4"/>
        <v/>
      </c>
      <c r="T13" s="130">
        <v>0</v>
      </c>
      <c r="U13" s="130">
        <f>E13-R13-T13</f>
        <v>0</v>
      </c>
      <c r="W13" s="160"/>
      <c r="X13" s="160"/>
    </row>
    <row r="14" spans="1:25" ht="18.75" customHeight="1" x14ac:dyDescent="0.55000000000000004">
      <c r="A14" s="162"/>
      <c r="B14" s="165"/>
      <c r="C14" s="6" t="s">
        <v>94</v>
      </c>
      <c r="D14" s="109">
        <v>70000</v>
      </c>
      <c r="E14" s="51"/>
      <c r="F14" s="6">
        <v>1</v>
      </c>
      <c r="G14" s="6"/>
      <c r="H14" s="6"/>
      <c r="I14" s="6"/>
      <c r="J14" s="6"/>
      <c r="K14" s="28"/>
      <c r="L14" s="24"/>
      <c r="M14" s="147"/>
      <c r="N14" s="105"/>
      <c r="O14" s="6"/>
      <c r="P14" s="6"/>
      <c r="Q14" s="6"/>
      <c r="R14" s="6">
        <f>SUM(F14:Q14)</f>
        <v>1</v>
      </c>
      <c r="S14" s="6" t="str">
        <f t="shared" si="4"/>
        <v/>
      </c>
      <c r="T14" s="130">
        <v>0</v>
      </c>
      <c r="U14" s="134">
        <f>E14-R14-T14</f>
        <v>-1</v>
      </c>
      <c r="W14" s="160"/>
      <c r="X14" s="160"/>
    </row>
    <row r="15" spans="1:25" ht="18.75" customHeight="1" x14ac:dyDescent="0.55000000000000004">
      <c r="A15" s="162"/>
      <c r="B15" s="165"/>
      <c r="C15" s="37" t="s">
        <v>95</v>
      </c>
      <c r="D15" s="37"/>
      <c r="E15" s="43">
        <f>SUM(E9:E14)</f>
        <v>0</v>
      </c>
      <c r="F15" s="43">
        <f t="shared" ref="F15:R15" si="6">SUM(F9:F14)</f>
        <v>4</v>
      </c>
      <c r="G15" s="43">
        <f t="shared" si="6"/>
        <v>2</v>
      </c>
      <c r="H15" s="43">
        <f t="shared" si="6"/>
        <v>2</v>
      </c>
      <c r="I15" s="43">
        <f t="shared" si="6"/>
        <v>0</v>
      </c>
      <c r="J15" s="43">
        <f t="shared" si="6"/>
        <v>0</v>
      </c>
      <c r="K15" s="43">
        <f t="shared" si="6"/>
        <v>0</v>
      </c>
      <c r="L15" s="43">
        <f t="shared" si="6"/>
        <v>0</v>
      </c>
      <c r="M15" s="43">
        <f t="shared" si="6"/>
        <v>0</v>
      </c>
      <c r="N15" s="43">
        <f t="shared" si="6"/>
        <v>0</v>
      </c>
      <c r="O15" s="43">
        <f t="shared" si="6"/>
        <v>0</v>
      </c>
      <c r="P15" s="43">
        <f t="shared" si="6"/>
        <v>0</v>
      </c>
      <c r="Q15" s="43">
        <f t="shared" si="6"/>
        <v>0</v>
      </c>
      <c r="R15" s="43">
        <f t="shared" si="6"/>
        <v>8</v>
      </c>
      <c r="S15" s="37">
        <f>SUM(S10:S14)</f>
        <v>0</v>
      </c>
      <c r="T15" s="119">
        <f>SUM(T9:T14)</f>
        <v>4</v>
      </c>
      <c r="U15" s="119">
        <f>SUM(U9:U14)</f>
        <v>-10</v>
      </c>
      <c r="W15" s="88"/>
      <c r="X15" s="88"/>
    </row>
    <row r="16" spans="1:25" ht="18.75" customHeight="1" x14ac:dyDescent="0.55000000000000004">
      <c r="A16" s="162"/>
      <c r="B16" s="166"/>
      <c r="C16" s="37" t="s">
        <v>96</v>
      </c>
      <c r="D16" s="37"/>
      <c r="E16" s="110">
        <f>SUMPRODUCT(D9:D12,E9:E12)</f>
        <v>0</v>
      </c>
      <c r="F16" s="110">
        <f>SUMPRODUCT($D9:$D14,F9:F14)</f>
        <v>378000</v>
      </c>
      <c r="G16" s="110">
        <f t="shared" ref="G16:Q16" si="7">SUMPRODUCT($D9:$D14,G9:G14)</f>
        <v>143000</v>
      </c>
      <c r="H16" s="110">
        <f t="shared" si="7"/>
        <v>198000</v>
      </c>
      <c r="I16" s="110">
        <f t="shared" si="7"/>
        <v>0</v>
      </c>
      <c r="J16" s="110">
        <f t="shared" si="7"/>
        <v>0</v>
      </c>
      <c r="K16" s="110">
        <f t="shared" si="7"/>
        <v>0</v>
      </c>
      <c r="L16" s="110">
        <f t="shared" si="7"/>
        <v>0</v>
      </c>
      <c r="M16" s="110">
        <f t="shared" si="7"/>
        <v>0</v>
      </c>
      <c r="N16" s="110">
        <f t="shared" si="7"/>
        <v>0</v>
      </c>
      <c r="O16" s="110">
        <f t="shared" si="7"/>
        <v>0</v>
      </c>
      <c r="P16" s="110">
        <f t="shared" si="7"/>
        <v>0</v>
      </c>
      <c r="Q16" s="110">
        <f t="shared" si="7"/>
        <v>0</v>
      </c>
      <c r="R16" s="110">
        <f>SUMPRODUCT(D9:D14,R9:R14)</f>
        <v>719000</v>
      </c>
      <c r="S16" s="110">
        <f>SUMPRODUCT(D9:D14,S9:S14)</f>
        <v>0</v>
      </c>
      <c r="T16" s="110">
        <f>SUMPRODUCT(D9:D14,T9:T14)</f>
        <v>341000</v>
      </c>
      <c r="U16" s="110">
        <f>SUMPRODUCT(D9:D14,U9:U14)</f>
        <v>-950000</v>
      </c>
      <c r="W16" s="88"/>
      <c r="X16" s="88"/>
    </row>
    <row r="17" spans="1:25" ht="18.75" customHeight="1" x14ac:dyDescent="0.55000000000000004">
      <c r="A17" s="162"/>
      <c r="B17" s="164" t="s">
        <v>21</v>
      </c>
      <c r="C17" s="6" t="s">
        <v>91</v>
      </c>
      <c r="D17" s="109">
        <v>110000</v>
      </c>
      <c r="E17" s="51"/>
      <c r="F17" s="6">
        <v>1</v>
      </c>
      <c r="G17" s="6"/>
      <c r="H17" s="6"/>
      <c r="I17" s="6"/>
      <c r="J17" s="6"/>
      <c r="K17" s="6"/>
      <c r="L17" s="6"/>
      <c r="M17" s="6"/>
      <c r="N17" s="6"/>
      <c r="O17" s="6"/>
      <c r="P17" s="6"/>
      <c r="Q17" s="6"/>
      <c r="R17" s="6">
        <f>SUM(F17:Q17)</f>
        <v>1</v>
      </c>
      <c r="S17" s="6" t="str">
        <f>IF(E17="","",E17-R17)</f>
        <v/>
      </c>
      <c r="T17" s="130">
        <v>0</v>
      </c>
      <c r="U17" s="130">
        <f>E17-R17-T17</f>
        <v>-1</v>
      </c>
      <c r="W17" s="18" t="s">
        <v>55</v>
      </c>
      <c r="X17" s="18" t="s">
        <v>99</v>
      </c>
      <c r="Y17" t="s">
        <v>57</v>
      </c>
    </row>
    <row r="18" spans="1:25" ht="18.75" customHeight="1" x14ac:dyDescent="0.55000000000000004">
      <c r="A18" s="162"/>
      <c r="B18" s="165"/>
      <c r="C18" s="6" t="s">
        <v>92</v>
      </c>
      <c r="D18" s="109">
        <v>55000</v>
      </c>
      <c r="E18" s="97"/>
      <c r="F18" s="6"/>
      <c r="G18" s="6"/>
      <c r="H18" s="6"/>
      <c r="I18" s="6"/>
      <c r="J18" s="6"/>
      <c r="K18" s="6"/>
      <c r="L18" s="6"/>
      <c r="M18" s="6"/>
      <c r="N18" s="6"/>
      <c r="O18" s="6"/>
      <c r="P18" s="6"/>
      <c r="Q18" s="6"/>
      <c r="R18" s="6">
        <f>SUM(F18:Q18)</f>
        <v>0</v>
      </c>
      <c r="S18" s="6" t="str">
        <f t="shared" ref="S18:S21" si="8">IF(E18="","",E18-R18)</f>
        <v/>
      </c>
      <c r="T18" s="130">
        <v>0</v>
      </c>
      <c r="U18" s="130">
        <v>0</v>
      </c>
      <c r="W18" s="18"/>
      <c r="X18" s="18"/>
    </row>
    <row r="19" spans="1:25" ht="18.75" customHeight="1" x14ac:dyDescent="0.55000000000000004">
      <c r="A19" s="162"/>
      <c r="B19" s="165"/>
      <c r="C19" s="6" t="s">
        <v>93</v>
      </c>
      <c r="D19" s="109">
        <v>88000</v>
      </c>
      <c r="E19" s="51"/>
      <c r="F19" s="6">
        <v>2</v>
      </c>
      <c r="G19" s="6"/>
      <c r="H19" s="6"/>
      <c r="I19" s="6"/>
      <c r="J19" s="6"/>
      <c r="K19" s="6"/>
      <c r="L19" s="6"/>
      <c r="M19" s="6"/>
      <c r="N19" s="6"/>
      <c r="O19" s="6"/>
      <c r="P19" s="6"/>
      <c r="Q19" s="6"/>
      <c r="R19" s="6">
        <f>SUM(F19:Q19)</f>
        <v>2</v>
      </c>
      <c r="S19" s="6" t="str">
        <f t="shared" si="8"/>
        <v/>
      </c>
      <c r="T19" s="130">
        <v>0</v>
      </c>
      <c r="U19" s="130">
        <f>E19-R19-T19</f>
        <v>-2</v>
      </c>
      <c r="W19" s="18"/>
      <c r="X19" s="18"/>
    </row>
    <row r="20" spans="1:25" ht="18.75" customHeight="1" x14ac:dyDescent="0.55000000000000004">
      <c r="A20" s="162"/>
      <c r="B20" s="165"/>
      <c r="C20" s="6" t="s">
        <v>122</v>
      </c>
      <c r="D20" s="109">
        <v>78000</v>
      </c>
      <c r="E20" s="51"/>
      <c r="F20" s="6"/>
      <c r="G20" s="6">
        <v>1</v>
      </c>
      <c r="H20" s="6"/>
      <c r="I20" s="6"/>
      <c r="J20" s="6"/>
      <c r="K20" s="28"/>
      <c r="L20" s="1"/>
      <c r="M20" s="147"/>
      <c r="N20" s="105"/>
      <c r="O20" s="6"/>
      <c r="P20" s="6"/>
      <c r="Q20" s="6"/>
      <c r="R20" s="6">
        <f>SUM(F20:Q20)</f>
        <v>1</v>
      </c>
      <c r="S20" s="6" t="str">
        <f t="shared" si="8"/>
        <v/>
      </c>
      <c r="T20" s="130">
        <v>1</v>
      </c>
      <c r="U20" s="130">
        <f>E20-R20-T20</f>
        <v>-2</v>
      </c>
      <c r="W20" s="160"/>
      <c r="X20" s="160"/>
    </row>
    <row r="21" spans="1:25" ht="18.75" customHeight="1" x14ac:dyDescent="0.55000000000000004">
      <c r="A21" s="162"/>
      <c r="B21" s="165"/>
      <c r="C21" s="6" t="s">
        <v>94</v>
      </c>
      <c r="D21" s="109">
        <v>70000</v>
      </c>
      <c r="E21" s="51"/>
      <c r="F21" s="6">
        <v>1</v>
      </c>
      <c r="G21" s="6"/>
      <c r="H21" s="6"/>
      <c r="I21" s="6"/>
      <c r="J21" s="6"/>
      <c r="K21" s="28"/>
      <c r="L21" s="24"/>
      <c r="M21" s="147"/>
      <c r="N21" s="105"/>
      <c r="O21" s="6"/>
      <c r="P21" s="6"/>
      <c r="Q21" s="6"/>
      <c r="R21" s="6">
        <f>SUM(F21:Q21)</f>
        <v>1</v>
      </c>
      <c r="S21" s="6" t="str">
        <f t="shared" si="8"/>
        <v/>
      </c>
      <c r="T21" s="130">
        <v>0</v>
      </c>
      <c r="U21" s="134">
        <f>E21-R21-T21</f>
        <v>-1</v>
      </c>
      <c r="W21" s="160"/>
      <c r="X21" s="160"/>
    </row>
    <row r="22" spans="1:25" ht="18.75" customHeight="1" x14ac:dyDescent="0.55000000000000004">
      <c r="A22" s="162"/>
      <c r="B22" s="165"/>
      <c r="C22" s="37" t="s">
        <v>95</v>
      </c>
      <c r="D22" s="37"/>
      <c r="E22" s="43">
        <f>SUM(E17:E21)</f>
        <v>0</v>
      </c>
      <c r="F22" s="43">
        <f t="shared" ref="F22:R22" si="9">SUM(F17:F21)</f>
        <v>4</v>
      </c>
      <c r="G22" s="43">
        <f t="shared" si="9"/>
        <v>1</v>
      </c>
      <c r="H22" s="43">
        <f t="shared" si="9"/>
        <v>0</v>
      </c>
      <c r="I22" s="43">
        <f t="shared" si="9"/>
        <v>0</v>
      </c>
      <c r="J22" s="43">
        <f t="shared" si="9"/>
        <v>0</v>
      </c>
      <c r="K22" s="43">
        <f t="shared" si="9"/>
        <v>0</v>
      </c>
      <c r="L22" s="43">
        <f t="shared" si="9"/>
        <v>0</v>
      </c>
      <c r="M22" s="43">
        <f t="shared" si="9"/>
        <v>0</v>
      </c>
      <c r="N22" s="43">
        <f t="shared" si="9"/>
        <v>0</v>
      </c>
      <c r="O22" s="43">
        <f t="shared" si="9"/>
        <v>0</v>
      </c>
      <c r="P22" s="43">
        <f t="shared" si="9"/>
        <v>0</v>
      </c>
      <c r="Q22" s="43">
        <f t="shared" si="9"/>
        <v>0</v>
      </c>
      <c r="R22" s="43">
        <f t="shared" si="9"/>
        <v>5</v>
      </c>
      <c r="S22" s="37">
        <f>SUM(S17:S21)</f>
        <v>0</v>
      </c>
      <c r="T22" s="119">
        <f>SUM(T17:T21)</f>
        <v>1</v>
      </c>
      <c r="U22" s="119">
        <f>SUM(U17:U21)</f>
        <v>-6</v>
      </c>
      <c r="W22" s="88"/>
      <c r="X22" s="88"/>
    </row>
    <row r="23" spans="1:25" ht="18.75" customHeight="1" x14ac:dyDescent="0.55000000000000004">
      <c r="A23" s="162"/>
      <c r="B23" s="166"/>
      <c r="C23" s="37" t="s">
        <v>96</v>
      </c>
      <c r="D23" s="37"/>
      <c r="E23" s="110">
        <f>SUMPRODUCT(D17:D19,E17:E19)</f>
        <v>0</v>
      </c>
      <c r="F23" s="110">
        <f>SUMPRODUCT($D17:$D21,F17:F21)</f>
        <v>356000</v>
      </c>
      <c r="G23" s="110">
        <f t="shared" ref="G23:Q23" si="10">SUMPRODUCT($D17:$D21,G17:G21)</f>
        <v>78000</v>
      </c>
      <c r="H23" s="110">
        <f t="shared" si="10"/>
        <v>0</v>
      </c>
      <c r="I23" s="110">
        <f t="shared" si="10"/>
        <v>0</v>
      </c>
      <c r="J23" s="110">
        <f t="shared" si="10"/>
        <v>0</v>
      </c>
      <c r="K23" s="110">
        <f t="shared" si="10"/>
        <v>0</v>
      </c>
      <c r="L23" s="110">
        <f t="shared" si="10"/>
        <v>0</v>
      </c>
      <c r="M23" s="110">
        <f t="shared" si="10"/>
        <v>0</v>
      </c>
      <c r="N23" s="110">
        <f t="shared" si="10"/>
        <v>0</v>
      </c>
      <c r="O23" s="110">
        <f t="shared" si="10"/>
        <v>0</v>
      </c>
      <c r="P23" s="110">
        <f t="shared" si="10"/>
        <v>0</v>
      </c>
      <c r="Q23" s="110">
        <f t="shared" si="10"/>
        <v>0</v>
      </c>
      <c r="R23" s="110">
        <f>SUMPRODUCT(D17:D21,R17:R21)</f>
        <v>434000</v>
      </c>
      <c r="S23" s="110">
        <f>SUMPRODUCT(D17:D21,S17:S21)</f>
        <v>0</v>
      </c>
      <c r="T23" s="110">
        <f>SUMPRODUCT(D17:D21,T17:T21)</f>
        <v>78000</v>
      </c>
      <c r="U23" s="110">
        <f>SUMPRODUCT(D17:D21,U17:U21)</f>
        <v>-512000</v>
      </c>
      <c r="W23" s="88"/>
      <c r="X23" s="88"/>
    </row>
    <row r="24" spans="1:25" ht="18.75" customHeight="1" x14ac:dyDescent="0.55000000000000004">
      <c r="A24" s="162"/>
      <c r="B24" s="164" t="s">
        <v>22</v>
      </c>
      <c r="C24" s="6" t="s">
        <v>91</v>
      </c>
      <c r="D24" s="109">
        <v>110000</v>
      </c>
      <c r="E24" s="51"/>
      <c r="F24" s="6"/>
      <c r="G24" s="6"/>
      <c r="H24" s="6"/>
      <c r="I24" s="6"/>
      <c r="J24" s="6"/>
      <c r="K24" s="6"/>
      <c r="L24" s="6"/>
      <c r="M24" s="6"/>
      <c r="N24" s="6"/>
      <c r="O24" s="6"/>
      <c r="P24" s="6"/>
      <c r="Q24" s="6"/>
      <c r="R24" s="6">
        <f>SUM(F24:Q24)</f>
        <v>0</v>
      </c>
      <c r="S24" s="6" t="str">
        <f>IF(E24="","",E24-R24)</f>
        <v/>
      </c>
      <c r="T24" s="130">
        <v>0</v>
      </c>
      <c r="U24" s="130">
        <f>E24-R24-T24</f>
        <v>0</v>
      </c>
      <c r="W24" s="18" t="s">
        <v>58</v>
      </c>
      <c r="X24" s="18" t="s">
        <v>59</v>
      </c>
    </row>
    <row r="25" spans="1:25" ht="18.75" customHeight="1" x14ac:dyDescent="0.55000000000000004">
      <c r="A25" s="162"/>
      <c r="B25" s="165"/>
      <c r="C25" s="6" t="s">
        <v>92</v>
      </c>
      <c r="D25" s="109">
        <v>55000</v>
      </c>
      <c r="E25" s="51"/>
      <c r="F25" s="6"/>
      <c r="G25" s="6"/>
      <c r="H25" s="6"/>
      <c r="I25" s="6"/>
      <c r="J25" s="6"/>
      <c r="K25" s="6"/>
      <c r="L25" s="6"/>
      <c r="M25" s="6"/>
      <c r="N25" s="6"/>
      <c r="O25" s="6"/>
      <c r="P25" s="6"/>
      <c r="Q25" s="6"/>
      <c r="R25" s="6">
        <f>SUM(F25:Q25)</f>
        <v>0</v>
      </c>
      <c r="S25" s="6" t="str">
        <f t="shared" ref="S25:S28" si="11">IF(E25="","",E25-R25)</f>
        <v/>
      </c>
      <c r="T25" s="130">
        <v>0</v>
      </c>
      <c r="U25" s="130">
        <v>0</v>
      </c>
      <c r="W25" s="158"/>
      <c r="X25" s="158"/>
    </row>
    <row r="26" spans="1:25" ht="18.75" customHeight="1" x14ac:dyDescent="0.55000000000000004">
      <c r="A26" s="162"/>
      <c r="B26" s="165"/>
      <c r="C26" s="6" t="s">
        <v>93</v>
      </c>
      <c r="D26" s="109">
        <v>88000</v>
      </c>
      <c r="E26" s="51"/>
      <c r="F26" s="6">
        <v>2</v>
      </c>
      <c r="G26" s="6"/>
      <c r="H26" s="6">
        <v>2</v>
      </c>
      <c r="I26" s="6"/>
      <c r="J26" s="6"/>
      <c r="K26" s="6"/>
      <c r="L26" s="6"/>
      <c r="M26" s="6"/>
      <c r="N26" s="6"/>
      <c r="O26" s="6"/>
      <c r="P26" s="6"/>
      <c r="Q26" s="6"/>
      <c r="R26" s="6">
        <f>SUM(F26:Q26)</f>
        <v>4</v>
      </c>
      <c r="S26" s="6" t="str">
        <f t="shared" si="11"/>
        <v/>
      </c>
      <c r="T26" s="130">
        <v>1</v>
      </c>
      <c r="U26" s="130">
        <v>0</v>
      </c>
      <c r="W26" s="158"/>
      <c r="X26" s="158"/>
    </row>
    <row r="27" spans="1:25" ht="18.75" customHeight="1" x14ac:dyDescent="0.55000000000000004">
      <c r="A27" s="162"/>
      <c r="B27" s="165"/>
      <c r="C27" s="6" t="s">
        <v>122</v>
      </c>
      <c r="D27" s="109">
        <v>78000</v>
      </c>
      <c r="E27" s="51"/>
      <c r="F27" s="6"/>
      <c r="G27" s="6"/>
      <c r="H27" s="6"/>
      <c r="I27" s="6"/>
      <c r="J27" s="6"/>
      <c r="K27" s="6"/>
      <c r="L27" s="6"/>
      <c r="M27" s="6"/>
      <c r="N27" s="6"/>
      <c r="O27" s="6"/>
      <c r="P27" s="6"/>
      <c r="Q27" s="6"/>
      <c r="R27" s="6">
        <f>SUM(F27:Q27)</f>
        <v>0</v>
      </c>
      <c r="S27" s="6" t="str">
        <f t="shared" si="11"/>
        <v/>
      </c>
      <c r="T27" s="130">
        <v>0</v>
      </c>
      <c r="U27" s="130">
        <v>0</v>
      </c>
      <c r="W27" s="159"/>
      <c r="X27" s="159"/>
    </row>
    <row r="28" spans="1:25" ht="18.75" customHeight="1" x14ac:dyDescent="0.55000000000000004">
      <c r="A28" s="162"/>
      <c r="B28" s="165"/>
      <c r="C28" s="6" t="s">
        <v>94</v>
      </c>
      <c r="D28" s="109">
        <v>70000</v>
      </c>
      <c r="E28" s="51"/>
      <c r="F28" s="6">
        <v>1</v>
      </c>
      <c r="G28" s="6"/>
      <c r="H28" s="6"/>
      <c r="I28" s="6"/>
      <c r="J28" s="13"/>
      <c r="K28" s="25"/>
      <c r="L28" s="30"/>
      <c r="M28" s="149"/>
      <c r="N28" s="150"/>
      <c r="O28" s="13"/>
      <c r="P28" s="13"/>
      <c r="Q28" s="13"/>
      <c r="R28" s="6">
        <f>SUM(F28:Q28)</f>
        <v>1</v>
      </c>
      <c r="S28" s="6" t="str">
        <f t="shared" si="11"/>
        <v/>
      </c>
      <c r="T28" s="130">
        <v>0</v>
      </c>
      <c r="U28" s="134">
        <f>E28-R28-T28</f>
        <v>-1</v>
      </c>
      <c r="W28" s="160"/>
      <c r="X28" s="160"/>
    </row>
    <row r="29" spans="1:25" ht="18.75" customHeight="1" x14ac:dyDescent="0.55000000000000004">
      <c r="A29" s="162"/>
      <c r="B29" s="165"/>
      <c r="C29" s="37" t="s">
        <v>95</v>
      </c>
      <c r="D29" s="37"/>
      <c r="E29" s="43">
        <f>SUM(E24:E28)</f>
        <v>0</v>
      </c>
      <c r="F29" s="43">
        <f t="shared" ref="F29:R29" si="12">SUM(F24:F28)</f>
        <v>3</v>
      </c>
      <c r="G29" s="43">
        <f t="shared" si="12"/>
        <v>0</v>
      </c>
      <c r="H29" s="43">
        <f t="shared" si="12"/>
        <v>2</v>
      </c>
      <c r="I29" s="43">
        <f t="shared" si="12"/>
        <v>0</v>
      </c>
      <c r="J29" s="43">
        <f t="shared" si="12"/>
        <v>0</v>
      </c>
      <c r="K29" s="43">
        <f t="shared" si="12"/>
        <v>0</v>
      </c>
      <c r="L29" s="43">
        <f t="shared" si="12"/>
        <v>0</v>
      </c>
      <c r="M29" s="43">
        <f t="shared" si="12"/>
        <v>0</v>
      </c>
      <c r="N29" s="43">
        <f t="shared" si="12"/>
        <v>0</v>
      </c>
      <c r="O29" s="43">
        <f t="shared" si="12"/>
        <v>0</v>
      </c>
      <c r="P29" s="43">
        <f t="shared" si="12"/>
        <v>0</v>
      </c>
      <c r="Q29" s="43">
        <f t="shared" si="12"/>
        <v>0</v>
      </c>
      <c r="R29" s="43">
        <f t="shared" si="12"/>
        <v>5</v>
      </c>
      <c r="S29" s="37">
        <f>SUM(S24:S28)</f>
        <v>0</v>
      </c>
      <c r="T29" s="119">
        <f>SUM(T24:T28)</f>
        <v>1</v>
      </c>
      <c r="U29" s="119">
        <f>SUM(U24:U28)</f>
        <v>-1</v>
      </c>
      <c r="W29" s="89"/>
      <c r="X29" s="89"/>
    </row>
    <row r="30" spans="1:25" ht="18.75" customHeight="1" x14ac:dyDescent="0.55000000000000004">
      <c r="A30" s="162"/>
      <c r="B30" s="166"/>
      <c r="C30" s="37" t="s">
        <v>96</v>
      </c>
      <c r="D30" s="37"/>
      <c r="E30" s="110">
        <f>SUMPRODUCT(D24:D26,E24:E26)</f>
        <v>0</v>
      </c>
      <c r="F30" s="43">
        <f>SUMPRODUCT($D24:$D28,F24:F28)</f>
        <v>246000</v>
      </c>
      <c r="G30" s="43">
        <f t="shared" ref="G30:Q30" si="13">SUMPRODUCT($D24:$D28,G24:G28)</f>
        <v>0</v>
      </c>
      <c r="H30" s="43">
        <f t="shared" si="13"/>
        <v>176000</v>
      </c>
      <c r="I30" s="43">
        <f t="shared" si="13"/>
        <v>0</v>
      </c>
      <c r="J30" s="43">
        <f t="shared" si="13"/>
        <v>0</v>
      </c>
      <c r="K30" s="43">
        <f t="shared" si="13"/>
        <v>0</v>
      </c>
      <c r="L30" s="43">
        <f t="shared" si="13"/>
        <v>0</v>
      </c>
      <c r="M30" s="43">
        <f t="shared" si="13"/>
        <v>0</v>
      </c>
      <c r="N30" s="43">
        <f t="shared" si="13"/>
        <v>0</v>
      </c>
      <c r="O30" s="43">
        <f t="shared" si="13"/>
        <v>0</v>
      </c>
      <c r="P30" s="43">
        <f t="shared" si="13"/>
        <v>0</v>
      </c>
      <c r="Q30" s="43">
        <f t="shared" si="13"/>
        <v>0</v>
      </c>
      <c r="R30" s="135">
        <f>SUMPRODUCT(D24:D28,R24:R28)</f>
        <v>422000</v>
      </c>
      <c r="S30" s="43">
        <f>SUMPRODUCT(D24:D28,S24:S28)</f>
        <v>0</v>
      </c>
      <c r="T30" s="43">
        <f>SUMPRODUCT(D24:D28,T24:T28)</f>
        <v>88000</v>
      </c>
      <c r="U30" s="43">
        <f>SUMPRODUCT(D24:D28,U24:U28)</f>
        <v>-70000</v>
      </c>
      <c r="W30" s="89"/>
      <c r="X30" s="89"/>
    </row>
    <row r="31" spans="1:25" ht="18.75" customHeight="1" thickBot="1" x14ac:dyDescent="0.6">
      <c r="A31" s="163"/>
      <c r="B31" s="77" t="s">
        <v>11</v>
      </c>
      <c r="C31" s="77"/>
      <c r="D31" s="77"/>
      <c r="E31" s="80"/>
      <c r="F31" s="77"/>
      <c r="G31" s="77"/>
      <c r="H31" s="77"/>
      <c r="I31" s="77"/>
      <c r="J31" s="77"/>
      <c r="K31" s="77"/>
      <c r="L31" s="77"/>
      <c r="M31" s="77">
        <v>50000</v>
      </c>
      <c r="N31" s="77"/>
      <c r="O31" s="77"/>
      <c r="P31" s="77"/>
      <c r="Q31" s="77"/>
      <c r="R31" s="78">
        <f>SUM(F31:K31)</f>
        <v>0</v>
      </c>
      <c r="S31" s="101">
        <f>SUM(S29,S22,S15,S7)</f>
        <v>0</v>
      </c>
      <c r="T31" s="120"/>
      <c r="U31" s="120"/>
      <c r="W31" s="19"/>
      <c r="X31" s="19"/>
    </row>
    <row r="32" spans="1:25" ht="18" x14ac:dyDescent="0.55000000000000004">
      <c r="A32" s="161" t="s">
        <v>100</v>
      </c>
      <c r="B32" s="164" t="s">
        <v>19</v>
      </c>
      <c r="C32" s="6" t="s">
        <v>101</v>
      </c>
      <c r="D32" s="109">
        <v>500000</v>
      </c>
      <c r="E32" s="51"/>
      <c r="F32" s="6"/>
      <c r="G32" s="6"/>
      <c r="H32" s="6"/>
      <c r="I32" s="6"/>
      <c r="J32" s="6"/>
      <c r="K32" s="6"/>
      <c r="L32" s="6"/>
      <c r="M32" s="6"/>
      <c r="N32" s="6"/>
      <c r="O32" s="6"/>
      <c r="P32" s="6"/>
      <c r="Q32" s="6"/>
      <c r="R32" s="6">
        <f>SUM(F32:Q32)</f>
        <v>0</v>
      </c>
      <c r="S32" s="6" t="str">
        <f t="shared" ref="S32:S33" si="14">IF(E32="","",E32-R32)</f>
        <v/>
      </c>
      <c r="T32" s="130">
        <v>0</v>
      </c>
      <c r="U32" s="130">
        <f>E32-R32-T32</f>
        <v>0</v>
      </c>
      <c r="W32" s="18" t="s">
        <v>61</v>
      </c>
      <c r="X32" s="18"/>
      <c r="Y32" t="s">
        <v>62</v>
      </c>
    </row>
    <row r="33" spans="1:25" ht="18" customHeight="1" x14ac:dyDescent="0.55000000000000004">
      <c r="A33" s="162"/>
      <c r="B33" s="165"/>
      <c r="C33" s="6" t="s">
        <v>102</v>
      </c>
      <c r="D33" s="109">
        <v>250000</v>
      </c>
      <c r="E33" s="51"/>
      <c r="F33" s="6"/>
      <c r="G33" s="6"/>
      <c r="H33" s="6"/>
      <c r="I33" s="6"/>
      <c r="J33" s="6"/>
      <c r="K33" s="6"/>
      <c r="L33" s="6"/>
      <c r="M33" s="6"/>
      <c r="N33" s="6"/>
      <c r="O33" s="6"/>
      <c r="P33" s="6"/>
      <c r="Q33" s="6"/>
      <c r="R33" s="6">
        <f t="shared" ref="R33:R47" si="15">SUM(F33:Q33)</f>
        <v>0</v>
      </c>
      <c r="S33" s="6" t="str">
        <f t="shared" si="14"/>
        <v/>
      </c>
      <c r="T33" s="130">
        <v>0</v>
      </c>
      <c r="U33" s="130">
        <f t="shared" ref="U33:U34" si="16">E33-R33-T33</f>
        <v>0</v>
      </c>
      <c r="W33" s="18"/>
      <c r="X33" s="18"/>
    </row>
    <row r="34" spans="1:25" ht="18" customHeight="1" x14ac:dyDescent="0.55000000000000004">
      <c r="A34" s="162"/>
      <c r="B34" s="165"/>
      <c r="C34" s="6" t="s">
        <v>103</v>
      </c>
      <c r="D34" s="109">
        <v>500000</v>
      </c>
      <c r="E34" s="51"/>
      <c r="F34" s="6"/>
      <c r="G34" s="6"/>
      <c r="H34" s="6"/>
      <c r="I34" s="6"/>
      <c r="J34" s="6"/>
      <c r="K34" s="6"/>
      <c r="L34" s="6"/>
      <c r="M34" s="6"/>
      <c r="N34" s="6"/>
      <c r="O34" s="6"/>
      <c r="P34" s="6"/>
      <c r="Q34" s="6"/>
      <c r="R34" s="6">
        <f t="shared" si="15"/>
        <v>0</v>
      </c>
      <c r="S34" s="6" t="str">
        <f>IF(E34="","",E34-R34)</f>
        <v/>
      </c>
      <c r="T34" s="130">
        <v>0</v>
      </c>
      <c r="U34" s="130">
        <f t="shared" si="16"/>
        <v>0</v>
      </c>
      <c r="W34" s="18"/>
      <c r="X34" s="18"/>
    </row>
    <row r="35" spans="1:25" ht="18" customHeight="1" x14ac:dyDescent="0.55000000000000004">
      <c r="A35" s="162"/>
      <c r="B35" s="165"/>
      <c r="C35" s="6" t="s">
        <v>104</v>
      </c>
      <c r="D35" s="109">
        <v>380000</v>
      </c>
      <c r="E35" s="51"/>
      <c r="F35" s="6"/>
      <c r="G35" s="6"/>
      <c r="H35" s="6"/>
      <c r="I35" s="6"/>
      <c r="J35" s="6"/>
      <c r="K35" s="6"/>
      <c r="L35" s="6"/>
      <c r="M35" s="6"/>
      <c r="N35" s="6"/>
      <c r="O35" s="6"/>
      <c r="P35" s="6"/>
      <c r="Q35" s="6"/>
      <c r="R35" s="6">
        <f t="shared" si="15"/>
        <v>0</v>
      </c>
      <c r="S35" s="6" t="str">
        <f t="shared" ref="S35:S38" si="17">IF(E35="","",E35-R35)</f>
        <v/>
      </c>
      <c r="T35" s="130">
        <v>0</v>
      </c>
      <c r="U35" s="130">
        <f>E35-R35-T35</f>
        <v>0</v>
      </c>
      <c r="W35" s="18"/>
      <c r="X35" s="18"/>
    </row>
    <row r="36" spans="1:25" ht="18" customHeight="1" x14ac:dyDescent="0.55000000000000004">
      <c r="A36" s="162"/>
      <c r="B36" s="165"/>
      <c r="C36" s="6" t="s">
        <v>123</v>
      </c>
      <c r="D36" s="109">
        <v>452000</v>
      </c>
      <c r="E36" s="51"/>
      <c r="F36" s="6"/>
      <c r="G36" s="6"/>
      <c r="H36" s="6"/>
      <c r="I36" s="6"/>
      <c r="J36" s="6"/>
      <c r="K36" s="6"/>
      <c r="L36" s="6"/>
      <c r="M36" s="6"/>
      <c r="N36" s="6"/>
      <c r="O36" s="6"/>
      <c r="P36" s="6"/>
      <c r="Q36" s="6"/>
      <c r="R36" s="6">
        <f t="shared" ref="R36:R37" si="18">SUM(F36:Q36)</f>
        <v>0</v>
      </c>
      <c r="S36" s="6" t="str">
        <f t="shared" si="17"/>
        <v/>
      </c>
      <c r="T36" s="130">
        <v>0</v>
      </c>
      <c r="U36" s="130">
        <f t="shared" ref="U36:U37" si="19">E36-R36-T36</f>
        <v>0</v>
      </c>
      <c r="W36" s="18"/>
      <c r="X36" s="18"/>
    </row>
    <row r="37" spans="1:25" ht="18" customHeight="1" x14ac:dyDescent="0.55000000000000004">
      <c r="A37" s="162"/>
      <c r="B37" s="165"/>
      <c r="C37" s="6" t="s">
        <v>124</v>
      </c>
      <c r="D37" s="109">
        <v>290000</v>
      </c>
      <c r="E37" s="51"/>
      <c r="F37" s="6"/>
      <c r="G37" s="6"/>
      <c r="H37" s="6"/>
      <c r="I37" s="6"/>
      <c r="J37" s="6"/>
      <c r="K37" s="6"/>
      <c r="L37" s="6"/>
      <c r="M37" s="6"/>
      <c r="N37" s="6"/>
      <c r="O37" s="6"/>
      <c r="P37" s="6"/>
      <c r="Q37" s="6"/>
      <c r="R37" s="6">
        <f t="shared" si="18"/>
        <v>0</v>
      </c>
      <c r="S37" s="6" t="str">
        <f t="shared" si="17"/>
        <v/>
      </c>
      <c r="T37" s="130">
        <v>0</v>
      </c>
      <c r="U37" s="130">
        <f t="shared" si="19"/>
        <v>0</v>
      </c>
      <c r="W37" s="18"/>
      <c r="X37" s="18"/>
    </row>
    <row r="38" spans="1:25" ht="18" customHeight="1" x14ac:dyDescent="0.55000000000000004">
      <c r="A38" s="162"/>
      <c r="B38" s="165"/>
      <c r="C38" s="6" t="s">
        <v>105</v>
      </c>
      <c r="D38" s="6">
        <v>0</v>
      </c>
      <c r="E38" s="99"/>
      <c r="F38" s="6"/>
      <c r="G38" s="6"/>
      <c r="H38" s="6"/>
      <c r="I38" s="6"/>
      <c r="J38" s="6"/>
      <c r="K38" s="6"/>
      <c r="L38" s="6"/>
      <c r="M38" s="6"/>
      <c r="N38" s="6"/>
      <c r="O38" s="6"/>
      <c r="P38" s="6"/>
      <c r="Q38" s="6"/>
      <c r="R38" s="6">
        <f t="shared" si="15"/>
        <v>0</v>
      </c>
      <c r="S38" s="68" t="str">
        <f t="shared" si="17"/>
        <v/>
      </c>
      <c r="T38" s="121"/>
      <c r="U38" s="121"/>
      <c r="W38" s="18"/>
      <c r="X38" s="18"/>
    </row>
    <row r="39" spans="1:25" ht="18" customHeight="1" x14ac:dyDescent="0.55000000000000004">
      <c r="A39" s="162"/>
      <c r="B39" s="165"/>
      <c r="C39" s="37" t="s">
        <v>95</v>
      </c>
      <c r="D39" s="37"/>
      <c r="E39" s="114">
        <f>SUM(E32:E38)</f>
        <v>0</v>
      </c>
      <c r="F39" s="114">
        <f t="shared" ref="F39:R39" si="20">SUM(F32:F38)</f>
        <v>0</v>
      </c>
      <c r="G39" s="114">
        <f t="shared" si="20"/>
        <v>0</v>
      </c>
      <c r="H39" s="114">
        <f t="shared" si="20"/>
        <v>0</v>
      </c>
      <c r="I39" s="114">
        <f t="shared" si="20"/>
        <v>0</v>
      </c>
      <c r="J39" s="114">
        <f t="shared" si="20"/>
        <v>0</v>
      </c>
      <c r="K39" s="114">
        <f t="shared" si="20"/>
        <v>0</v>
      </c>
      <c r="L39" s="114">
        <f t="shared" si="20"/>
        <v>0</v>
      </c>
      <c r="M39" s="114">
        <f t="shared" si="20"/>
        <v>0</v>
      </c>
      <c r="N39" s="114">
        <f t="shared" si="20"/>
        <v>0</v>
      </c>
      <c r="O39" s="114">
        <f t="shared" si="20"/>
        <v>0</v>
      </c>
      <c r="P39" s="114">
        <f t="shared" si="20"/>
        <v>0</v>
      </c>
      <c r="Q39" s="114">
        <f t="shared" si="20"/>
        <v>0</v>
      </c>
      <c r="R39" s="114">
        <f t="shared" si="20"/>
        <v>0</v>
      </c>
      <c r="S39" s="37">
        <f>SUM(S34:S38)</f>
        <v>0</v>
      </c>
      <c r="T39" s="119">
        <f>SUM(T32:T38)</f>
        <v>0</v>
      </c>
      <c r="U39" s="119">
        <f>SUM(U32:U38)</f>
        <v>0</v>
      </c>
      <c r="W39" s="88"/>
      <c r="X39" s="88"/>
    </row>
    <row r="40" spans="1:25" ht="18" customHeight="1" x14ac:dyDescent="0.55000000000000004">
      <c r="A40" s="162"/>
      <c r="B40" s="166"/>
      <c r="C40" s="37" t="s">
        <v>96</v>
      </c>
      <c r="D40" s="37"/>
      <c r="E40" s="115">
        <f>SUMPRODUCT(D32:D38,E32:E38)</f>
        <v>0</v>
      </c>
      <c r="F40" s="112">
        <f>SUMPRODUCT($D32:$D38,F32:F38)</f>
        <v>0</v>
      </c>
      <c r="G40" s="112">
        <f t="shared" ref="G40:Q40" si="21">SUMPRODUCT($D32:$D38,G32:G38)</f>
        <v>0</v>
      </c>
      <c r="H40" s="112">
        <f t="shared" si="21"/>
        <v>0</v>
      </c>
      <c r="I40" s="112">
        <f t="shared" si="21"/>
        <v>0</v>
      </c>
      <c r="J40" s="112">
        <f t="shared" si="21"/>
        <v>0</v>
      </c>
      <c r="K40" s="112">
        <f t="shared" si="21"/>
        <v>0</v>
      </c>
      <c r="L40" s="112">
        <f t="shared" si="21"/>
        <v>0</v>
      </c>
      <c r="M40" s="112">
        <f t="shared" si="21"/>
        <v>0</v>
      </c>
      <c r="N40" s="112">
        <f t="shared" si="21"/>
        <v>0</v>
      </c>
      <c r="O40" s="112">
        <f t="shared" si="21"/>
        <v>0</v>
      </c>
      <c r="P40" s="112">
        <f t="shared" si="21"/>
        <v>0</v>
      </c>
      <c r="Q40" s="112">
        <f t="shared" si="21"/>
        <v>0</v>
      </c>
      <c r="R40" s="112">
        <f>SUMPRODUCT(D32:D38,R32:R38)</f>
        <v>0</v>
      </c>
      <c r="S40" s="112">
        <f>SUMPRODUCT(D32:D38,S32:S38)</f>
        <v>0</v>
      </c>
      <c r="T40" s="112">
        <f>SUMPRODUCT(D32:D38,T32:T38)</f>
        <v>0</v>
      </c>
      <c r="U40" s="112">
        <f>SUMPRODUCT(D32:D38,U32:U38)</f>
        <v>0</v>
      </c>
      <c r="W40" s="88"/>
      <c r="X40" s="88"/>
    </row>
    <row r="41" spans="1:25" ht="18.75" customHeight="1" x14ac:dyDescent="0.55000000000000004">
      <c r="A41" s="162"/>
      <c r="B41" s="167" t="s">
        <v>20</v>
      </c>
      <c r="C41" s="6" t="s">
        <v>101</v>
      </c>
      <c r="D41" s="109">
        <v>500000</v>
      </c>
      <c r="F41" s="13"/>
      <c r="G41" s="13"/>
      <c r="H41" s="13"/>
      <c r="I41" s="13"/>
      <c r="J41" s="13"/>
      <c r="K41" s="13"/>
      <c r="L41" s="13"/>
      <c r="M41" s="13"/>
      <c r="N41" s="13"/>
      <c r="O41" s="13"/>
      <c r="P41" s="13"/>
      <c r="Q41" s="13"/>
      <c r="R41" s="13">
        <f t="shared" si="15"/>
        <v>0</v>
      </c>
      <c r="S41" s="6" t="str">
        <f t="shared" ref="S41:S42" si="22">IF(E41="","",E41-R41)</f>
        <v/>
      </c>
      <c r="T41" s="130">
        <v>0</v>
      </c>
      <c r="U41" s="130">
        <f>E41-R41-T41</f>
        <v>0</v>
      </c>
      <c r="W41" s="18" t="s">
        <v>61</v>
      </c>
      <c r="X41" s="18" t="s">
        <v>63</v>
      </c>
      <c r="Y41" t="s">
        <v>64</v>
      </c>
    </row>
    <row r="42" spans="1:25" ht="18.75" customHeight="1" x14ac:dyDescent="0.55000000000000004">
      <c r="A42" s="162"/>
      <c r="B42" s="168"/>
      <c r="C42" s="6" t="s">
        <v>102</v>
      </c>
      <c r="D42" s="109">
        <v>250000</v>
      </c>
      <c r="E42" s="51"/>
      <c r="F42" s="6">
        <v>1</v>
      </c>
      <c r="G42" s="6">
        <v>2</v>
      </c>
      <c r="H42" s="6"/>
      <c r="I42" s="6"/>
      <c r="J42" s="6"/>
      <c r="K42" s="6"/>
      <c r="L42" s="6"/>
      <c r="M42" s="6"/>
      <c r="N42" s="6"/>
      <c r="O42" s="6"/>
      <c r="P42" s="6"/>
      <c r="Q42" s="6"/>
      <c r="R42" s="6">
        <f t="shared" si="15"/>
        <v>3</v>
      </c>
      <c r="S42" s="6" t="str">
        <f t="shared" si="22"/>
        <v/>
      </c>
      <c r="T42" s="130">
        <v>2</v>
      </c>
      <c r="U42" s="130">
        <f t="shared" ref="U42:U43" si="23">E42-R42-T42</f>
        <v>-5</v>
      </c>
      <c r="W42" s="18"/>
      <c r="X42" s="18"/>
    </row>
    <row r="43" spans="1:25" ht="18.75" customHeight="1" x14ac:dyDescent="0.55000000000000004">
      <c r="A43" s="162"/>
      <c r="B43" s="168"/>
      <c r="C43" s="6" t="s">
        <v>103</v>
      </c>
      <c r="D43" s="109">
        <v>500000</v>
      </c>
      <c r="E43" s="51"/>
      <c r="F43" s="6"/>
      <c r="G43" s="6"/>
      <c r="H43" s="6"/>
      <c r="I43" s="6"/>
      <c r="J43" s="6"/>
      <c r="K43" s="6"/>
      <c r="L43" s="6"/>
      <c r="M43" s="6"/>
      <c r="N43" s="6"/>
      <c r="O43" s="6"/>
      <c r="P43" s="6"/>
      <c r="Q43" s="6"/>
      <c r="R43" s="6">
        <f t="shared" si="15"/>
        <v>0</v>
      </c>
      <c r="S43" s="6" t="str">
        <f>IF(E43="","",E43-R43)</f>
        <v/>
      </c>
      <c r="T43" s="130">
        <v>0</v>
      </c>
      <c r="U43" s="130">
        <f t="shared" si="23"/>
        <v>0</v>
      </c>
      <c r="W43" s="18"/>
      <c r="X43" s="18"/>
    </row>
    <row r="44" spans="1:25" ht="18.75" customHeight="1" x14ac:dyDescent="0.55000000000000004">
      <c r="A44" s="162"/>
      <c r="B44" s="168"/>
      <c r="C44" s="6" t="s">
        <v>104</v>
      </c>
      <c r="D44" s="109">
        <v>380000</v>
      </c>
      <c r="E44" s="51"/>
      <c r="F44" s="6"/>
      <c r="G44" s="6"/>
      <c r="H44" s="6"/>
      <c r="I44" s="6"/>
      <c r="J44" s="6"/>
      <c r="K44" s="6"/>
      <c r="L44" s="6"/>
      <c r="M44" s="6"/>
      <c r="N44" s="6"/>
      <c r="O44" s="6"/>
      <c r="P44" s="6"/>
      <c r="Q44" s="6"/>
      <c r="R44" s="6">
        <f t="shared" si="15"/>
        <v>0</v>
      </c>
      <c r="S44" s="6" t="str">
        <f t="shared" ref="S44:S47" si="24">IF(E44="","",E44-R44)</f>
        <v/>
      </c>
      <c r="T44" s="130">
        <v>0</v>
      </c>
      <c r="U44" s="130">
        <f>E44-R44-T44</f>
        <v>0</v>
      </c>
      <c r="W44" s="18"/>
      <c r="X44" s="18"/>
    </row>
    <row r="45" spans="1:25" ht="18.75" customHeight="1" x14ac:dyDescent="0.55000000000000004">
      <c r="A45" s="162"/>
      <c r="B45" s="168"/>
      <c r="C45" s="6" t="s">
        <v>123</v>
      </c>
      <c r="D45" s="109">
        <v>452000</v>
      </c>
      <c r="E45" s="51"/>
      <c r="F45" s="6"/>
      <c r="G45" s="6"/>
      <c r="H45" s="6"/>
      <c r="I45" s="6"/>
      <c r="J45" s="6"/>
      <c r="K45" s="6"/>
      <c r="L45" s="6"/>
      <c r="M45" s="6"/>
      <c r="N45" s="6"/>
      <c r="O45" s="6"/>
      <c r="P45" s="6"/>
      <c r="Q45" s="6"/>
      <c r="R45" s="6">
        <f t="shared" ref="R45:R46" si="25">SUM(F45:Q45)</f>
        <v>0</v>
      </c>
      <c r="S45" s="6" t="str">
        <f t="shared" si="24"/>
        <v/>
      </c>
      <c r="T45" s="130">
        <v>0</v>
      </c>
      <c r="U45" s="130">
        <f t="shared" ref="U45:U46" si="26">E45-R45-T45</f>
        <v>0</v>
      </c>
      <c r="W45" s="18"/>
      <c r="X45" s="18"/>
    </row>
    <row r="46" spans="1:25" ht="18.75" customHeight="1" x14ac:dyDescent="0.55000000000000004">
      <c r="A46" s="162"/>
      <c r="B46" s="168"/>
      <c r="C46" s="6" t="s">
        <v>124</v>
      </c>
      <c r="D46" s="109">
        <v>290000</v>
      </c>
      <c r="E46" s="51"/>
      <c r="F46" s="6"/>
      <c r="G46" s="6"/>
      <c r="H46" s="6"/>
      <c r="I46" s="6"/>
      <c r="J46" s="6"/>
      <c r="K46" s="6"/>
      <c r="L46" s="6"/>
      <c r="M46" s="6"/>
      <c r="N46" s="6"/>
      <c r="O46" s="6"/>
      <c r="P46" s="6"/>
      <c r="Q46" s="6"/>
      <c r="R46" s="6">
        <f t="shared" si="25"/>
        <v>0</v>
      </c>
      <c r="S46" s="6" t="str">
        <f t="shared" si="24"/>
        <v/>
      </c>
      <c r="T46" s="130">
        <v>1</v>
      </c>
      <c r="U46" s="130">
        <f t="shared" si="26"/>
        <v>-1</v>
      </c>
      <c r="W46" s="18"/>
      <c r="X46" s="18"/>
    </row>
    <row r="47" spans="1:25" ht="18.75" customHeight="1" x14ac:dyDescent="0.55000000000000004">
      <c r="A47" s="162"/>
      <c r="B47" s="168"/>
      <c r="C47" s="6" t="s">
        <v>105</v>
      </c>
      <c r="D47" s="6">
        <v>0</v>
      </c>
      <c r="E47" s="99"/>
      <c r="F47" s="6"/>
      <c r="G47" s="6"/>
      <c r="H47" s="6"/>
      <c r="I47" s="6"/>
      <c r="J47" s="6"/>
      <c r="K47" s="6"/>
      <c r="L47" s="6"/>
      <c r="M47" s="6"/>
      <c r="N47" s="6"/>
      <c r="O47" s="6"/>
      <c r="P47" s="6"/>
      <c r="Q47" s="6"/>
      <c r="R47" s="6">
        <f t="shared" si="15"/>
        <v>0</v>
      </c>
      <c r="S47" s="68" t="str">
        <f t="shared" si="24"/>
        <v/>
      </c>
      <c r="T47" s="121"/>
      <c r="U47" s="121"/>
      <c r="W47" s="18"/>
      <c r="X47" s="18"/>
    </row>
    <row r="48" spans="1:25" ht="18.75" customHeight="1" x14ac:dyDescent="0.55000000000000004">
      <c r="A48" s="162"/>
      <c r="B48" s="168"/>
      <c r="C48" s="37" t="s">
        <v>95</v>
      </c>
      <c r="D48" s="37"/>
      <c r="E48" s="87">
        <f>SUM(E41:E47)</f>
        <v>0</v>
      </c>
      <c r="F48" s="87">
        <f t="shared" ref="F48:R48" si="27">SUM(F41:F47)</f>
        <v>1</v>
      </c>
      <c r="G48" s="87">
        <f t="shared" si="27"/>
        <v>2</v>
      </c>
      <c r="H48" s="87">
        <f t="shared" si="27"/>
        <v>0</v>
      </c>
      <c r="I48" s="87">
        <f t="shared" si="27"/>
        <v>0</v>
      </c>
      <c r="J48" s="87">
        <f t="shared" si="27"/>
        <v>0</v>
      </c>
      <c r="K48" s="87">
        <f t="shared" si="27"/>
        <v>0</v>
      </c>
      <c r="L48" s="87">
        <f t="shared" si="27"/>
        <v>0</v>
      </c>
      <c r="M48" s="87">
        <f t="shared" si="27"/>
        <v>0</v>
      </c>
      <c r="N48" s="87">
        <f t="shared" si="27"/>
        <v>0</v>
      </c>
      <c r="O48" s="87">
        <f t="shared" si="27"/>
        <v>0</v>
      </c>
      <c r="P48" s="87">
        <f t="shared" si="27"/>
        <v>0</v>
      </c>
      <c r="Q48" s="87">
        <f t="shared" si="27"/>
        <v>0</v>
      </c>
      <c r="R48" s="87">
        <f t="shared" si="27"/>
        <v>3</v>
      </c>
      <c r="S48" s="37">
        <f>SUM(S43:S47)</f>
        <v>0</v>
      </c>
      <c r="T48" s="119">
        <f>SUM(T41:T47)</f>
        <v>3</v>
      </c>
      <c r="U48" s="119">
        <f>SUM(U41:U47)</f>
        <v>-6</v>
      </c>
      <c r="W48" s="88"/>
      <c r="X48" s="88"/>
    </row>
    <row r="49" spans="1:25" ht="18.75" customHeight="1" x14ac:dyDescent="0.55000000000000004">
      <c r="A49" s="162"/>
      <c r="B49" s="169"/>
      <c r="C49" s="37" t="s">
        <v>96</v>
      </c>
      <c r="D49" s="37"/>
      <c r="E49" s="87">
        <f>SUMPRODUCT(D41:D47,E41:E47)</f>
        <v>0</v>
      </c>
      <c r="F49" s="87">
        <f>SUMPRODUCT($D41:$D47,F41:F47)</f>
        <v>250000</v>
      </c>
      <c r="G49" s="87">
        <f t="shared" ref="G49:Q49" si="28">SUMPRODUCT($D41:$D47,G41:G47)</f>
        <v>500000</v>
      </c>
      <c r="H49" s="87">
        <f t="shared" si="28"/>
        <v>0</v>
      </c>
      <c r="I49" s="87">
        <f t="shared" si="28"/>
        <v>0</v>
      </c>
      <c r="J49" s="87">
        <f t="shared" si="28"/>
        <v>0</v>
      </c>
      <c r="K49" s="87">
        <f t="shared" si="28"/>
        <v>0</v>
      </c>
      <c r="L49" s="87">
        <f t="shared" si="28"/>
        <v>0</v>
      </c>
      <c r="M49" s="87">
        <f t="shared" si="28"/>
        <v>0</v>
      </c>
      <c r="N49" s="87">
        <f t="shared" si="28"/>
        <v>0</v>
      </c>
      <c r="O49" s="87">
        <f t="shared" si="28"/>
        <v>0</v>
      </c>
      <c r="P49" s="87">
        <f t="shared" si="28"/>
        <v>0</v>
      </c>
      <c r="Q49" s="87">
        <f t="shared" si="28"/>
        <v>0</v>
      </c>
      <c r="R49" s="87">
        <f>SUMPRODUCT(D41:D47,R41:R47)</f>
        <v>750000</v>
      </c>
      <c r="S49" s="87">
        <f>SUMPRODUCT(D41:D47,S41:S47)</f>
        <v>0</v>
      </c>
      <c r="T49" s="87">
        <f>SUMPRODUCT(D41:D47,T41:T47)</f>
        <v>790000</v>
      </c>
      <c r="U49" s="87">
        <f>SUMPRODUCT(D41:D47,U41:U47)</f>
        <v>-1540000</v>
      </c>
      <c r="W49" s="88"/>
      <c r="X49" s="88"/>
    </row>
    <row r="50" spans="1:25" ht="18.75" customHeight="1" x14ac:dyDescent="0.55000000000000004">
      <c r="A50" s="162"/>
      <c r="B50" s="164" t="s">
        <v>21</v>
      </c>
      <c r="C50" s="6" t="s">
        <v>101</v>
      </c>
      <c r="D50" s="109">
        <v>500000</v>
      </c>
      <c r="E50" s="51"/>
      <c r="F50" s="6"/>
      <c r="G50" s="6"/>
      <c r="H50" s="6">
        <v>1</v>
      </c>
      <c r="I50" s="6"/>
      <c r="J50" s="6"/>
      <c r="K50" s="6"/>
      <c r="L50" s="6"/>
      <c r="M50" s="6"/>
      <c r="N50" s="6"/>
      <c r="O50" s="6"/>
      <c r="P50" s="6"/>
      <c r="Q50" s="6"/>
      <c r="R50" s="6">
        <f t="shared" ref="R50:R56" si="29">SUM(F50:Q50)</f>
        <v>1</v>
      </c>
      <c r="S50" s="6" t="str">
        <f t="shared" ref="S50:S51" si="30">IF(E50="","",E50-R50)</f>
        <v/>
      </c>
      <c r="T50" s="130">
        <v>1</v>
      </c>
      <c r="U50" s="130">
        <f>E50-R50-T50</f>
        <v>-2</v>
      </c>
      <c r="W50" s="18" t="s">
        <v>106</v>
      </c>
      <c r="X50" s="18" t="s">
        <v>66</v>
      </c>
      <c r="Y50" t="s">
        <v>107</v>
      </c>
    </row>
    <row r="51" spans="1:25" ht="18.75" customHeight="1" x14ac:dyDescent="0.55000000000000004">
      <c r="A51" s="162"/>
      <c r="B51" s="165"/>
      <c r="C51" s="6" t="s">
        <v>102</v>
      </c>
      <c r="D51" s="109">
        <v>250000</v>
      </c>
      <c r="E51" s="51"/>
      <c r="F51" s="6"/>
      <c r="G51" s="6"/>
      <c r="H51" s="6"/>
      <c r="I51" s="6"/>
      <c r="J51" s="6"/>
      <c r="K51" s="6"/>
      <c r="L51" s="6"/>
      <c r="M51" s="6"/>
      <c r="N51" s="6"/>
      <c r="O51" s="6"/>
      <c r="P51" s="6"/>
      <c r="Q51" s="6"/>
      <c r="R51" s="6">
        <f t="shared" si="29"/>
        <v>0</v>
      </c>
      <c r="S51" s="6" t="str">
        <f t="shared" si="30"/>
        <v/>
      </c>
      <c r="T51" s="130">
        <v>0</v>
      </c>
      <c r="U51" s="130">
        <f t="shared" ref="U51:U53" si="31">E51-R51-T51</f>
        <v>0</v>
      </c>
      <c r="W51" s="18"/>
      <c r="X51" s="18"/>
    </row>
    <row r="52" spans="1:25" ht="18.75" customHeight="1" x14ac:dyDescent="0.55000000000000004">
      <c r="A52" s="162"/>
      <c r="B52" s="165"/>
      <c r="C52" s="6" t="s">
        <v>103</v>
      </c>
      <c r="D52" s="109">
        <v>500000</v>
      </c>
      <c r="E52" s="51"/>
      <c r="F52" s="6"/>
      <c r="G52" s="6"/>
      <c r="H52" s="6"/>
      <c r="I52" s="6"/>
      <c r="J52" s="6"/>
      <c r="K52" s="6"/>
      <c r="L52" s="6"/>
      <c r="M52" s="6"/>
      <c r="N52" s="6"/>
      <c r="O52" s="6"/>
      <c r="P52" s="6"/>
      <c r="Q52" s="6"/>
      <c r="R52" s="6">
        <f t="shared" si="29"/>
        <v>0</v>
      </c>
      <c r="S52" s="6" t="str">
        <f>IF(E52="","",E52-R52)</f>
        <v/>
      </c>
      <c r="T52" s="130">
        <v>0</v>
      </c>
      <c r="U52" s="130">
        <f t="shared" si="31"/>
        <v>0</v>
      </c>
      <c r="W52" s="18"/>
      <c r="X52" s="18"/>
    </row>
    <row r="53" spans="1:25" ht="18.75" customHeight="1" x14ac:dyDescent="0.55000000000000004">
      <c r="A53" s="162"/>
      <c r="B53" s="165"/>
      <c r="C53" s="6" t="s">
        <v>104</v>
      </c>
      <c r="D53" s="109">
        <v>380000</v>
      </c>
      <c r="E53" s="51"/>
      <c r="F53" s="6"/>
      <c r="G53" s="6"/>
      <c r="H53" s="6"/>
      <c r="I53" s="6"/>
      <c r="J53" s="6"/>
      <c r="K53" s="6"/>
      <c r="L53" s="6"/>
      <c r="M53" s="6"/>
      <c r="N53" s="6"/>
      <c r="O53" s="6"/>
      <c r="P53" s="6"/>
      <c r="Q53" s="6"/>
      <c r="R53" s="6">
        <f t="shared" si="29"/>
        <v>0</v>
      </c>
      <c r="S53" s="6" t="str">
        <f t="shared" ref="S53:S56" si="32">IF(E53="","",E53-R53)</f>
        <v/>
      </c>
      <c r="T53" s="130">
        <v>0</v>
      </c>
      <c r="U53" s="130">
        <f t="shared" si="31"/>
        <v>0</v>
      </c>
      <c r="W53" s="18"/>
      <c r="X53" s="18"/>
    </row>
    <row r="54" spans="1:25" ht="18.75" customHeight="1" x14ac:dyDescent="0.55000000000000004">
      <c r="A54" s="162"/>
      <c r="B54" s="165"/>
      <c r="C54" s="6" t="s">
        <v>123</v>
      </c>
      <c r="D54" s="109">
        <v>452000</v>
      </c>
      <c r="E54" s="51"/>
      <c r="F54" s="6"/>
      <c r="G54" s="6"/>
      <c r="H54" s="6"/>
      <c r="I54" s="6"/>
      <c r="J54" s="6"/>
      <c r="K54" s="6"/>
      <c r="L54" s="6"/>
      <c r="M54" s="6"/>
      <c r="N54" s="6"/>
      <c r="O54" s="6"/>
      <c r="P54" s="6"/>
      <c r="Q54" s="6"/>
      <c r="R54" s="6">
        <f t="shared" ref="R54:R55" si="33">SUM(F54:Q54)</f>
        <v>0</v>
      </c>
      <c r="S54" s="6" t="str">
        <f t="shared" si="32"/>
        <v/>
      </c>
      <c r="T54" s="130">
        <v>0</v>
      </c>
      <c r="U54" s="130">
        <f t="shared" ref="U54:U55" si="34">E54-R54-T54</f>
        <v>0</v>
      </c>
      <c r="W54" s="18"/>
      <c r="X54" s="18"/>
    </row>
    <row r="55" spans="1:25" ht="18.75" customHeight="1" x14ac:dyDescent="0.55000000000000004">
      <c r="A55" s="162"/>
      <c r="B55" s="165"/>
      <c r="C55" s="6" t="s">
        <v>124</v>
      </c>
      <c r="D55" s="109">
        <v>290000</v>
      </c>
      <c r="E55" s="51"/>
      <c r="F55" s="6"/>
      <c r="G55" s="6"/>
      <c r="H55" s="6"/>
      <c r="I55" s="6"/>
      <c r="J55" s="6"/>
      <c r="K55" s="6"/>
      <c r="L55" s="6"/>
      <c r="M55" s="6"/>
      <c r="N55" s="6"/>
      <c r="O55" s="6"/>
      <c r="P55" s="6"/>
      <c r="Q55" s="6"/>
      <c r="R55" s="6">
        <f t="shared" si="33"/>
        <v>0</v>
      </c>
      <c r="S55" s="6" t="str">
        <f t="shared" si="32"/>
        <v/>
      </c>
      <c r="T55" s="130">
        <v>0</v>
      </c>
      <c r="U55" s="130">
        <f t="shared" si="34"/>
        <v>0</v>
      </c>
      <c r="W55" s="18"/>
      <c r="X55" s="18"/>
    </row>
    <row r="56" spans="1:25" ht="18.75" customHeight="1" x14ac:dyDescent="0.55000000000000004">
      <c r="A56" s="162"/>
      <c r="B56" s="165"/>
      <c r="C56" s="6" t="s">
        <v>105</v>
      </c>
      <c r="D56" s="6">
        <v>0</v>
      </c>
      <c r="E56" s="99"/>
      <c r="F56" s="6"/>
      <c r="G56" s="6"/>
      <c r="H56" s="6"/>
      <c r="I56" s="6"/>
      <c r="J56" s="6"/>
      <c r="K56" s="6"/>
      <c r="L56" s="6"/>
      <c r="M56" s="6"/>
      <c r="N56" s="6"/>
      <c r="O56" s="6"/>
      <c r="P56" s="6"/>
      <c r="Q56" s="6"/>
      <c r="R56" s="6">
        <f t="shared" si="29"/>
        <v>0</v>
      </c>
      <c r="S56" s="68" t="str">
        <f t="shared" si="32"/>
        <v/>
      </c>
      <c r="T56" s="121"/>
      <c r="U56" s="121"/>
      <c r="W56" s="18"/>
      <c r="X56" s="18"/>
    </row>
    <row r="57" spans="1:25" ht="18.75" customHeight="1" x14ac:dyDescent="0.55000000000000004">
      <c r="A57" s="162"/>
      <c r="B57" s="165"/>
      <c r="C57" s="37" t="s">
        <v>95</v>
      </c>
      <c r="D57" s="37"/>
      <c r="E57" s="87">
        <f>SUM(E50:E56)</f>
        <v>0</v>
      </c>
      <c r="F57" s="87">
        <f t="shared" ref="F57:R57" si="35">SUM(F50:F56)</f>
        <v>0</v>
      </c>
      <c r="G57" s="87">
        <f t="shared" si="35"/>
        <v>0</v>
      </c>
      <c r="H57" s="87">
        <f t="shared" si="35"/>
        <v>1</v>
      </c>
      <c r="I57" s="87">
        <f t="shared" si="35"/>
        <v>0</v>
      </c>
      <c r="J57" s="87">
        <f t="shared" si="35"/>
        <v>0</v>
      </c>
      <c r="K57" s="87">
        <f t="shared" si="35"/>
        <v>0</v>
      </c>
      <c r="L57" s="87">
        <f t="shared" si="35"/>
        <v>0</v>
      </c>
      <c r="M57" s="87">
        <f t="shared" si="35"/>
        <v>0</v>
      </c>
      <c r="N57" s="87">
        <f t="shared" si="35"/>
        <v>0</v>
      </c>
      <c r="O57" s="87">
        <f t="shared" si="35"/>
        <v>0</v>
      </c>
      <c r="P57" s="87">
        <f t="shared" si="35"/>
        <v>0</v>
      </c>
      <c r="Q57" s="87">
        <f t="shared" si="35"/>
        <v>0</v>
      </c>
      <c r="R57" s="87">
        <f t="shared" si="35"/>
        <v>1</v>
      </c>
      <c r="S57" s="37">
        <f>SUM(S52:S56)</f>
        <v>0</v>
      </c>
      <c r="T57" s="119">
        <f>SUM(T50:T56)</f>
        <v>1</v>
      </c>
      <c r="U57" s="119">
        <f>SUM(U50:U56)</f>
        <v>-2</v>
      </c>
      <c r="W57" s="88"/>
      <c r="X57" s="88"/>
    </row>
    <row r="58" spans="1:25" ht="18.75" customHeight="1" x14ac:dyDescent="0.55000000000000004">
      <c r="A58" s="162"/>
      <c r="B58" s="166"/>
      <c r="C58" s="37" t="s">
        <v>108</v>
      </c>
      <c r="D58" s="37"/>
      <c r="E58" s="137">
        <f>SUMPRODUCT(D50:D56,E50:E56)</f>
        <v>0</v>
      </c>
      <c r="F58" s="87">
        <f>SUMPRODUCT($D50:$D56,F50:F56)</f>
        <v>0</v>
      </c>
      <c r="G58" s="87">
        <f t="shared" ref="G58:Q58" si="36">SUMPRODUCT($D50:$D56,G50:G56)</f>
        <v>0</v>
      </c>
      <c r="H58" s="87">
        <f t="shared" si="36"/>
        <v>500000</v>
      </c>
      <c r="I58" s="87">
        <f t="shared" si="36"/>
        <v>0</v>
      </c>
      <c r="J58" s="87">
        <f t="shared" si="36"/>
        <v>0</v>
      </c>
      <c r="K58" s="87">
        <f t="shared" si="36"/>
        <v>0</v>
      </c>
      <c r="L58" s="87">
        <f t="shared" si="36"/>
        <v>0</v>
      </c>
      <c r="M58" s="87">
        <f t="shared" si="36"/>
        <v>0</v>
      </c>
      <c r="N58" s="87">
        <f t="shared" si="36"/>
        <v>0</v>
      </c>
      <c r="O58" s="87">
        <f t="shared" si="36"/>
        <v>0</v>
      </c>
      <c r="P58" s="87">
        <f t="shared" si="36"/>
        <v>0</v>
      </c>
      <c r="Q58" s="87">
        <f t="shared" si="36"/>
        <v>0</v>
      </c>
      <c r="R58" s="87">
        <f>SUMPRODUCT(D50:D56,R50:R56)</f>
        <v>500000</v>
      </c>
      <c r="S58" s="87">
        <f>SUMPRODUCT(D50:D56,S50:S56)</f>
        <v>0</v>
      </c>
      <c r="T58" s="87">
        <f>SUMPRODUCT(D50:D56,T50:T56)</f>
        <v>500000</v>
      </c>
      <c r="U58" s="87">
        <f>SUMPRODUCT(D50:D56,U50:U56)</f>
        <v>-1000000</v>
      </c>
      <c r="W58" s="88"/>
      <c r="X58" s="88"/>
    </row>
    <row r="59" spans="1:25" ht="18.75" customHeight="1" x14ac:dyDescent="0.55000000000000004">
      <c r="A59" s="162"/>
      <c r="B59" s="164" t="s">
        <v>22</v>
      </c>
      <c r="C59" s="6" t="s">
        <v>101</v>
      </c>
      <c r="D59" s="109">
        <v>500000</v>
      </c>
      <c r="E59" s="51"/>
      <c r="F59" s="6"/>
      <c r="G59" s="6"/>
      <c r="H59" s="6"/>
      <c r="I59" s="6"/>
      <c r="J59" s="6"/>
      <c r="K59" s="6"/>
      <c r="L59" s="6"/>
      <c r="M59" s="6"/>
      <c r="N59" s="6"/>
      <c r="O59" s="6"/>
      <c r="P59" s="6"/>
      <c r="Q59" s="6"/>
      <c r="R59" s="6">
        <f t="shared" ref="R59:R65" si="37">SUM(F59:Q59)</f>
        <v>0</v>
      </c>
      <c r="S59" s="6" t="str">
        <f t="shared" ref="S59:S60" si="38">IF(E59="","",E59-R59)</f>
        <v/>
      </c>
      <c r="T59" s="130">
        <v>0</v>
      </c>
      <c r="U59" s="130">
        <f>E59-R59-T59</f>
        <v>0</v>
      </c>
      <c r="W59" s="18" t="s">
        <v>65</v>
      </c>
      <c r="X59" s="18"/>
    </row>
    <row r="60" spans="1:25" ht="18.75" customHeight="1" x14ac:dyDescent="0.55000000000000004">
      <c r="A60" s="162"/>
      <c r="B60" s="165"/>
      <c r="C60" s="6" t="s">
        <v>102</v>
      </c>
      <c r="D60" s="109">
        <v>250000</v>
      </c>
      <c r="E60" s="51"/>
      <c r="F60" s="6"/>
      <c r="G60" s="6"/>
      <c r="H60" s="6"/>
      <c r="I60" s="6"/>
      <c r="J60" s="6"/>
      <c r="K60" s="6"/>
      <c r="L60" s="6"/>
      <c r="M60" s="6"/>
      <c r="N60" s="6"/>
      <c r="O60" s="6"/>
      <c r="P60" s="6"/>
      <c r="Q60" s="6"/>
      <c r="R60" s="6">
        <f t="shared" si="37"/>
        <v>0</v>
      </c>
      <c r="S60" s="6" t="str">
        <f t="shared" si="38"/>
        <v/>
      </c>
      <c r="T60" s="130">
        <v>0</v>
      </c>
      <c r="U60" s="130">
        <f t="shared" ref="U60:U62" si="39">E60-R60-T60</f>
        <v>0</v>
      </c>
      <c r="W60" s="158"/>
      <c r="X60" s="158"/>
    </row>
    <row r="61" spans="1:25" ht="18.75" customHeight="1" x14ac:dyDescent="0.55000000000000004">
      <c r="A61" s="162"/>
      <c r="B61" s="165"/>
      <c r="C61" s="6" t="s">
        <v>103</v>
      </c>
      <c r="D61" s="109">
        <v>500000</v>
      </c>
      <c r="E61" s="51"/>
      <c r="F61" s="6"/>
      <c r="G61" s="6"/>
      <c r="H61" s="6"/>
      <c r="I61" s="6"/>
      <c r="J61" s="6"/>
      <c r="K61" s="6"/>
      <c r="L61" s="6"/>
      <c r="M61" s="6"/>
      <c r="N61" s="6"/>
      <c r="O61" s="6"/>
      <c r="P61" s="6"/>
      <c r="Q61" s="6"/>
      <c r="R61" s="6">
        <f t="shared" si="37"/>
        <v>0</v>
      </c>
      <c r="S61" s="6" t="str">
        <f>IF(E61="","",E61-R61)</f>
        <v/>
      </c>
      <c r="T61" s="130">
        <v>0</v>
      </c>
      <c r="U61" s="130">
        <f t="shared" si="39"/>
        <v>0</v>
      </c>
      <c r="W61" s="158"/>
      <c r="X61" s="158"/>
    </row>
    <row r="62" spans="1:25" ht="18.75" customHeight="1" x14ac:dyDescent="0.55000000000000004">
      <c r="A62" s="162"/>
      <c r="B62" s="165"/>
      <c r="C62" s="6" t="s">
        <v>104</v>
      </c>
      <c r="D62" s="109">
        <v>380000</v>
      </c>
      <c r="E62" s="51"/>
      <c r="F62" s="6"/>
      <c r="G62" s="6"/>
      <c r="H62" s="6"/>
      <c r="I62" s="6"/>
      <c r="J62" s="6"/>
      <c r="K62" s="6"/>
      <c r="L62" s="6"/>
      <c r="M62" s="6"/>
      <c r="N62" s="6"/>
      <c r="O62" s="6"/>
      <c r="P62" s="6"/>
      <c r="Q62" s="6"/>
      <c r="R62" s="6">
        <f t="shared" si="37"/>
        <v>0</v>
      </c>
      <c r="S62" s="6" t="str">
        <f t="shared" ref="S62:S65" si="40">IF(E62="","",E62-R62)</f>
        <v/>
      </c>
      <c r="T62" s="130">
        <v>0</v>
      </c>
      <c r="U62" s="130">
        <f t="shared" si="39"/>
        <v>0</v>
      </c>
      <c r="W62" s="158"/>
      <c r="X62" s="158"/>
    </row>
    <row r="63" spans="1:25" ht="18.75" customHeight="1" x14ac:dyDescent="0.55000000000000004">
      <c r="A63" s="162"/>
      <c r="B63" s="165"/>
      <c r="C63" s="6" t="s">
        <v>123</v>
      </c>
      <c r="D63" s="109">
        <v>452000</v>
      </c>
      <c r="E63" s="51"/>
      <c r="F63" s="6"/>
      <c r="G63" s="6"/>
      <c r="H63" s="6"/>
      <c r="I63" s="6"/>
      <c r="J63" s="6"/>
      <c r="K63" s="6"/>
      <c r="L63" s="6"/>
      <c r="M63" s="6"/>
      <c r="N63" s="6"/>
      <c r="O63" s="6"/>
      <c r="P63" s="6"/>
      <c r="Q63" s="6"/>
      <c r="R63" s="6">
        <f t="shared" ref="R63:R64" si="41">SUM(F63:Q63)</f>
        <v>0</v>
      </c>
      <c r="S63" s="6" t="str">
        <f t="shared" si="40"/>
        <v/>
      </c>
      <c r="T63" s="130">
        <v>0</v>
      </c>
      <c r="U63" s="130">
        <f t="shared" ref="U63:U64" si="42">E63-R63-T63</f>
        <v>0</v>
      </c>
      <c r="W63" s="158"/>
      <c r="X63" s="158"/>
    </row>
    <row r="64" spans="1:25" ht="18.75" customHeight="1" x14ac:dyDescent="0.55000000000000004">
      <c r="A64" s="162"/>
      <c r="B64" s="165"/>
      <c r="C64" s="6" t="s">
        <v>124</v>
      </c>
      <c r="D64" s="109">
        <v>290000</v>
      </c>
      <c r="E64" s="51"/>
      <c r="F64" s="6"/>
      <c r="G64" s="6"/>
      <c r="H64" s="6"/>
      <c r="I64" s="6"/>
      <c r="J64" s="6"/>
      <c r="K64" s="6"/>
      <c r="L64" s="6"/>
      <c r="M64" s="6"/>
      <c r="N64" s="6"/>
      <c r="O64" s="6"/>
      <c r="P64" s="6"/>
      <c r="Q64" s="6"/>
      <c r="R64" s="6">
        <f t="shared" si="41"/>
        <v>0</v>
      </c>
      <c r="S64" s="6" t="str">
        <f t="shared" si="40"/>
        <v/>
      </c>
      <c r="T64" s="130">
        <v>0</v>
      </c>
      <c r="U64" s="130">
        <f t="shared" si="42"/>
        <v>0</v>
      </c>
      <c r="W64" s="158"/>
      <c r="X64" s="158"/>
    </row>
    <row r="65" spans="1:26" ht="18.75" customHeight="1" x14ac:dyDescent="0.55000000000000004">
      <c r="A65" s="162"/>
      <c r="B65" s="165"/>
      <c r="C65" s="6" t="s">
        <v>105</v>
      </c>
      <c r="D65" s="6">
        <v>0</v>
      </c>
      <c r="E65" s="99"/>
      <c r="F65" s="6"/>
      <c r="G65" s="6"/>
      <c r="H65" s="6"/>
      <c r="I65" s="6"/>
      <c r="J65" s="6"/>
      <c r="K65" s="6"/>
      <c r="L65" s="6"/>
      <c r="M65" s="6"/>
      <c r="N65" s="6"/>
      <c r="O65" s="6"/>
      <c r="P65" s="6"/>
      <c r="Q65" s="6"/>
      <c r="R65" s="6">
        <f t="shared" si="37"/>
        <v>0</v>
      </c>
      <c r="S65" s="68" t="str">
        <f t="shared" si="40"/>
        <v/>
      </c>
      <c r="T65" s="121"/>
      <c r="U65" s="121"/>
      <c r="V65"/>
      <c r="W65" s="158"/>
      <c r="X65" s="158"/>
    </row>
    <row r="66" spans="1:26" ht="18.75" customHeight="1" x14ac:dyDescent="0.55000000000000004">
      <c r="A66" s="162"/>
      <c r="B66" s="165"/>
      <c r="C66" s="37" t="s">
        <v>95</v>
      </c>
      <c r="D66" s="37"/>
      <c r="E66" s="87">
        <f>SUM(E59:E65)</f>
        <v>0</v>
      </c>
      <c r="F66" s="87">
        <f t="shared" ref="F66:R66" si="43">SUM(F59:F65)</f>
        <v>0</v>
      </c>
      <c r="G66" s="87">
        <f t="shared" si="43"/>
        <v>0</v>
      </c>
      <c r="H66" s="87">
        <f t="shared" si="43"/>
        <v>0</v>
      </c>
      <c r="I66" s="87">
        <f t="shared" si="43"/>
        <v>0</v>
      </c>
      <c r="J66" s="87">
        <f t="shared" si="43"/>
        <v>0</v>
      </c>
      <c r="K66" s="87">
        <f t="shared" si="43"/>
        <v>0</v>
      </c>
      <c r="L66" s="87">
        <f t="shared" si="43"/>
        <v>0</v>
      </c>
      <c r="M66" s="87">
        <f t="shared" si="43"/>
        <v>0</v>
      </c>
      <c r="N66" s="87">
        <f t="shared" si="43"/>
        <v>0</v>
      </c>
      <c r="O66" s="87">
        <f t="shared" si="43"/>
        <v>0</v>
      </c>
      <c r="P66" s="87">
        <f t="shared" si="43"/>
        <v>0</v>
      </c>
      <c r="Q66" s="87">
        <f t="shared" si="43"/>
        <v>0</v>
      </c>
      <c r="R66" s="87">
        <f t="shared" si="43"/>
        <v>0</v>
      </c>
      <c r="S66" s="37">
        <f>SUM(S61:S65)</f>
        <v>0</v>
      </c>
      <c r="T66" s="119">
        <f>SUM(T59:T65)</f>
        <v>0</v>
      </c>
      <c r="U66" s="119">
        <f>SUM(U59:U65)</f>
        <v>0</v>
      </c>
      <c r="V66"/>
      <c r="W66" s="89"/>
      <c r="X66" s="89"/>
    </row>
    <row r="67" spans="1:26" ht="18.75" customHeight="1" x14ac:dyDescent="0.55000000000000004">
      <c r="A67" s="162"/>
      <c r="B67" s="166"/>
      <c r="C67" s="37" t="s">
        <v>108</v>
      </c>
      <c r="D67" s="37"/>
      <c r="E67" s="87">
        <f>SUMPRODUCT(D59:D65,E59:E65)</f>
        <v>0</v>
      </c>
      <c r="F67" s="87">
        <f>SUMPRODUCT($D59:$D65,F59:F65)</f>
        <v>0</v>
      </c>
      <c r="G67" s="87">
        <f t="shared" ref="G67:Q67" si="44">SUMPRODUCT($D59:$D65,G59:G65)</f>
        <v>0</v>
      </c>
      <c r="H67" s="87">
        <f t="shared" si="44"/>
        <v>0</v>
      </c>
      <c r="I67" s="87">
        <f t="shared" si="44"/>
        <v>0</v>
      </c>
      <c r="J67" s="87">
        <f t="shared" si="44"/>
        <v>0</v>
      </c>
      <c r="K67" s="87">
        <f t="shared" si="44"/>
        <v>0</v>
      </c>
      <c r="L67" s="87">
        <f t="shared" si="44"/>
        <v>0</v>
      </c>
      <c r="M67" s="87">
        <f t="shared" si="44"/>
        <v>0</v>
      </c>
      <c r="N67" s="87">
        <f t="shared" si="44"/>
        <v>0</v>
      </c>
      <c r="O67" s="87">
        <f t="shared" si="44"/>
        <v>0</v>
      </c>
      <c r="P67" s="87">
        <f t="shared" si="44"/>
        <v>0</v>
      </c>
      <c r="Q67" s="87">
        <f t="shared" si="44"/>
        <v>0</v>
      </c>
      <c r="R67" s="87">
        <f>SUMPRODUCT(D59:D65,R59:R65)</f>
        <v>0</v>
      </c>
      <c r="S67" s="87">
        <f>SUMPRODUCT(D59:D65,S59:S65)</f>
        <v>0</v>
      </c>
      <c r="T67" s="87">
        <f>SUMPRODUCT(D59:D65,T59:T65)</f>
        <v>0</v>
      </c>
      <c r="U67" s="87" t="e">
        <f>SUMPRODUCT(#REF!,U59:U65)</f>
        <v>#REF!</v>
      </c>
      <c r="V67"/>
      <c r="W67" s="89"/>
      <c r="X67" s="89"/>
    </row>
    <row r="68" spans="1:26" ht="18.75" customHeight="1" thickBot="1" x14ac:dyDescent="0.6">
      <c r="A68" s="163"/>
      <c r="B68" s="77" t="s">
        <v>11</v>
      </c>
      <c r="C68" s="77"/>
      <c r="D68" s="77"/>
      <c r="E68" s="80"/>
      <c r="F68" s="77"/>
      <c r="G68" s="77"/>
      <c r="H68" s="77"/>
      <c r="I68" s="77"/>
      <c r="J68" s="77"/>
      <c r="K68" s="77"/>
      <c r="L68" s="77"/>
      <c r="M68" s="77"/>
      <c r="N68" s="77"/>
      <c r="O68" s="77"/>
      <c r="P68" s="77"/>
      <c r="Q68" s="77"/>
      <c r="R68" s="78">
        <f>SUM(F68:K68)</f>
        <v>0</v>
      </c>
      <c r="S68" s="101">
        <f>SUM(S66,S57,S48,S39)</f>
        <v>0</v>
      </c>
      <c r="T68" s="120"/>
      <c r="U68" s="120"/>
      <c r="V68"/>
      <c r="W68" s="19"/>
      <c r="X68" s="19"/>
    </row>
    <row r="69" spans="1:26" ht="18" x14ac:dyDescent="0.55000000000000004">
      <c r="A69" s="161" t="s">
        <v>24</v>
      </c>
      <c r="B69" s="164" t="s">
        <v>19</v>
      </c>
      <c r="C69" s="6" t="s">
        <v>91</v>
      </c>
      <c r="D69" s="109">
        <v>30000</v>
      </c>
      <c r="E69" s="51"/>
      <c r="F69" s="6"/>
      <c r="G69" s="6"/>
      <c r="H69" s="6"/>
      <c r="I69" s="6"/>
      <c r="J69" s="6"/>
      <c r="K69" s="6"/>
      <c r="L69" s="6"/>
      <c r="M69" s="6"/>
      <c r="N69" s="6"/>
      <c r="O69" s="6"/>
      <c r="P69" s="6"/>
      <c r="Q69" s="6"/>
      <c r="R69" s="6">
        <f>SUM(F69:Q69)</f>
        <v>0</v>
      </c>
      <c r="S69" s="6" t="str">
        <f>IF(E69="","",E69-R69)</f>
        <v/>
      </c>
      <c r="T69" s="130">
        <v>0</v>
      </c>
      <c r="U69" s="130">
        <f>E69-R69-T69</f>
        <v>0</v>
      </c>
      <c r="V69"/>
      <c r="W69" s="18" t="s">
        <v>69</v>
      </c>
      <c r="X69" s="18" t="s">
        <v>70</v>
      </c>
      <c r="Y69" t="s">
        <v>71</v>
      </c>
    </row>
    <row r="70" spans="1:26" ht="18" customHeight="1" x14ac:dyDescent="0.55000000000000004">
      <c r="A70" s="162"/>
      <c r="B70" s="165"/>
      <c r="C70" s="6" t="s">
        <v>92</v>
      </c>
      <c r="D70" s="109">
        <v>15000</v>
      </c>
      <c r="E70" s="51"/>
      <c r="F70" s="6"/>
      <c r="G70" s="6"/>
      <c r="H70" s="6"/>
      <c r="I70" s="6"/>
      <c r="J70" s="6"/>
      <c r="K70" s="6"/>
      <c r="L70" s="6"/>
      <c r="M70" s="6"/>
      <c r="N70" s="6"/>
      <c r="O70" s="6"/>
      <c r="P70" s="6"/>
      <c r="Q70" s="6"/>
      <c r="R70" s="6">
        <f t="shared" ref="R70" si="45">SUM(F70:Q70)</f>
        <v>0</v>
      </c>
      <c r="S70" s="6" t="str">
        <f t="shared" ref="S70:S73" si="46">IF(E70="","",E70-R70)</f>
        <v/>
      </c>
      <c r="T70" s="130">
        <v>0</v>
      </c>
      <c r="U70" s="130">
        <f t="shared" ref="U70" si="47">E70-R70-T70</f>
        <v>0</v>
      </c>
      <c r="V70"/>
      <c r="W70" s="18"/>
      <c r="X70" s="18"/>
    </row>
    <row r="71" spans="1:26" ht="18" customHeight="1" x14ac:dyDescent="0.55000000000000004">
      <c r="A71" s="162"/>
      <c r="B71" s="165"/>
      <c r="C71" s="6" t="s">
        <v>93</v>
      </c>
      <c r="D71" s="109">
        <v>45000</v>
      </c>
      <c r="E71" s="51"/>
      <c r="F71" s="6"/>
      <c r="G71" s="6">
        <v>1</v>
      </c>
      <c r="H71" s="6"/>
      <c r="I71" s="6"/>
      <c r="J71" s="6"/>
      <c r="K71" s="6"/>
      <c r="L71" s="6"/>
      <c r="M71" s="6"/>
      <c r="N71" s="6"/>
      <c r="O71" s="6"/>
      <c r="P71" s="6"/>
      <c r="Q71" s="6"/>
      <c r="R71" s="6">
        <f>SUM(F71:Q71)</f>
        <v>1</v>
      </c>
      <c r="S71" s="6" t="str">
        <f t="shared" si="46"/>
        <v/>
      </c>
      <c r="T71" s="130">
        <v>0</v>
      </c>
      <c r="U71" s="130">
        <v>0</v>
      </c>
      <c r="W71" s="18"/>
      <c r="X71" s="18"/>
    </row>
    <row r="72" spans="1:26" ht="18" customHeight="1" x14ac:dyDescent="0.55000000000000004">
      <c r="A72" s="162"/>
      <c r="B72" s="165"/>
      <c r="C72" s="6" t="s">
        <v>122</v>
      </c>
      <c r="D72" s="109">
        <v>43000</v>
      </c>
      <c r="E72" s="51"/>
      <c r="F72" s="6"/>
      <c r="G72" s="6">
        <v>1</v>
      </c>
      <c r="H72" s="6">
        <v>2</v>
      </c>
      <c r="I72" s="6"/>
      <c r="J72" s="6"/>
      <c r="K72" s="6"/>
      <c r="L72" s="6"/>
      <c r="M72" s="6"/>
      <c r="N72" s="6"/>
      <c r="O72" s="6"/>
      <c r="P72" s="6"/>
      <c r="Q72" s="6"/>
      <c r="R72" s="6">
        <f>SUM(F72:Q72)</f>
        <v>3</v>
      </c>
      <c r="S72" s="6" t="str">
        <f t="shared" si="46"/>
        <v/>
      </c>
      <c r="T72" s="130">
        <v>2</v>
      </c>
      <c r="U72" s="130">
        <v>0</v>
      </c>
      <c r="W72" s="18"/>
      <c r="X72" s="18"/>
    </row>
    <row r="73" spans="1:26" s="151" customFormat="1" ht="18" customHeight="1" x14ac:dyDescent="0.55000000000000004">
      <c r="A73" s="162"/>
      <c r="B73" s="165"/>
      <c r="C73" s="6" t="s">
        <v>105</v>
      </c>
      <c r="D73" s="6"/>
      <c r="E73" s="100"/>
      <c r="F73" s="63">
        <v>2</v>
      </c>
      <c r="G73" s="63"/>
      <c r="H73" s="63"/>
      <c r="I73" s="63"/>
      <c r="J73" s="63"/>
      <c r="K73" s="63"/>
      <c r="L73" s="63"/>
      <c r="M73" s="63"/>
      <c r="N73" s="63"/>
      <c r="O73" s="63"/>
      <c r="P73" s="63"/>
      <c r="Q73" s="63"/>
      <c r="R73" s="105">
        <f>SUM(F73:Q73)</f>
        <v>2</v>
      </c>
      <c r="S73" s="68" t="str">
        <f t="shared" si="46"/>
        <v/>
      </c>
      <c r="T73" s="140"/>
      <c r="U73" s="140"/>
      <c r="V73"/>
      <c r="W73" s="63">
        <f>SUM(W68:W68)</f>
        <v>0</v>
      </c>
      <c r="X73" s="63">
        <f>SUM(X68:X68)</f>
        <v>0</v>
      </c>
      <c r="Y73"/>
      <c r="Z73"/>
    </row>
    <row r="74" spans="1:26" ht="18" customHeight="1" x14ac:dyDescent="0.55000000000000004">
      <c r="A74" s="162"/>
      <c r="B74" s="165"/>
      <c r="C74" s="37" t="s">
        <v>95</v>
      </c>
      <c r="D74" s="37"/>
      <c r="E74" s="43">
        <f ca="1">SUM(E69:E74)</f>
        <v>0</v>
      </c>
      <c r="F74" s="43">
        <f>SUM(F69:F73)</f>
        <v>2</v>
      </c>
      <c r="G74" s="43">
        <f t="shared" ref="G74:R74" si="48">SUM(G69:G73)</f>
        <v>2</v>
      </c>
      <c r="H74" s="43">
        <f t="shared" si="48"/>
        <v>2</v>
      </c>
      <c r="I74" s="43">
        <f t="shared" si="48"/>
        <v>0</v>
      </c>
      <c r="J74" s="43">
        <f t="shared" si="48"/>
        <v>0</v>
      </c>
      <c r="K74" s="43">
        <f t="shared" si="48"/>
        <v>0</v>
      </c>
      <c r="L74" s="43">
        <f t="shared" si="48"/>
        <v>0</v>
      </c>
      <c r="M74" s="43">
        <f t="shared" si="48"/>
        <v>0</v>
      </c>
      <c r="N74" s="43">
        <f t="shared" si="48"/>
        <v>0</v>
      </c>
      <c r="O74" s="43">
        <f t="shared" si="48"/>
        <v>0</v>
      </c>
      <c r="P74" s="43">
        <f t="shared" si="48"/>
        <v>0</v>
      </c>
      <c r="Q74" s="43">
        <f t="shared" si="48"/>
        <v>0</v>
      </c>
      <c r="R74" s="43">
        <f t="shared" si="48"/>
        <v>6</v>
      </c>
      <c r="S74" s="37">
        <f>SUM(S69:S73)</f>
        <v>0</v>
      </c>
      <c r="T74" s="143">
        <v>0</v>
      </c>
      <c r="U74" s="143">
        <f>SUM(U69:U73)</f>
        <v>0</v>
      </c>
      <c r="V74"/>
      <c r="W74" s="88"/>
      <c r="X74" s="88"/>
    </row>
    <row r="75" spans="1:26" ht="18" customHeight="1" x14ac:dyDescent="0.55000000000000004">
      <c r="A75" s="162"/>
      <c r="B75" s="166"/>
      <c r="C75" s="37" t="s">
        <v>108</v>
      </c>
      <c r="D75" s="37"/>
      <c r="E75" s="43">
        <f>SUMPRODUCT(D69:D73,E69:E73)</f>
        <v>0</v>
      </c>
      <c r="F75" s="43">
        <f>SUMPRODUCT($D69:$D73,F69:F73)</f>
        <v>0</v>
      </c>
      <c r="G75" s="43">
        <f t="shared" ref="G75:Q75" si="49">SUMPRODUCT($D69:$D73,G69:G73)</f>
        <v>88000</v>
      </c>
      <c r="H75" s="43">
        <f t="shared" si="49"/>
        <v>86000</v>
      </c>
      <c r="I75" s="43">
        <f t="shared" si="49"/>
        <v>0</v>
      </c>
      <c r="J75" s="43">
        <f t="shared" si="49"/>
        <v>0</v>
      </c>
      <c r="K75" s="43">
        <f t="shared" si="49"/>
        <v>0</v>
      </c>
      <c r="L75" s="43">
        <f t="shared" si="49"/>
        <v>0</v>
      </c>
      <c r="M75" s="43">
        <f t="shared" si="49"/>
        <v>0</v>
      </c>
      <c r="N75" s="43">
        <f t="shared" si="49"/>
        <v>0</v>
      </c>
      <c r="O75" s="43">
        <f t="shared" si="49"/>
        <v>0</v>
      </c>
      <c r="P75" s="43">
        <f t="shared" si="49"/>
        <v>0</v>
      </c>
      <c r="Q75" s="43">
        <f t="shared" si="49"/>
        <v>0</v>
      </c>
      <c r="R75" s="146">
        <f>SUMPRODUCT(D69:D73,R69:R73)</f>
        <v>174000</v>
      </c>
      <c r="S75" s="146">
        <f>SUMPRODUCT(D69:D73,S69:S73)</f>
        <v>0</v>
      </c>
      <c r="T75" s="139">
        <f>SUMPRODUCT(D69:D73,T69:T73)</f>
        <v>86000</v>
      </c>
      <c r="U75" s="145">
        <f>SUMPRODUCT(D69:D73,U69:U73)</f>
        <v>0</v>
      </c>
      <c r="V75"/>
      <c r="W75" s="88"/>
      <c r="X75" s="88"/>
    </row>
    <row r="76" spans="1:26" ht="18.75" customHeight="1" x14ac:dyDescent="0.55000000000000004">
      <c r="A76" s="162"/>
      <c r="B76" s="164" t="s">
        <v>20</v>
      </c>
      <c r="C76" s="6" t="s">
        <v>91</v>
      </c>
      <c r="D76" s="109">
        <v>30000</v>
      </c>
      <c r="E76" s="51"/>
      <c r="F76" s="6"/>
      <c r="G76" s="6"/>
      <c r="H76" s="6"/>
      <c r="I76" s="6"/>
      <c r="J76" s="90"/>
      <c r="K76" s="6"/>
      <c r="L76" s="75"/>
      <c r="M76" s="6"/>
      <c r="N76" s="51"/>
      <c r="O76" s="75"/>
      <c r="P76" s="51"/>
      <c r="Q76" s="75"/>
      <c r="R76" s="13">
        <f>SUM(F76:Q76)</f>
        <v>0</v>
      </c>
      <c r="S76" s="13">
        <f>E76-R76</f>
        <v>0</v>
      </c>
      <c r="T76" s="141">
        <v>0</v>
      </c>
      <c r="U76" s="141">
        <f>E76-R76-T76</f>
        <v>0</v>
      </c>
      <c r="V76"/>
      <c r="W76" s="18" t="s">
        <v>73</v>
      </c>
      <c r="X76" s="18" t="s">
        <v>74</v>
      </c>
      <c r="Y76" t="s">
        <v>75</v>
      </c>
    </row>
    <row r="77" spans="1:26" ht="18.75" customHeight="1" x14ac:dyDescent="0.55000000000000004">
      <c r="A77" s="162"/>
      <c r="B77" s="165"/>
      <c r="C77" s="6" t="s">
        <v>92</v>
      </c>
      <c r="D77" s="109">
        <v>15000</v>
      </c>
      <c r="E77" s="97"/>
      <c r="F77" s="6"/>
      <c r="G77" s="6"/>
      <c r="H77" s="6"/>
      <c r="I77" s="6"/>
      <c r="J77" s="90"/>
      <c r="K77" s="6"/>
      <c r="L77" s="75"/>
      <c r="M77" s="75"/>
      <c r="N77" s="51"/>
      <c r="O77" s="6"/>
      <c r="P77" s="75"/>
      <c r="Q77" s="75"/>
      <c r="R77" s="6">
        <f>SUM(F77:Q77)</f>
        <v>0</v>
      </c>
      <c r="S77" s="6" t="str">
        <f>IF(E77="","",E77-R77)</f>
        <v/>
      </c>
      <c r="T77" s="130">
        <v>0</v>
      </c>
      <c r="U77" s="130">
        <f t="shared" ref="U77" si="50">E77-R77-T77</f>
        <v>0</v>
      </c>
      <c r="V77"/>
      <c r="W77" s="18"/>
      <c r="X77" s="18"/>
    </row>
    <row r="78" spans="1:26" ht="18.75" customHeight="1" x14ac:dyDescent="0.55000000000000004">
      <c r="A78" s="162"/>
      <c r="B78" s="165"/>
      <c r="C78" s="6" t="s">
        <v>93</v>
      </c>
      <c r="D78" s="109">
        <v>45000</v>
      </c>
      <c r="E78" s="51"/>
      <c r="F78" s="6">
        <v>1</v>
      </c>
      <c r="G78" s="6">
        <v>1</v>
      </c>
      <c r="H78" s="6">
        <v>1</v>
      </c>
      <c r="I78" s="6"/>
      <c r="J78" s="90"/>
      <c r="K78" s="6"/>
      <c r="L78" s="75"/>
      <c r="M78" s="75"/>
      <c r="N78" s="75"/>
      <c r="O78" s="75"/>
      <c r="P78" s="51"/>
      <c r="Q78" s="51"/>
      <c r="R78" s="6">
        <f>SUM(F78:Q78)</f>
        <v>3</v>
      </c>
      <c r="S78" s="6" t="str">
        <f t="shared" ref="S78:S81" si="51">IF(E78="","",E78-R78)</f>
        <v/>
      </c>
      <c r="T78" s="130">
        <v>9</v>
      </c>
      <c r="U78" s="130">
        <v>0</v>
      </c>
      <c r="V78"/>
      <c r="W78" s="18"/>
      <c r="X78" s="18"/>
    </row>
    <row r="79" spans="1:26" ht="18.75" customHeight="1" x14ac:dyDescent="0.55000000000000004">
      <c r="A79" s="162"/>
      <c r="B79" s="165"/>
      <c r="C79" s="6" t="s">
        <v>122</v>
      </c>
      <c r="D79" s="109">
        <v>43000</v>
      </c>
      <c r="E79" s="51"/>
      <c r="F79" s="6"/>
      <c r="G79" s="6"/>
      <c r="H79" s="6"/>
      <c r="I79" s="6"/>
      <c r="J79" s="90"/>
      <c r="K79" s="6"/>
      <c r="L79" s="75"/>
      <c r="M79" s="75"/>
      <c r="N79" s="75"/>
      <c r="O79" s="75"/>
      <c r="P79" s="51"/>
      <c r="Q79" s="51"/>
      <c r="R79" s="6">
        <f>SUM(F79:Q79)</f>
        <v>0</v>
      </c>
      <c r="S79" s="6" t="str">
        <f t="shared" si="51"/>
        <v/>
      </c>
      <c r="T79" s="130">
        <v>0</v>
      </c>
      <c r="U79" s="130">
        <v>0</v>
      </c>
      <c r="V79"/>
      <c r="W79" s="18"/>
      <c r="X79" s="18"/>
    </row>
    <row r="80" spans="1:26" ht="18.75" customHeight="1" x14ac:dyDescent="0.55000000000000004">
      <c r="A80" s="162"/>
      <c r="B80" s="165"/>
      <c r="C80" s="6" t="s">
        <v>105</v>
      </c>
      <c r="D80" s="118"/>
      <c r="E80" s="132"/>
      <c r="F80" s="6">
        <v>1</v>
      </c>
      <c r="G80" s="6">
        <v>1</v>
      </c>
      <c r="H80" s="6">
        <v>1</v>
      </c>
      <c r="I80" s="6"/>
      <c r="J80" s="6"/>
      <c r="K80" s="6"/>
      <c r="L80" s="75"/>
      <c r="M80" s="75"/>
      <c r="N80" s="75"/>
      <c r="O80" s="51"/>
      <c r="P80" s="51"/>
      <c r="Q80" s="51"/>
      <c r="R80" s="6">
        <f>SUM(F80:Q80)</f>
        <v>3</v>
      </c>
      <c r="S80" s="68" t="str">
        <f t="shared" si="51"/>
        <v/>
      </c>
      <c r="T80" s="121"/>
      <c r="U80" s="121"/>
      <c r="V80"/>
      <c r="W80" s="18"/>
      <c r="X80" s="18"/>
    </row>
    <row r="81" spans="1:25" ht="18.75" customHeight="1" x14ac:dyDescent="0.55000000000000004">
      <c r="A81" s="162"/>
      <c r="B81" s="165"/>
      <c r="C81" s="6" t="s">
        <v>98</v>
      </c>
      <c r="D81" s="133"/>
      <c r="E81" s="99"/>
      <c r="F81" s="6"/>
      <c r="G81" s="6"/>
      <c r="H81" s="6"/>
      <c r="I81" s="6"/>
      <c r="J81" s="6"/>
      <c r="K81" s="6"/>
      <c r="L81" s="75"/>
      <c r="M81" s="75"/>
      <c r="N81" s="75"/>
      <c r="O81" s="75"/>
      <c r="P81" s="75"/>
      <c r="Q81" s="75"/>
      <c r="R81" s="6">
        <f t="shared" ref="R81" si="52">SUM(F81:Q81)</f>
        <v>0</v>
      </c>
      <c r="S81" s="68" t="str">
        <f t="shared" si="51"/>
        <v/>
      </c>
      <c r="T81" s="121"/>
      <c r="U81" s="121"/>
      <c r="V81"/>
      <c r="W81" s="18"/>
      <c r="X81" s="18"/>
    </row>
    <row r="82" spans="1:25" ht="18.75" customHeight="1" x14ac:dyDescent="0.55000000000000004">
      <c r="A82" s="162"/>
      <c r="B82" s="165"/>
      <c r="C82" s="37" t="s">
        <v>95</v>
      </c>
      <c r="D82" s="37"/>
      <c r="E82" s="43">
        <f>SUM(E76:E81)</f>
        <v>0</v>
      </c>
      <c r="F82" s="43">
        <f>SUM(F76:F81)</f>
        <v>2</v>
      </c>
      <c r="G82" s="43">
        <f t="shared" ref="G82:R82" si="53">SUM(G76:G81)</f>
        <v>2</v>
      </c>
      <c r="H82" s="43">
        <f t="shared" si="53"/>
        <v>2</v>
      </c>
      <c r="I82" s="43">
        <f t="shared" si="53"/>
        <v>0</v>
      </c>
      <c r="J82" s="43">
        <f t="shared" si="53"/>
        <v>0</v>
      </c>
      <c r="K82" s="43">
        <f t="shared" si="53"/>
        <v>0</v>
      </c>
      <c r="L82" s="43">
        <f t="shared" si="53"/>
        <v>0</v>
      </c>
      <c r="M82" s="43">
        <f t="shared" si="53"/>
        <v>0</v>
      </c>
      <c r="N82" s="43">
        <f t="shared" si="53"/>
        <v>0</v>
      </c>
      <c r="O82" s="43">
        <f t="shared" si="53"/>
        <v>0</v>
      </c>
      <c r="P82" s="43">
        <f t="shared" si="53"/>
        <v>0</v>
      </c>
      <c r="Q82" s="43">
        <f t="shared" si="53"/>
        <v>0</v>
      </c>
      <c r="R82" s="43">
        <f t="shared" si="53"/>
        <v>6</v>
      </c>
      <c r="S82" s="37">
        <f>SUM(S77:S81)</f>
        <v>0</v>
      </c>
      <c r="T82" s="119">
        <v>0</v>
      </c>
      <c r="U82" s="119">
        <v>0</v>
      </c>
      <c r="V82"/>
      <c r="W82" s="88"/>
      <c r="X82" s="88"/>
    </row>
    <row r="83" spans="1:25" ht="18.75" customHeight="1" x14ac:dyDescent="0.55000000000000004">
      <c r="A83" s="162"/>
      <c r="B83" s="166"/>
      <c r="C83" s="37" t="s">
        <v>108</v>
      </c>
      <c r="D83" s="37"/>
      <c r="E83" s="43">
        <f>SUMPRODUCT(D76:D81,E76:E81)</f>
        <v>0</v>
      </c>
      <c r="F83" s="43">
        <f>SUMPRODUCT($D76:$D81,F76:F81)</f>
        <v>45000</v>
      </c>
      <c r="G83" s="43">
        <f t="shared" ref="G83:Q83" si="54">SUMPRODUCT($D76:$D81,G76:G81)</f>
        <v>45000</v>
      </c>
      <c r="H83" s="43">
        <f>SUMPRODUCT($D76:$D81,H76:H81)</f>
        <v>45000</v>
      </c>
      <c r="I83" s="43">
        <f t="shared" si="54"/>
        <v>0</v>
      </c>
      <c r="J83" s="43">
        <f t="shared" si="54"/>
        <v>0</v>
      </c>
      <c r="K83" s="43">
        <f t="shared" si="54"/>
        <v>0</v>
      </c>
      <c r="L83" s="43">
        <f t="shared" si="54"/>
        <v>0</v>
      </c>
      <c r="M83" s="43">
        <f t="shared" si="54"/>
        <v>0</v>
      </c>
      <c r="N83" s="43">
        <f t="shared" si="54"/>
        <v>0</v>
      </c>
      <c r="O83" s="43">
        <f t="shared" si="54"/>
        <v>0</v>
      </c>
      <c r="P83" s="43">
        <f t="shared" si="54"/>
        <v>0</v>
      </c>
      <c r="Q83" s="43">
        <f t="shared" si="54"/>
        <v>0</v>
      </c>
      <c r="R83" s="43">
        <f>SUMPRODUCT(D76:D81,R76:R81)</f>
        <v>135000</v>
      </c>
      <c r="S83" s="43">
        <f>SUMPRODUCT(D76:D81,S76:S81)</f>
        <v>0</v>
      </c>
      <c r="T83" s="43">
        <f>SUMPRODUCT(D76:D81,T76:T81)</f>
        <v>405000</v>
      </c>
      <c r="U83" s="43">
        <f>SUMPRODUCT(D76:D81,U76:U81)</f>
        <v>0</v>
      </c>
      <c r="V83"/>
      <c r="W83" s="88"/>
      <c r="X83" s="88"/>
    </row>
    <row r="84" spans="1:25" ht="18.75" customHeight="1" x14ac:dyDescent="0.55000000000000004">
      <c r="A84" s="162"/>
      <c r="B84" s="164" t="s">
        <v>21</v>
      </c>
      <c r="C84" s="6" t="s">
        <v>91</v>
      </c>
      <c r="D84" s="109">
        <v>30000</v>
      </c>
      <c r="E84" s="51"/>
      <c r="F84" s="6">
        <v>1</v>
      </c>
      <c r="G84" s="6"/>
      <c r="H84" s="6">
        <v>1</v>
      </c>
      <c r="I84" s="6"/>
      <c r="J84" s="63"/>
      <c r="K84" s="63"/>
      <c r="L84" s="63"/>
      <c r="M84" s="6"/>
      <c r="N84" s="6"/>
      <c r="O84" s="6"/>
      <c r="P84" s="6"/>
      <c r="Q84" s="6"/>
      <c r="R84" s="6">
        <f>SUM(F84:Q84)</f>
        <v>2</v>
      </c>
      <c r="S84" s="6" t="str">
        <f>IF(E84="","",E84-R84)</f>
        <v/>
      </c>
      <c r="T84" s="130">
        <v>0</v>
      </c>
      <c r="U84" s="130">
        <v>0</v>
      </c>
      <c r="W84" s="18" t="s">
        <v>76</v>
      </c>
      <c r="X84" s="18" t="s">
        <v>77</v>
      </c>
      <c r="Y84" t="s">
        <v>78</v>
      </c>
    </row>
    <row r="85" spans="1:25" ht="18.75" customHeight="1" x14ac:dyDescent="0.55000000000000004">
      <c r="A85" s="162"/>
      <c r="B85" s="165"/>
      <c r="C85" s="6" t="s">
        <v>92</v>
      </c>
      <c r="D85" s="109">
        <v>15000</v>
      </c>
      <c r="E85" s="97"/>
      <c r="F85" s="6"/>
      <c r="G85" s="6"/>
      <c r="H85" s="6"/>
      <c r="I85" s="6"/>
      <c r="J85" s="63"/>
      <c r="K85" s="63"/>
      <c r="L85" s="63"/>
      <c r="M85" s="6"/>
      <c r="N85" s="6"/>
      <c r="O85" s="6"/>
      <c r="P85" s="6"/>
      <c r="Q85" s="6"/>
      <c r="R85" s="6">
        <f>SUM(F85:Q85)</f>
        <v>0</v>
      </c>
      <c r="S85" s="6" t="str">
        <f t="shared" ref="S85:S88" si="55">IF(E85="","",E85-R85)</f>
        <v/>
      </c>
      <c r="T85" s="130">
        <v>0</v>
      </c>
      <c r="U85" s="130">
        <v>0</v>
      </c>
      <c r="W85" s="18"/>
      <c r="X85" s="18"/>
    </row>
    <row r="86" spans="1:25" ht="18.75" customHeight="1" x14ac:dyDescent="0.55000000000000004">
      <c r="A86" s="162"/>
      <c r="B86" s="165"/>
      <c r="C86" s="6" t="s">
        <v>93</v>
      </c>
      <c r="D86" s="109">
        <v>45000</v>
      </c>
      <c r="E86" s="51"/>
      <c r="F86" s="6">
        <v>1</v>
      </c>
      <c r="G86" s="6"/>
      <c r="H86" s="6"/>
      <c r="I86" s="6"/>
      <c r="J86" s="63"/>
      <c r="K86" s="63"/>
      <c r="L86" s="63"/>
      <c r="M86" s="6"/>
      <c r="N86" s="6"/>
      <c r="O86" s="6"/>
      <c r="P86" s="6"/>
      <c r="Q86" s="6"/>
      <c r="R86" s="6">
        <f>SUM(F86:Q86)</f>
        <v>1</v>
      </c>
      <c r="S86" s="6" t="str">
        <f t="shared" si="55"/>
        <v/>
      </c>
      <c r="T86" s="130">
        <v>0</v>
      </c>
      <c r="U86" s="130">
        <v>0</v>
      </c>
      <c r="W86" s="18"/>
      <c r="X86" s="18"/>
    </row>
    <row r="87" spans="1:25" ht="18.75" customHeight="1" x14ac:dyDescent="0.55000000000000004">
      <c r="A87" s="162"/>
      <c r="B87" s="165"/>
      <c r="C87" s="6" t="s">
        <v>122</v>
      </c>
      <c r="D87" s="109">
        <v>43000</v>
      </c>
      <c r="E87" s="51"/>
      <c r="F87" s="6"/>
      <c r="G87" s="6">
        <v>1</v>
      </c>
      <c r="H87" s="6">
        <v>1</v>
      </c>
      <c r="I87" s="6"/>
      <c r="J87" s="63"/>
      <c r="K87" s="63"/>
      <c r="L87" s="63"/>
      <c r="M87" s="6"/>
      <c r="N87" s="6"/>
      <c r="O87" s="6"/>
      <c r="P87" s="6"/>
      <c r="Q87" s="6"/>
      <c r="R87" s="6">
        <f>SUM(F87:Q87)</f>
        <v>2</v>
      </c>
      <c r="S87" s="6" t="str">
        <f t="shared" si="55"/>
        <v/>
      </c>
      <c r="T87" s="130">
        <v>2</v>
      </c>
      <c r="U87" s="130">
        <v>0</v>
      </c>
      <c r="W87" s="18"/>
      <c r="X87" s="18"/>
    </row>
    <row r="88" spans="1:25" ht="18.75" customHeight="1" x14ac:dyDescent="0.55000000000000004">
      <c r="A88" s="162"/>
      <c r="B88" s="165"/>
      <c r="C88" s="6" t="s">
        <v>105</v>
      </c>
      <c r="D88" s="6"/>
      <c r="E88" s="99"/>
      <c r="F88" s="6">
        <v>1</v>
      </c>
      <c r="G88" s="6">
        <v>1</v>
      </c>
      <c r="H88" s="6"/>
      <c r="I88" s="6"/>
      <c r="J88" s="63"/>
      <c r="K88" s="63"/>
      <c r="L88" s="63"/>
      <c r="M88" s="6"/>
      <c r="N88" s="6"/>
      <c r="O88" s="6"/>
      <c r="P88" s="6"/>
      <c r="Q88" s="6"/>
      <c r="R88" s="6">
        <f>SUM(F88:Q88)</f>
        <v>2</v>
      </c>
      <c r="S88" s="68" t="str">
        <f t="shared" si="55"/>
        <v/>
      </c>
      <c r="T88" s="121"/>
      <c r="U88" s="121"/>
      <c r="W88" s="18"/>
      <c r="X88" s="18"/>
    </row>
    <row r="89" spans="1:25" ht="18.75" customHeight="1" x14ac:dyDescent="0.55000000000000004">
      <c r="A89" s="162"/>
      <c r="B89" s="165"/>
      <c r="C89" s="37" t="s">
        <v>95</v>
      </c>
      <c r="D89" s="37"/>
      <c r="E89" s="43">
        <f>SUM(E84:E88)</f>
        <v>0</v>
      </c>
      <c r="F89" s="43">
        <f t="shared" ref="F89:R89" si="56">SUM(F84:F88)</f>
        <v>3</v>
      </c>
      <c r="G89" s="43">
        <f t="shared" si="56"/>
        <v>2</v>
      </c>
      <c r="H89" s="43">
        <f t="shared" si="56"/>
        <v>2</v>
      </c>
      <c r="I89" s="43">
        <f t="shared" si="56"/>
        <v>0</v>
      </c>
      <c r="J89" s="43">
        <f t="shared" si="56"/>
        <v>0</v>
      </c>
      <c r="K89" s="43">
        <f t="shared" si="56"/>
        <v>0</v>
      </c>
      <c r="L89" s="43">
        <f t="shared" si="56"/>
        <v>0</v>
      </c>
      <c r="M89" s="43">
        <f t="shared" si="56"/>
        <v>0</v>
      </c>
      <c r="N89" s="43">
        <f t="shared" si="56"/>
        <v>0</v>
      </c>
      <c r="O89" s="43">
        <f t="shared" si="56"/>
        <v>0</v>
      </c>
      <c r="P89" s="43">
        <f t="shared" si="56"/>
        <v>0</v>
      </c>
      <c r="Q89" s="43">
        <f t="shared" si="56"/>
        <v>0</v>
      </c>
      <c r="R89" s="43">
        <f t="shared" si="56"/>
        <v>7</v>
      </c>
      <c r="S89" s="37">
        <f>SUM(S84:S88)</f>
        <v>0</v>
      </c>
      <c r="T89" s="119">
        <f>SUM(T84:T88)</f>
        <v>2</v>
      </c>
      <c r="U89" s="119">
        <f>SUM(U84:U88)</f>
        <v>0</v>
      </c>
      <c r="W89" s="88"/>
      <c r="X89" s="88"/>
    </row>
    <row r="90" spans="1:25" ht="18.75" customHeight="1" x14ac:dyDescent="0.55000000000000004">
      <c r="A90" s="162"/>
      <c r="B90" s="166"/>
      <c r="C90" s="37" t="s">
        <v>108</v>
      </c>
      <c r="D90" s="37"/>
      <c r="E90" s="43">
        <f>SUMPRODUCT(D84:D88,E84:E88)</f>
        <v>0</v>
      </c>
      <c r="F90" s="43">
        <f>SUMPRODUCT($D84:$D88,F84:F88)</f>
        <v>75000</v>
      </c>
      <c r="G90" s="43">
        <f t="shared" ref="G90:Q90" si="57">SUMPRODUCT($D84:$D88,G84:G88)</f>
        <v>43000</v>
      </c>
      <c r="H90" s="43">
        <f t="shared" si="57"/>
        <v>73000</v>
      </c>
      <c r="I90" s="43">
        <f t="shared" si="57"/>
        <v>0</v>
      </c>
      <c r="J90" s="43">
        <f t="shared" si="57"/>
        <v>0</v>
      </c>
      <c r="K90" s="43">
        <f t="shared" si="57"/>
        <v>0</v>
      </c>
      <c r="L90" s="43">
        <f t="shared" si="57"/>
        <v>0</v>
      </c>
      <c r="M90" s="43">
        <f t="shared" si="57"/>
        <v>0</v>
      </c>
      <c r="N90" s="43">
        <f t="shared" si="57"/>
        <v>0</v>
      </c>
      <c r="O90" s="43">
        <f t="shared" si="57"/>
        <v>0</v>
      </c>
      <c r="P90" s="43">
        <f t="shared" si="57"/>
        <v>0</v>
      </c>
      <c r="Q90" s="43">
        <f t="shared" si="57"/>
        <v>0</v>
      </c>
      <c r="R90" s="43">
        <f>SUMPRODUCT(D84:D88,R84:R88)</f>
        <v>191000</v>
      </c>
      <c r="S90" s="43">
        <f>SUMPRODUCT(D84:D88,S84:S88)</f>
        <v>0</v>
      </c>
      <c r="T90" s="43">
        <f>SUMPRODUCT(D84:D88,T84:T88)</f>
        <v>86000</v>
      </c>
      <c r="U90" s="43">
        <f>SUMPRODUCT(D84:D88,U84:U88)</f>
        <v>0</v>
      </c>
      <c r="W90" s="88"/>
      <c r="X90" s="88"/>
    </row>
    <row r="91" spans="1:25" ht="18.75" customHeight="1" x14ac:dyDescent="0.55000000000000004">
      <c r="A91" s="162"/>
      <c r="B91" s="164" t="s">
        <v>22</v>
      </c>
      <c r="C91" s="6" t="s">
        <v>91</v>
      </c>
      <c r="D91" s="109">
        <v>30000</v>
      </c>
      <c r="E91" s="51"/>
      <c r="F91" s="6"/>
      <c r="G91" s="6"/>
      <c r="H91" s="6"/>
      <c r="I91" s="6"/>
      <c r="J91" s="6"/>
      <c r="K91" s="6"/>
      <c r="L91" s="6"/>
      <c r="M91" s="6"/>
      <c r="N91" s="6"/>
      <c r="O91" s="6"/>
      <c r="P91" s="6"/>
      <c r="Q91" s="6"/>
      <c r="R91" s="6">
        <f>SUM(F91:Q91)</f>
        <v>0</v>
      </c>
      <c r="S91" s="6" t="str">
        <f>IF(E91="","",E91-R91)</f>
        <v/>
      </c>
      <c r="T91" s="130">
        <v>0</v>
      </c>
      <c r="U91" s="130">
        <f>E91-R91-T91</f>
        <v>0</v>
      </c>
      <c r="W91" s="18" t="s">
        <v>55</v>
      </c>
      <c r="X91" s="18" t="s">
        <v>79</v>
      </c>
      <c r="Y91" t="s">
        <v>109</v>
      </c>
    </row>
    <row r="92" spans="1:25" ht="18.75" customHeight="1" x14ac:dyDescent="0.55000000000000004">
      <c r="A92" s="162"/>
      <c r="B92" s="165"/>
      <c r="C92" s="6" t="s">
        <v>92</v>
      </c>
      <c r="D92" s="109">
        <v>15000</v>
      </c>
      <c r="E92" s="51"/>
      <c r="F92" s="6"/>
      <c r="G92" s="6"/>
      <c r="H92" s="6"/>
      <c r="I92" s="6"/>
      <c r="J92" s="6"/>
      <c r="K92" s="6"/>
      <c r="L92" s="6"/>
      <c r="M92" s="6"/>
      <c r="N92" s="6"/>
      <c r="O92" s="6"/>
      <c r="P92" s="6"/>
      <c r="Q92" s="6"/>
      <c r="R92" s="6">
        <f>SUM(F92:Q92)</f>
        <v>0</v>
      </c>
      <c r="S92" s="6" t="str">
        <f t="shared" ref="S92:S95" si="58">IF(E92="","",E92-R92)</f>
        <v/>
      </c>
      <c r="T92" s="130">
        <v>0</v>
      </c>
      <c r="U92" s="130">
        <f t="shared" ref="U92:U93" si="59">E92-R92-T92</f>
        <v>0</v>
      </c>
      <c r="W92" s="158"/>
      <c r="X92" s="158"/>
    </row>
    <row r="93" spans="1:25" ht="18.75" customHeight="1" x14ac:dyDescent="0.55000000000000004">
      <c r="A93" s="162"/>
      <c r="B93" s="165"/>
      <c r="C93" s="6" t="s">
        <v>93</v>
      </c>
      <c r="D93" s="109">
        <v>45000</v>
      </c>
      <c r="E93" s="51"/>
      <c r="F93" s="6">
        <v>1</v>
      </c>
      <c r="G93" s="6"/>
      <c r="H93" s="6">
        <v>2</v>
      </c>
      <c r="I93" s="6"/>
      <c r="J93" s="6"/>
      <c r="K93" s="6"/>
      <c r="L93" s="6"/>
      <c r="M93" s="6"/>
      <c r="N93" s="6"/>
      <c r="O93" s="6"/>
      <c r="P93" s="6"/>
      <c r="Q93" s="6"/>
      <c r="R93" s="6">
        <f>SUM(F93:Q93)</f>
        <v>3</v>
      </c>
      <c r="S93" s="6" t="str">
        <f t="shared" si="58"/>
        <v/>
      </c>
      <c r="T93" s="130">
        <v>2</v>
      </c>
      <c r="U93" s="130">
        <f t="shared" si="59"/>
        <v>-5</v>
      </c>
      <c r="W93" s="158"/>
      <c r="X93" s="158"/>
    </row>
    <row r="94" spans="1:25" ht="18.75" customHeight="1" x14ac:dyDescent="0.55000000000000004">
      <c r="A94" s="162"/>
      <c r="B94" s="165"/>
      <c r="C94" s="6" t="s">
        <v>122</v>
      </c>
      <c r="D94" s="109">
        <v>43000</v>
      </c>
      <c r="E94" s="51"/>
      <c r="F94" s="6"/>
      <c r="G94" s="6"/>
      <c r="H94" s="6"/>
      <c r="I94" s="6"/>
      <c r="J94" s="6"/>
      <c r="K94" s="6"/>
      <c r="L94" s="6"/>
      <c r="M94" s="6"/>
      <c r="N94" s="6"/>
      <c r="O94" s="6"/>
      <c r="P94" s="6"/>
      <c r="Q94" s="6"/>
      <c r="R94" s="6">
        <f>SUM(F94:Q94)</f>
        <v>0</v>
      </c>
      <c r="S94" s="6" t="str">
        <f t="shared" si="58"/>
        <v/>
      </c>
      <c r="T94" s="130">
        <v>1</v>
      </c>
      <c r="U94" s="130">
        <f t="shared" ref="U94" si="60">E94-R94-T94</f>
        <v>-1</v>
      </c>
      <c r="W94" s="158"/>
      <c r="X94" s="158"/>
    </row>
    <row r="95" spans="1:25" ht="18.75" customHeight="1" x14ac:dyDescent="0.55000000000000004">
      <c r="A95" s="162"/>
      <c r="B95" s="165"/>
      <c r="C95" s="6" t="s">
        <v>105</v>
      </c>
      <c r="D95" s="6"/>
      <c r="E95" s="99"/>
      <c r="F95" s="6">
        <v>1</v>
      </c>
      <c r="G95" s="6">
        <v>1</v>
      </c>
      <c r="H95" s="6"/>
      <c r="I95" s="6"/>
      <c r="J95" s="6"/>
      <c r="K95" s="6"/>
      <c r="L95" s="6"/>
      <c r="M95" s="6"/>
      <c r="N95" s="6"/>
      <c r="O95" s="6"/>
      <c r="P95" s="6"/>
      <c r="Q95" s="6"/>
      <c r="R95" s="6">
        <f>SUM(F95:Q95)</f>
        <v>2</v>
      </c>
      <c r="S95" s="68" t="str">
        <f t="shared" si="58"/>
        <v/>
      </c>
      <c r="T95" s="121"/>
      <c r="U95" s="121"/>
      <c r="W95" s="158"/>
      <c r="X95" s="158"/>
    </row>
    <row r="96" spans="1:25" ht="18.75" customHeight="1" x14ac:dyDescent="0.55000000000000004">
      <c r="A96" s="162"/>
      <c r="B96" s="165"/>
      <c r="C96" s="37" t="s">
        <v>95</v>
      </c>
      <c r="D96" s="37"/>
      <c r="E96" s="43">
        <f>SUM(E91:E95)</f>
        <v>0</v>
      </c>
      <c r="F96" s="43">
        <f t="shared" ref="F96:R96" si="61">SUM(F91:F95)</f>
        <v>2</v>
      </c>
      <c r="G96" s="43">
        <f t="shared" si="61"/>
        <v>1</v>
      </c>
      <c r="H96" s="43">
        <f t="shared" si="61"/>
        <v>2</v>
      </c>
      <c r="I96" s="43">
        <f t="shared" si="61"/>
        <v>0</v>
      </c>
      <c r="J96" s="43">
        <f t="shared" si="61"/>
        <v>0</v>
      </c>
      <c r="K96" s="43">
        <f t="shared" si="61"/>
        <v>0</v>
      </c>
      <c r="L96" s="43">
        <f t="shared" si="61"/>
        <v>0</v>
      </c>
      <c r="M96" s="43">
        <f t="shared" si="61"/>
        <v>0</v>
      </c>
      <c r="N96" s="43">
        <f t="shared" si="61"/>
        <v>0</v>
      </c>
      <c r="O96" s="43">
        <f t="shared" si="61"/>
        <v>0</v>
      </c>
      <c r="P96" s="43">
        <f t="shared" si="61"/>
        <v>0</v>
      </c>
      <c r="Q96" s="43">
        <f t="shared" si="61"/>
        <v>0</v>
      </c>
      <c r="R96" s="43">
        <f t="shared" si="61"/>
        <v>5</v>
      </c>
      <c r="S96" s="37">
        <f>SUM(S91:S95)</f>
        <v>0</v>
      </c>
      <c r="T96" s="119">
        <f>SUM(T91:T95)</f>
        <v>3</v>
      </c>
      <c r="U96" s="119">
        <f>SUM(U91:U95)</f>
        <v>-6</v>
      </c>
      <c r="W96" s="89"/>
      <c r="X96" s="89"/>
    </row>
    <row r="97" spans="1:24" ht="18.75" customHeight="1" x14ac:dyDescent="0.55000000000000004">
      <c r="A97" s="162"/>
      <c r="B97" s="166"/>
      <c r="C97" s="37" t="s">
        <v>108</v>
      </c>
      <c r="D97" s="37"/>
      <c r="E97" s="43">
        <f>SUMPRODUCT(D91:D95,E91:E95)</f>
        <v>0</v>
      </c>
      <c r="F97" s="43">
        <f>SUMPRODUCT($D91:$D95,F91:F95)</f>
        <v>45000</v>
      </c>
      <c r="G97" s="43">
        <f t="shared" ref="G97:Q97" si="62">SUMPRODUCT($D91:$D95,G91:G95)</f>
        <v>0</v>
      </c>
      <c r="H97" s="43">
        <f t="shared" si="62"/>
        <v>90000</v>
      </c>
      <c r="I97" s="43">
        <f t="shared" si="62"/>
        <v>0</v>
      </c>
      <c r="J97" s="43">
        <f t="shared" si="62"/>
        <v>0</v>
      </c>
      <c r="K97" s="43">
        <f t="shared" si="62"/>
        <v>0</v>
      </c>
      <c r="L97" s="43">
        <f t="shared" si="62"/>
        <v>0</v>
      </c>
      <c r="M97" s="43">
        <f t="shared" si="62"/>
        <v>0</v>
      </c>
      <c r="N97" s="43">
        <f t="shared" si="62"/>
        <v>0</v>
      </c>
      <c r="O97" s="43">
        <f t="shared" si="62"/>
        <v>0</v>
      </c>
      <c r="P97" s="43">
        <f t="shared" si="62"/>
        <v>0</v>
      </c>
      <c r="Q97" s="43">
        <f t="shared" si="62"/>
        <v>0</v>
      </c>
      <c r="R97" s="43">
        <f>SUMPRODUCT(D91:D95,R91:R95)</f>
        <v>135000</v>
      </c>
      <c r="S97" s="43">
        <f>SUMPRODUCT(D91:D95,S91:S95)</f>
        <v>0</v>
      </c>
      <c r="T97" s="43">
        <f>SUMPRODUCT(D91:D95,T91:T95)</f>
        <v>133000</v>
      </c>
      <c r="U97" s="43">
        <f>SUMPRODUCT(D91:D95,U91:U95)</f>
        <v>-268000</v>
      </c>
      <c r="W97" s="89"/>
      <c r="X97" s="89"/>
    </row>
    <row r="98" spans="1:24" ht="18.75" customHeight="1" thickBot="1" x14ac:dyDescent="0.6">
      <c r="A98" s="163"/>
      <c r="B98" s="77" t="s">
        <v>11</v>
      </c>
      <c r="C98" s="77"/>
      <c r="D98" s="77"/>
      <c r="E98" s="80"/>
      <c r="F98" s="77"/>
      <c r="G98" s="77"/>
      <c r="H98" s="77"/>
      <c r="I98" s="77"/>
      <c r="J98" s="77"/>
      <c r="K98" s="77"/>
      <c r="L98" s="77"/>
      <c r="M98" s="77"/>
      <c r="N98" s="77"/>
      <c r="O98" s="77"/>
      <c r="P98" s="77"/>
      <c r="Q98" s="77"/>
      <c r="R98" s="78">
        <f>SUM(F98:K98)</f>
        <v>0</v>
      </c>
      <c r="S98" s="101">
        <f>SUM(S96,S89,S82,S74)</f>
        <v>0</v>
      </c>
      <c r="T98" s="120"/>
      <c r="U98" s="120"/>
      <c r="W98" s="19"/>
      <c r="X98" s="19"/>
    </row>
    <row r="99" spans="1:24" ht="18.75" customHeight="1" x14ac:dyDescent="0.55000000000000004">
      <c r="A99" s="161" t="s">
        <v>110</v>
      </c>
      <c r="B99" s="164" t="s">
        <v>19</v>
      </c>
      <c r="C99" s="6" t="s">
        <v>111</v>
      </c>
      <c r="D99" s="109">
        <v>355000</v>
      </c>
      <c r="E99" s="51"/>
      <c r="F99" s="6"/>
      <c r="G99" s="6"/>
      <c r="H99" s="6"/>
      <c r="I99" s="6"/>
      <c r="J99" s="6"/>
      <c r="K99" s="6"/>
      <c r="L99" s="6"/>
      <c r="M99" s="6"/>
      <c r="N99" s="6"/>
      <c r="O99" s="6"/>
      <c r="P99" s="6"/>
      <c r="Q99" s="6"/>
      <c r="R99" s="6">
        <f>SUM(F99:Q99)</f>
        <v>0</v>
      </c>
      <c r="S99" s="6" t="str">
        <f t="shared" ref="S99:S101" si="63">IF(E99="","",E99-R99)</f>
        <v/>
      </c>
      <c r="T99" s="130">
        <v>0</v>
      </c>
      <c r="U99" s="130">
        <f>E99-R99-T99</f>
        <v>0</v>
      </c>
      <c r="W99" s="158"/>
      <c r="X99" s="158"/>
    </row>
    <row r="100" spans="1:24" ht="18.75" customHeight="1" x14ac:dyDescent="0.55000000000000004">
      <c r="A100" s="162"/>
      <c r="B100" s="165"/>
      <c r="C100" s="6" t="s">
        <v>112</v>
      </c>
      <c r="D100" s="109">
        <v>10000</v>
      </c>
      <c r="E100" s="51"/>
      <c r="F100" s="6"/>
      <c r="G100" s="6"/>
      <c r="H100" s="6"/>
      <c r="I100" s="6"/>
      <c r="J100" s="6"/>
      <c r="K100" s="6"/>
      <c r="L100" s="6"/>
      <c r="M100" s="6"/>
      <c r="N100" s="6"/>
      <c r="O100" s="6"/>
      <c r="P100" s="6"/>
      <c r="Q100" s="6"/>
      <c r="R100" s="6">
        <f>SUM(F100:Q100)</f>
        <v>0</v>
      </c>
      <c r="S100" s="6" t="str">
        <f t="shared" si="63"/>
        <v/>
      </c>
      <c r="T100" s="130">
        <v>0</v>
      </c>
      <c r="U100" s="130">
        <v>0</v>
      </c>
      <c r="W100" s="158"/>
      <c r="X100" s="158"/>
    </row>
    <row r="101" spans="1:24" ht="18.75" customHeight="1" x14ac:dyDescent="0.55000000000000004">
      <c r="A101" s="162"/>
      <c r="B101" s="165"/>
      <c r="C101" s="6" t="s">
        <v>113</v>
      </c>
      <c r="D101" s="109">
        <v>0</v>
      </c>
      <c r="E101" s="51"/>
      <c r="F101" s="6"/>
      <c r="G101" s="6"/>
      <c r="H101" s="6"/>
      <c r="I101" s="6"/>
      <c r="J101" s="6"/>
      <c r="K101" s="6"/>
      <c r="L101" s="6"/>
      <c r="M101" s="6"/>
      <c r="N101" s="6"/>
      <c r="O101" s="6"/>
      <c r="P101" s="6"/>
      <c r="Q101" s="6"/>
      <c r="R101" s="6">
        <f t="shared" ref="R101" si="64">SUM(F101:Q101)</f>
        <v>0</v>
      </c>
      <c r="S101" s="6" t="str">
        <f t="shared" si="63"/>
        <v/>
      </c>
      <c r="T101" s="130">
        <v>0</v>
      </c>
      <c r="U101" s="130">
        <f>E101-R101-T101</f>
        <v>0</v>
      </c>
      <c r="W101" s="158"/>
      <c r="X101" s="158"/>
    </row>
    <row r="102" spans="1:24" ht="18.75" customHeight="1" x14ac:dyDescent="0.55000000000000004">
      <c r="A102" s="162"/>
      <c r="B102" s="165"/>
      <c r="C102" s="37" t="s">
        <v>95</v>
      </c>
      <c r="D102" s="37"/>
      <c r="E102" s="43">
        <f>SUM(E99:E101)</f>
        <v>0</v>
      </c>
      <c r="F102" s="43">
        <f t="shared" ref="F102:R102" si="65">SUM(F99:F101)</f>
        <v>0</v>
      </c>
      <c r="G102" s="43">
        <f t="shared" si="65"/>
        <v>0</v>
      </c>
      <c r="H102" s="43">
        <f t="shared" si="65"/>
        <v>0</v>
      </c>
      <c r="I102" s="43">
        <f t="shared" si="65"/>
        <v>0</v>
      </c>
      <c r="J102" s="43">
        <f t="shared" si="65"/>
        <v>0</v>
      </c>
      <c r="K102" s="43">
        <f t="shared" si="65"/>
        <v>0</v>
      </c>
      <c r="L102" s="43">
        <f t="shared" si="65"/>
        <v>0</v>
      </c>
      <c r="M102" s="43">
        <f t="shared" si="65"/>
        <v>0</v>
      </c>
      <c r="N102" s="43">
        <f t="shared" si="65"/>
        <v>0</v>
      </c>
      <c r="O102" s="43">
        <f t="shared" si="65"/>
        <v>0</v>
      </c>
      <c r="P102" s="43">
        <f t="shared" si="65"/>
        <v>0</v>
      </c>
      <c r="Q102" s="43">
        <f t="shared" si="65"/>
        <v>0</v>
      </c>
      <c r="R102" s="43">
        <f t="shared" si="65"/>
        <v>0</v>
      </c>
      <c r="S102" s="37">
        <f>SUM(S97:S101)</f>
        <v>0</v>
      </c>
      <c r="T102" s="119">
        <f>SUM(T99:T101)</f>
        <v>0</v>
      </c>
      <c r="U102" s="119">
        <f>SUM(U99:U101)</f>
        <v>0</v>
      </c>
      <c r="W102" s="89"/>
      <c r="X102" s="89"/>
    </row>
    <row r="103" spans="1:24" ht="18.75" customHeight="1" x14ac:dyDescent="0.55000000000000004">
      <c r="A103" s="162"/>
      <c r="B103" s="166"/>
      <c r="C103" s="37" t="s">
        <v>108</v>
      </c>
      <c r="D103" s="37"/>
      <c r="E103" s="43">
        <f>SUMPRODUCT(D99:D101,E99:E101)</f>
        <v>0</v>
      </c>
      <c r="F103" s="43">
        <f>SUMPRODUCT($D99:$D101,F99:F101)</f>
        <v>0</v>
      </c>
      <c r="G103" s="43">
        <f t="shared" ref="G103:Q103" si="66">SUMPRODUCT($D99:$D101,G99:G101)</f>
        <v>0</v>
      </c>
      <c r="H103" s="43">
        <f t="shared" si="66"/>
        <v>0</v>
      </c>
      <c r="I103" s="43">
        <f t="shared" si="66"/>
        <v>0</v>
      </c>
      <c r="J103" s="43">
        <f t="shared" si="66"/>
        <v>0</v>
      </c>
      <c r="K103" s="43">
        <f t="shared" si="66"/>
        <v>0</v>
      </c>
      <c r="L103" s="43">
        <f t="shared" si="66"/>
        <v>0</v>
      </c>
      <c r="M103" s="43">
        <f t="shared" si="66"/>
        <v>0</v>
      </c>
      <c r="N103" s="43">
        <f t="shared" si="66"/>
        <v>0</v>
      </c>
      <c r="O103" s="43">
        <f t="shared" si="66"/>
        <v>0</v>
      </c>
      <c r="P103" s="43">
        <f t="shared" si="66"/>
        <v>0</v>
      </c>
      <c r="Q103" s="43">
        <f t="shared" si="66"/>
        <v>0</v>
      </c>
      <c r="R103" s="43">
        <f>SUMPRODUCT(D99:D101,R99:R101)</f>
        <v>0</v>
      </c>
      <c r="S103" s="43">
        <f>SUMPRODUCT(D99:D101,S99:S101)</f>
        <v>0</v>
      </c>
      <c r="T103" s="43">
        <f>SUMPRODUCT(D99:D101,T99:T101)</f>
        <v>0</v>
      </c>
      <c r="U103" s="43">
        <f>SUMPRODUCT(D99:D101,U99:U101)</f>
        <v>0</v>
      </c>
      <c r="W103" s="89"/>
      <c r="X103" s="89"/>
    </row>
    <row r="104" spans="1:24" ht="18.75" customHeight="1" x14ac:dyDescent="0.55000000000000004">
      <c r="A104" s="162"/>
      <c r="B104" s="164" t="s">
        <v>20</v>
      </c>
      <c r="C104" s="6" t="s">
        <v>111</v>
      </c>
      <c r="D104" s="109">
        <v>355000</v>
      </c>
      <c r="E104" s="51"/>
      <c r="F104" s="6">
        <v>3</v>
      </c>
      <c r="G104" s="6"/>
      <c r="H104" s="6"/>
      <c r="I104" s="6"/>
      <c r="J104" s="83"/>
      <c r="K104" s="75"/>
      <c r="L104" s="75"/>
      <c r="M104" s="75"/>
      <c r="N104" s="75"/>
      <c r="O104" s="75"/>
      <c r="P104" s="75"/>
      <c r="Q104" s="6"/>
      <c r="R104" s="6">
        <f>SUM(F104:Q104)</f>
        <v>3</v>
      </c>
      <c r="S104" s="6" t="str">
        <f t="shared" ref="S104:S106" si="67">IF(E104="","",E104-R104)</f>
        <v/>
      </c>
      <c r="T104" s="130">
        <v>0</v>
      </c>
      <c r="U104" s="130">
        <f>E104-R104-T104</f>
        <v>-3</v>
      </c>
      <c r="W104" s="158"/>
      <c r="X104" s="158"/>
    </row>
    <row r="105" spans="1:24" ht="18.75" customHeight="1" x14ac:dyDescent="0.55000000000000004">
      <c r="A105" s="162"/>
      <c r="B105" s="165"/>
      <c r="C105" s="6" t="s">
        <v>112</v>
      </c>
      <c r="D105" s="109">
        <v>10000</v>
      </c>
      <c r="E105" s="51"/>
      <c r="F105" s="6"/>
      <c r="G105" s="6"/>
      <c r="H105" s="6"/>
      <c r="I105" s="6"/>
      <c r="J105" s="102"/>
      <c r="K105" s="75"/>
      <c r="L105" s="6"/>
      <c r="M105" s="6"/>
      <c r="N105" s="51"/>
      <c r="O105" s="6"/>
      <c r="P105" s="75"/>
      <c r="Q105" s="75"/>
      <c r="R105" s="6">
        <f>SUM(F105:Q105)</f>
        <v>0</v>
      </c>
      <c r="S105" s="6" t="str">
        <f t="shared" si="67"/>
        <v/>
      </c>
      <c r="T105" s="130">
        <v>0</v>
      </c>
      <c r="U105" s="130">
        <f t="shared" ref="U105" si="68">E105-R105-T105</f>
        <v>0</v>
      </c>
      <c r="W105" s="158"/>
      <c r="X105" s="158"/>
    </row>
    <row r="106" spans="1:24" ht="18.75" customHeight="1" x14ac:dyDescent="0.55000000000000004">
      <c r="A106" s="162"/>
      <c r="B106" s="165"/>
      <c r="C106" s="6" t="s">
        <v>113</v>
      </c>
      <c r="D106" s="109">
        <v>0</v>
      </c>
      <c r="E106" s="51"/>
      <c r="F106" s="6"/>
      <c r="G106" s="6"/>
      <c r="H106" s="6"/>
      <c r="I106" s="6"/>
      <c r="J106" s="63"/>
      <c r="K106" s="63"/>
      <c r="L106" s="63"/>
      <c r="M106" s="75"/>
      <c r="N106" s="75"/>
      <c r="O106" s="75"/>
      <c r="P106" s="75"/>
      <c r="Q106" s="75"/>
      <c r="R106" s="6">
        <f t="shared" ref="R106" si="69">SUM(F106:Q106)</f>
        <v>0</v>
      </c>
      <c r="S106" s="6" t="str">
        <f t="shared" si="67"/>
        <v/>
      </c>
      <c r="T106" s="130">
        <v>0</v>
      </c>
      <c r="U106" s="130">
        <f>E106-R106-T106</f>
        <v>0</v>
      </c>
      <c r="W106" s="158"/>
      <c r="X106" s="158"/>
    </row>
    <row r="107" spans="1:24" ht="18.75" customHeight="1" x14ac:dyDescent="0.55000000000000004">
      <c r="A107" s="162"/>
      <c r="B107" s="165"/>
      <c r="C107" s="37" t="s">
        <v>95</v>
      </c>
      <c r="D107" s="37"/>
      <c r="E107" s="43">
        <f>SUM(E104:E106)</f>
        <v>0</v>
      </c>
      <c r="F107" s="43">
        <f t="shared" ref="F107:R107" si="70">SUM(F104:F106)</f>
        <v>3</v>
      </c>
      <c r="G107" s="43">
        <f t="shared" si="70"/>
        <v>0</v>
      </c>
      <c r="H107" s="43">
        <f t="shared" si="70"/>
        <v>0</v>
      </c>
      <c r="I107" s="43">
        <f t="shared" si="70"/>
        <v>0</v>
      </c>
      <c r="J107" s="43">
        <f t="shared" si="70"/>
        <v>0</v>
      </c>
      <c r="K107" s="43">
        <f t="shared" si="70"/>
        <v>0</v>
      </c>
      <c r="L107" s="43">
        <f t="shared" si="70"/>
        <v>0</v>
      </c>
      <c r="M107" s="43">
        <f t="shared" si="70"/>
        <v>0</v>
      </c>
      <c r="N107" s="43">
        <f t="shared" si="70"/>
        <v>0</v>
      </c>
      <c r="O107" s="43">
        <f t="shared" si="70"/>
        <v>0</v>
      </c>
      <c r="P107" s="43">
        <f t="shared" si="70"/>
        <v>0</v>
      </c>
      <c r="Q107" s="43">
        <f t="shared" si="70"/>
        <v>0</v>
      </c>
      <c r="R107" s="43">
        <f t="shared" si="70"/>
        <v>3</v>
      </c>
      <c r="S107" s="37">
        <f>SUM(S102:S106)</f>
        <v>0</v>
      </c>
      <c r="T107" s="119">
        <f>SUM(T104:T106)</f>
        <v>0</v>
      </c>
      <c r="U107" s="119">
        <f>SUM(U104:U106)</f>
        <v>-3</v>
      </c>
      <c r="W107" s="89"/>
      <c r="X107" s="89"/>
    </row>
    <row r="108" spans="1:24" ht="18.75" customHeight="1" x14ac:dyDescent="0.55000000000000004">
      <c r="A108" s="162"/>
      <c r="B108" s="166"/>
      <c r="C108" s="37" t="s">
        <v>108</v>
      </c>
      <c r="D108" s="37"/>
      <c r="E108" s="43">
        <f>SUMPRODUCT(D104:D106,E104:E106)</f>
        <v>0</v>
      </c>
      <c r="F108" s="43">
        <f>SUMPRODUCT($D104:$D106,F104:F106)</f>
        <v>1065000</v>
      </c>
      <c r="G108" s="43">
        <f t="shared" ref="G108:Q108" si="71">SUMPRODUCT($D104:$D106,G104:G106)</f>
        <v>0</v>
      </c>
      <c r="H108" s="43">
        <f t="shared" si="71"/>
        <v>0</v>
      </c>
      <c r="I108" s="43">
        <f t="shared" si="71"/>
        <v>0</v>
      </c>
      <c r="J108" s="43">
        <f t="shared" si="71"/>
        <v>0</v>
      </c>
      <c r="K108" s="43">
        <f t="shared" si="71"/>
        <v>0</v>
      </c>
      <c r="L108" s="43">
        <f t="shared" si="71"/>
        <v>0</v>
      </c>
      <c r="M108" s="43">
        <f t="shared" si="71"/>
        <v>0</v>
      </c>
      <c r="N108" s="43">
        <f t="shared" si="71"/>
        <v>0</v>
      </c>
      <c r="O108" s="43">
        <f t="shared" si="71"/>
        <v>0</v>
      </c>
      <c r="P108" s="43">
        <f t="shared" si="71"/>
        <v>0</v>
      </c>
      <c r="Q108" s="43">
        <f t="shared" si="71"/>
        <v>0</v>
      </c>
      <c r="R108" s="43">
        <f>SUMPRODUCT(D104:D106,R104:R106)</f>
        <v>1065000</v>
      </c>
      <c r="S108" s="43">
        <f>SUMPRODUCT(D104:D106,S104:S106)</f>
        <v>0</v>
      </c>
      <c r="T108" s="43">
        <f>SUMPRODUCT(D104:D106,T104:T106)</f>
        <v>0</v>
      </c>
      <c r="U108" s="43">
        <f>SUMPRODUCT(D104:D106,U104:U106)</f>
        <v>-1065000</v>
      </c>
      <c r="W108" s="89"/>
      <c r="X108" s="89"/>
    </row>
    <row r="109" spans="1:24" ht="18.75" customHeight="1" x14ac:dyDescent="0.55000000000000004">
      <c r="A109" s="162"/>
      <c r="B109" s="164" t="s">
        <v>21</v>
      </c>
      <c r="C109" s="6" t="s">
        <v>111</v>
      </c>
      <c r="D109" s="109">
        <v>355000</v>
      </c>
      <c r="E109" s="51"/>
      <c r="F109" s="6">
        <v>1</v>
      </c>
      <c r="G109" s="6"/>
      <c r="H109" s="6"/>
      <c r="I109" s="6"/>
      <c r="J109" s="63"/>
      <c r="K109" s="63"/>
      <c r="L109" s="63"/>
      <c r="M109" s="6"/>
      <c r="N109" s="6"/>
      <c r="O109" s="6"/>
      <c r="P109" s="6"/>
      <c r="Q109" s="6"/>
      <c r="R109" s="6">
        <f>SUM(F109:Q109)</f>
        <v>1</v>
      </c>
      <c r="S109" s="6" t="str">
        <f t="shared" ref="S109:S111" si="72">IF(E109="","",E109-R109)</f>
        <v/>
      </c>
      <c r="T109" s="130">
        <v>0</v>
      </c>
      <c r="U109" s="130">
        <f>E109-R109-T109</f>
        <v>-1</v>
      </c>
      <c r="W109" s="158"/>
      <c r="X109" s="158"/>
    </row>
    <row r="110" spans="1:24" ht="18.75" customHeight="1" x14ac:dyDescent="0.55000000000000004">
      <c r="A110" s="162"/>
      <c r="B110" s="165"/>
      <c r="C110" s="6" t="s">
        <v>112</v>
      </c>
      <c r="D110" s="109">
        <v>10000</v>
      </c>
      <c r="E110" s="51"/>
      <c r="F110" s="6"/>
      <c r="G110" s="6"/>
      <c r="H110" s="6"/>
      <c r="I110" s="6"/>
      <c r="J110" s="103"/>
      <c r="K110" s="63"/>
      <c r="L110" s="63"/>
      <c r="M110" s="6"/>
      <c r="N110" s="6"/>
      <c r="O110" s="6"/>
      <c r="P110" s="6"/>
      <c r="Q110" s="6"/>
      <c r="R110" s="6">
        <f>SUM(F110:Q110)</f>
        <v>0</v>
      </c>
      <c r="S110" s="6" t="str">
        <f t="shared" si="72"/>
        <v/>
      </c>
      <c r="T110" s="130">
        <v>0</v>
      </c>
      <c r="U110" s="130">
        <f>E110-R110-T110</f>
        <v>0</v>
      </c>
      <c r="W110" s="158"/>
      <c r="X110" s="158"/>
    </row>
    <row r="111" spans="1:24" ht="18.75" customHeight="1" x14ac:dyDescent="0.55000000000000004">
      <c r="A111" s="162"/>
      <c r="B111" s="165"/>
      <c r="C111" s="6" t="s">
        <v>113</v>
      </c>
      <c r="D111" s="109">
        <v>0</v>
      </c>
      <c r="E111" s="51"/>
      <c r="F111" s="6"/>
      <c r="G111" s="6"/>
      <c r="H111" s="6"/>
      <c r="I111" s="6"/>
      <c r="J111" s="63"/>
      <c r="K111" s="63"/>
      <c r="L111" s="63"/>
      <c r="M111" s="6"/>
      <c r="N111" s="6"/>
      <c r="O111" s="6"/>
      <c r="P111" s="6"/>
      <c r="Q111" s="6"/>
      <c r="R111" s="6">
        <f t="shared" ref="R111" si="73">SUM(F111:Q111)</f>
        <v>0</v>
      </c>
      <c r="S111" s="6" t="str">
        <f t="shared" si="72"/>
        <v/>
      </c>
      <c r="T111" s="130">
        <v>0</v>
      </c>
      <c r="U111" s="130">
        <f>E111-R111-T111</f>
        <v>0</v>
      </c>
      <c r="W111" s="158"/>
      <c r="X111" s="158"/>
    </row>
    <row r="112" spans="1:24" ht="18.75" customHeight="1" x14ac:dyDescent="0.55000000000000004">
      <c r="A112" s="162"/>
      <c r="B112" s="165"/>
      <c r="C112" s="37" t="s">
        <v>95</v>
      </c>
      <c r="D112" s="37"/>
      <c r="E112" s="43">
        <f>SUM(E109:E111)</f>
        <v>0</v>
      </c>
      <c r="F112" s="43">
        <f t="shared" ref="F112:R112" si="74">SUM(F109:F111)</f>
        <v>1</v>
      </c>
      <c r="G112" s="43">
        <f t="shared" si="74"/>
        <v>0</v>
      </c>
      <c r="H112" s="43">
        <f t="shared" si="74"/>
        <v>0</v>
      </c>
      <c r="I112" s="43">
        <f t="shared" si="74"/>
        <v>0</v>
      </c>
      <c r="J112" s="43">
        <f t="shared" si="74"/>
        <v>0</v>
      </c>
      <c r="K112" s="43">
        <f t="shared" si="74"/>
        <v>0</v>
      </c>
      <c r="L112" s="43">
        <f t="shared" si="74"/>
        <v>0</v>
      </c>
      <c r="M112" s="43">
        <f t="shared" si="74"/>
        <v>0</v>
      </c>
      <c r="N112" s="43">
        <f t="shared" si="74"/>
        <v>0</v>
      </c>
      <c r="O112" s="43">
        <f t="shared" si="74"/>
        <v>0</v>
      </c>
      <c r="P112" s="43">
        <f t="shared" si="74"/>
        <v>0</v>
      </c>
      <c r="Q112" s="43">
        <f t="shared" si="74"/>
        <v>0</v>
      </c>
      <c r="R112" s="43">
        <f t="shared" si="74"/>
        <v>1</v>
      </c>
      <c r="S112" s="37">
        <f>SUM(S107:S111)</f>
        <v>0</v>
      </c>
      <c r="T112" s="119">
        <f>SUM(T109:T111)</f>
        <v>0</v>
      </c>
      <c r="U112" s="119">
        <f>SUM(U109:U111)</f>
        <v>-1</v>
      </c>
      <c r="W112" s="89"/>
      <c r="X112" s="89"/>
    </row>
    <row r="113" spans="1:24" ht="18.75" customHeight="1" x14ac:dyDescent="0.55000000000000004">
      <c r="A113" s="162"/>
      <c r="B113" s="166"/>
      <c r="C113" s="37" t="s">
        <v>108</v>
      </c>
      <c r="D113" s="37"/>
      <c r="E113" s="43">
        <f>SUMPRODUCT(D109:D111,E109:E111)</f>
        <v>0</v>
      </c>
      <c r="F113" s="43">
        <f>SUMPRODUCT($D109:$D111,F109:F111)</f>
        <v>355000</v>
      </c>
      <c r="G113" s="43">
        <f t="shared" ref="G113:Q113" si="75">SUMPRODUCT($D109:$D111,G109:G111)</f>
        <v>0</v>
      </c>
      <c r="H113" s="43">
        <f t="shared" si="75"/>
        <v>0</v>
      </c>
      <c r="I113" s="43">
        <f t="shared" si="75"/>
        <v>0</v>
      </c>
      <c r="J113" s="43">
        <f t="shared" si="75"/>
        <v>0</v>
      </c>
      <c r="K113" s="43">
        <f t="shared" si="75"/>
        <v>0</v>
      </c>
      <c r="L113" s="43">
        <f t="shared" si="75"/>
        <v>0</v>
      </c>
      <c r="M113" s="43">
        <f t="shared" si="75"/>
        <v>0</v>
      </c>
      <c r="N113" s="43">
        <f t="shared" si="75"/>
        <v>0</v>
      </c>
      <c r="O113" s="43">
        <f t="shared" si="75"/>
        <v>0</v>
      </c>
      <c r="P113" s="43">
        <f t="shared" si="75"/>
        <v>0</v>
      </c>
      <c r="Q113" s="43">
        <f t="shared" si="75"/>
        <v>0</v>
      </c>
      <c r="R113" s="43">
        <f>SUMPRODUCT(D109:D111,R109:R111)</f>
        <v>355000</v>
      </c>
      <c r="S113" s="43">
        <f>SUMPRODUCT(D109:D111,S109:S111)</f>
        <v>0</v>
      </c>
      <c r="T113" s="43">
        <f>SUMPRODUCT(D109:D111,T109:T111)</f>
        <v>0</v>
      </c>
      <c r="U113" s="43">
        <f>SUMPRODUCT(D109:D111,U109:U111)</f>
        <v>-355000</v>
      </c>
      <c r="W113" s="89"/>
      <c r="X113" s="89"/>
    </row>
    <row r="114" spans="1:24" ht="18.75" customHeight="1" x14ac:dyDescent="0.55000000000000004">
      <c r="A114" s="162"/>
      <c r="B114" s="164" t="s">
        <v>22</v>
      </c>
      <c r="C114" s="6" t="s">
        <v>111</v>
      </c>
      <c r="D114" s="109">
        <v>355000</v>
      </c>
      <c r="E114" s="51"/>
      <c r="F114" s="6"/>
      <c r="G114" s="6"/>
      <c r="H114" s="6"/>
      <c r="I114" s="6"/>
      <c r="J114" s="6"/>
      <c r="K114" s="6"/>
      <c r="L114" s="6"/>
      <c r="M114" s="6"/>
      <c r="N114" s="6"/>
      <c r="O114" s="6"/>
      <c r="P114" s="6"/>
      <c r="Q114" s="6"/>
      <c r="R114" s="6">
        <f>SUM(F114:Q114)</f>
        <v>0</v>
      </c>
      <c r="S114" s="6" t="str">
        <f t="shared" ref="S114:S115" si="76">IF(E114="","",E114-R114)</f>
        <v/>
      </c>
      <c r="T114" s="130">
        <v>0</v>
      </c>
      <c r="U114" s="130">
        <f>E114-R114-T114</f>
        <v>0</v>
      </c>
      <c r="W114" s="158"/>
      <c r="X114" s="158"/>
    </row>
    <row r="115" spans="1:24" ht="18.75" customHeight="1" x14ac:dyDescent="0.55000000000000004">
      <c r="A115" s="162"/>
      <c r="B115" s="165"/>
      <c r="C115" s="6" t="s">
        <v>113</v>
      </c>
      <c r="D115" s="109">
        <v>0</v>
      </c>
      <c r="E115" s="51"/>
      <c r="F115" s="6"/>
      <c r="G115" s="6"/>
      <c r="H115" s="6"/>
      <c r="I115" s="6"/>
      <c r="J115" s="6"/>
      <c r="K115" s="6"/>
      <c r="L115" s="6"/>
      <c r="M115" s="6"/>
      <c r="N115" s="6"/>
      <c r="O115" s="6"/>
      <c r="P115" s="6"/>
      <c r="Q115" s="6"/>
      <c r="R115" s="6">
        <f t="shared" ref="R115" si="77">SUM(F115:Q115)</f>
        <v>0</v>
      </c>
      <c r="S115" s="6" t="str">
        <f t="shared" si="76"/>
        <v/>
      </c>
      <c r="T115" s="130">
        <v>0</v>
      </c>
      <c r="U115" s="130">
        <f>E115-R115-T115</f>
        <v>0</v>
      </c>
      <c r="W115" s="158"/>
      <c r="X115" s="158"/>
    </row>
    <row r="116" spans="1:24" ht="18.75" customHeight="1" x14ac:dyDescent="0.55000000000000004">
      <c r="A116" s="162"/>
      <c r="B116" s="165"/>
      <c r="C116" s="37" t="s">
        <v>95</v>
      </c>
      <c r="D116" s="37"/>
      <c r="E116" s="43">
        <f>SUM(E114:E115)</f>
        <v>0</v>
      </c>
      <c r="F116" s="43">
        <f t="shared" ref="F116:R116" si="78">SUM(F114:F115)</f>
        <v>0</v>
      </c>
      <c r="G116" s="43">
        <f t="shared" si="78"/>
        <v>0</v>
      </c>
      <c r="H116" s="43">
        <f t="shared" si="78"/>
        <v>0</v>
      </c>
      <c r="I116" s="43">
        <f t="shared" si="78"/>
        <v>0</v>
      </c>
      <c r="J116" s="43">
        <f t="shared" si="78"/>
        <v>0</v>
      </c>
      <c r="K116" s="43">
        <f t="shared" si="78"/>
        <v>0</v>
      </c>
      <c r="L116" s="43">
        <f t="shared" si="78"/>
        <v>0</v>
      </c>
      <c r="M116" s="43">
        <f t="shared" si="78"/>
        <v>0</v>
      </c>
      <c r="N116" s="43">
        <f t="shared" si="78"/>
        <v>0</v>
      </c>
      <c r="O116" s="43">
        <f t="shared" si="78"/>
        <v>0</v>
      </c>
      <c r="P116" s="43">
        <f t="shared" si="78"/>
        <v>0</v>
      </c>
      <c r="Q116" s="43">
        <f t="shared" si="78"/>
        <v>0</v>
      </c>
      <c r="R116" s="43">
        <f t="shared" si="78"/>
        <v>0</v>
      </c>
      <c r="S116" s="37">
        <f>SUM(S111:S115)</f>
        <v>0</v>
      </c>
      <c r="T116" s="119">
        <f>SUM(T114:T115)</f>
        <v>0</v>
      </c>
      <c r="U116" s="119">
        <f>SUM(U114:U115)</f>
        <v>0</v>
      </c>
      <c r="W116" s="89"/>
      <c r="X116" s="89"/>
    </row>
    <row r="117" spans="1:24" ht="18.75" customHeight="1" x14ac:dyDescent="0.55000000000000004">
      <c r="A117" s="162"/>
      <c r="B117" s="166"/>
      <c r="C117" s="37" t="s">
        <v>108</v>
      </c>
      <c r="D117" s="37"/>
      <c r="E117" s="43">
        <f>SUMPRODUCT(D114:D115,E114:E115)</f>
        <v>0</v>
      </c>
      <c r="F117" s="43">
        <f>SUMPRODUCT($D114:$D115,F114:F115)</f>
        <v>0</v>
      </c>
      <c r="G117" s="43">
        <f t="shared" ref="G117:Q117" si="79">SUMPRODUCT($D114:$D115,G114:G115)</f>
        <v>0</v>
      </c>
      <c r="H117" s="43">
        <f t="shared" si="79"/>
        <v>0</v>
      </c>
      <c r="I117" s="43">
        <f t="shared" si="79"/>
        <v>0</v>
      </c>
      <c r="J117" s="43">
        <f t="shared" si="79"/>
        <v>0</v>
      </c>
      <c r="K117" s="43">
        <f t="shared" si="79"/>
        <v>0</v>
      </c>
      <c r="L117" s="43">
        <f t="shared" si="79"/>
        <v>0</v>
      </c>
      <c r="M117" s="43">
        <f t="shared" si="79"/>
        <v>0</v>
      </c>
      <c r="N117" s="43">
        <f t="shared" si="79"/>
        <v>0</v>
      </c>
      <c r="O117" s="43">
        <f t="shared" si="79"/>
        <v>0</v>
      </c>
      <c r="P117" s="43">
        <f t="shared" si="79"/>
        <v>0</v>
      </c>
      <c r="Q117" s="43">
        <f t="shared" si="79"/>
        <v>0</v>
      </c>
      <c r="R117" s="43">
        <f>SUMPRODUCT(D114:D115,R114:R115)</f>
        <v>0</v>
      </c>
      <c r="S117" s="43">
        <f>SUMPRODUCT(D114:D115,S114:S115)</f>
        <v>0</v>
      </c>
      <c r="T117" s="43">
        <f>SUMPRODUCT(D114:D115,T114:T115)</f>
        <v>0</v>
      </c>
      <c r="U117" s="43">
        <f>SUMPRODUCT(D114:D115,U114:U115)</f>
        <v>0</v>
      </c>
      <c r="W117" s="89"/>
      <c r="X117" s="89"/>
    </row>
    <row r="118" spans="1:24" ht="18.75" customHeight="1" thickBot="1" x14ac:dyDescent="0.6">
      <c r="A118" s="163"/>
      <c r="B118" s="77" t="s">
        <v>11</v>
      </c>
      <c r="C118" s="77"/>
      <c r="D118" s="77"/>
      <c r="E118" s="80"/>
      <c r="F118" s="77"/>
      <c r="G118" s="77"/>
      <c r="H118" s="77"/>
      <c r="I118" s="77"/>
      <c r="J118" s="77"/>
      <c r="K118" s="77"/>
      <c r="L118" s="77"/>
      <c r="M118" s="77"/>
      <c r="N118" s="77"/>
      <c r="O118" s="77"/>
      <c r="P118" s="77"/>
      <c r="Q118" s="77"/>
      <c r="R118" s="78">
        <f t="shared" ref="R118" si="80">SUM(F118:K118)</f>
        <v>0</v>
      </c>
      <c r="S118" s="101">
        <f>SUM(S102,S107,S112,S116)</f>
        <v>0</v>
      </c>
      <c r="T118" s="120"/>
      <c r="U118" s="120"/>
      <c r="W118" s="19"/>
      <c r="X118" s="19"/>
    </row>
    <row r="119" spans="1:24" ht="18.75" customHeight="1" x14ac:dyDescent="0.55000000000000004">
      <c r="A119" s="162" t="s">
        <v>125</v>
      </c>
      <c r="B119" s="164" t="s">
        <v>19</v>
      </c>
      <c r="C119" s="6"/>
      <c r="D119" s="109"/>
      <c r="E119" s="51"/>
      <c r="F119" s="6"/>
      <c r="G119" s="6"/>
      <c r="H119" s="6"/>
      <c r="I119" s="6"/>
      <c r="J119" s="6"/>
      <c r="K119" s="6"/>
      <c r="L119" s="6"/>
      <c r="M119" s="6"/>
      <c r="N119" s="6"/>
      <c r="O119" s="6"/>
      <c r="P119" s="6"/>
      <c r="Q119" s="6"/>
      <c r="R119" s="6">
        <f t="shared" ref="R119" si="81">SUM(F119:Q119)</f>
        <v>0</v>
      </c>
      <c r="S119" s="6">
        <f t="shared" ref="S119" si="82">E119-R119</f>
        <v>0</v>
      </c>
      <c r="T119" s="130">
        <v>0</v>
      </c>
      <c r="U119" s="130">
        <f>E119-R119-T119</f>
        <v>0</v>
      </c>
      <c r="W119" s="158"/>
      <c r="X119" s="158"/>
    </row>
    <row r="120" spans="1:24" ht="18.75" customHeight="1" x14ac:dyDescent="0.55000000000000004">
      <c r="A120" s="162"/>
      <c r="B120" s="165"/>
      <c r="C120" s="37" t="s">
        <v>95</v>
      </c>
      <c r="D120" s="37"/>
      <c r="E120" s="43"/>
      <c r="F120" s="43"/>
      <c r="G120" s="43"/>
      <c r="H120" s="43"/>
      <c r="I120" s="43"/>
      <c r="J120" s="43"/>
      <c r="K120" s="43"/>
      <c r="L120" s="43"/>
      <c r="M120" s="43"/>
      <c r="N120" s="43"/>
      <c r="O120" s="43"/>
      <c r="P120" s="43"/>
      <c r="Q120" s="43"/>
      <c r="R120" s="43"/>
      <c r="S120" s="37"/>
      <c r="T120" s="119"/>
      <c r="U120" s="119"/>
      <c r="W120" s="89"/>
      <c r="X120" s="89"/>
    </row>
    <row r="121" spans="1:24" ht="18.75" customHeight="1" x14ac:dyDescent="0.55000000000000004">
      <c r="A121" s="162"/>
      <c r="B121" s="166"/>
      <c r="C121" s="37" t="s">
        <v>108</v>
      </c>
      <c r="D121" s="37"/>
      <c r="E121" s="43"/>
      <c r="F121" s="43"/>
      <c r="G121" s="43"/>
      <c r="H121" s="43"/>
      <c r="I121" s="43"/>
      <c r="J121" s="43"/>
      <c r="K121" s="43"/>
      <c r="L121" s="43"/>
      <c r="M121" s="43"/>
      <c r="N121" s="43"/>
      <c r="O121" s="43"/>
      <c r="P121" s="43"/>
      <c r="Q121" s="43"/>
      <c r="R121" s="43"/>
      <c r="S121" s="43"/>
      <c r="T121" s="43"/>
      <c r="U121" s="43"/>
      <c r="W121" s="89"/>
      <c r="X121" s="89"/>
    </row>
    <row r="122" spans="1:24" ht="18.75" customHeight="1" x14ac:dyDescent="0.55000000000000004">
      <c r="A122" s="162"/>
      <c r="B122" s="164" t="s">
        <v>20</v>
      </c>
      <c r="C122" s="6"/>
      <c r="D122" s="109"/>
      <c r="E122" s="51"/>
      <c r="F122" s="6"/>
      <c r="G122" s="6"/>
      <c r="H122" s="6"/>
      <c r="I122" s="6"/>
      <c r="J122" s="83"/>
      <c r="K122" s="75"/>
      <c r="L122" s="75"/>
      <c r="M122" s="75"/>
      <c r="N122" s="75"/>
      <c r="O122" s="75"/>
      <c r="P122" s="75"/>
      <c r="Q122" s="6"/>
      <c r="R122" s="6"/>
      <c r="S122" s="6"/>
      <c r="T122" s="130"/>
      <c r="U122" s="130"/>
      <c r="W122" s="158"/>
      <c r="X122" s="158"/>
    </row>
    <row r="123" spans="1:24" ht="18.75" customHeight="1" x14ac:dyDescent="0.55000000000000004">
      <c r="A123" s="162"/>
      <c r="B123" s="165"/>
      <c r="C123" s="37" t="s">
        <v>95</v>
      </c>
      <c r="D123" s="37"/>
      <c r="E123" s="43"/>
      <c r="F123" s="43">
        <v>1</v>
      </c>
      <c r="G123" s="43"/>
      <c r="H123" s="43"/>
      <c r="I123" s="43"/>
      <c r="J123" s="43"/>
      <c r="K123" s="43"/>
      <c r="L123" s="43"/>
      <c r="M123" s="43"/>
      <c r="N123" s="43"/>
      <c r="O123" s="43"/>
      <c r="P123" s="43"/>
      <c r="Q123" s="43"/>
      <c r="R123" s="43"/>
      <c r="S123" s="37"/>
      <c r="T123" s="119"/>
      <c r="U123" s="119"/>
      <c r="W123" s="89"/>
      <c r="X123" s="89"/>
    </row>
    <row r="124" spans="1:24" ht="18.75" customHeight="1" x14ac:dyDescent="0.55000000000000004">
      <c r="A124" s="162"/>
      <c r="B124" s="166"/>
      <c r="C124" s="37" t="s">
        <v>108</v>
      </c>
      <c r="D124" s="37"/>
      <c r="E124" s="43"/>
      <c r="F124" s="43">
        <v>528000</v>
      </c>
      <c r="G124" s="43"/>
      <c r="H124" s="43"/>
      <c r="I124" s="43"/>
      <c r="J124" s="43"/>
      <c r="K124" s="43"/>
      <c r="L124" s="43"/>
      <c r="M124" s="43"/>
      <c r="N124" s="43"/>
      <c r="O124" s="43"/>
      <c r="P124" s="43"/>
      <c r="Q124" s="43"/>
      <c r="R124" s="43"/>
      <c r="S124" s="43"/>
      <c r="T124" s="43"/>
      <c r="U124" s="43"/>
      <c r="W124" s="89"/>
      <c r="X124" s="89"/>
    </row>
    <row r="125" spans="1:24" ht="18.75" customHeight="1" x14ac:dyDescent="0.55000000000000004">
      <c r="A125" s="162"/>
      <c r="B125" s="164" t="s">
        <v>21</v>
      </c>
      <c r="C125" s="6"/>
      <c r="D125" s="109"/>
      <c r="E125" s="51"/>
      <c r="F125" s="6"/>
      <c r="G125" s="6"/>
      <c r="H125" s="6"/>
      <c r="I125" s="6"/>
      <c r="J125" s="63"/>
      <c r="K125" s="63"/>
      <c r="L125" s="63"/>
      <c r="M125" s="6"/>
      <c r="N125" s="6"/>
      <c r="O125" s="6"/>
      <c r="P125" s="6"/>
      <c r="Q125" s="6"/>
      <c r="R125" s="6"/>
      <c r="S125" s="6"/>
      <c r="T125" s="130"/>
      <c r="U125" s="130"/>
      <c r="W125" s="158"/>
      <c r="X125" s="158"/>
    </row>
    <row r="126" spans="1:24" ht="18.75" customHeight="1" x14ac:dyDescent="0.55000000000000004">
      <c r="A126" s="162"/>
      <c r="B126" s="165"/>
      <c r="C126" s="37" t="s">
        <v>95</v>
      </c>
      <c r="D126" s="37"/>
      <c r="E126" s="43"/>
      <c r="F126" s="43"/>
      <c r="G126" s="43"/>
      <c r="H126" s="43"/>
      <c r="I126" s="43"/>
      <c r="J126" s="43"/>
      <c r="K126" s="43"/>
      <c r="L126" s="43"/>
      <c r="M126" s="43"/>
      <c r="N126" s="43"/>
      <c r="O126" s="43"/>
      <c r="P126" s="43"/>
      <c r="Q126" s="43"/>
      <c r="R126" s="43"/>
      <c r="S126" s="37"/>
      <c r="T126" s="119"/>
      <c r="U126" s="119"/>
      <c r="W126" s="89"/>
      <c r="X126" s="89"/>
    </row>
    <row r="127" spans="1:24" ht="18.75" customHeight="1" x14ac:dyDescent="0.55000000000000004">
      <c r="A127" s="162"/>
      <c r="B127" s="166"/>
      <c r="C127" s="37" t="s">
        <v>108</v>
      </c>
      <c r="D127" s="37"/>
      <c r="E127" s="43"/>
      <c r="F127" s="43"/>
      <c r="G127" s="43"/>
      <c r="H127" s="43"/>
      <c r="I127" s="43"/>
      <c r="J127" s="43"/>
      <c r="K127" s="43"/>
      <c r="L127" s="43"/>
      <c r="M127" s="43"/>
      <c r="N127" s="43"/>
      <c r="O127" s="43"/>
      <c r="P127" s="43"/>
      <c r="Q127" s="43"/>
      <c r="R127" s="43"/>
      <c r="S127" s="43"/>
      <c r="T127" s="43"/>
      <c r="U127" s="43"/>
      <c r="W127" s="89"/>
      <c r="X127" s="89"/>
    </row>
    <row r="128" spans="1:24" ht="18.75" customHeight="1" x14ac:dyDescent="0.55000000000000004">
      <c r="A128" s="162"/>
      <c r="B128" s="164" t="s">
        <v>22</v>
      </c>
      <c r="C128" s="6"/>
      <c r="D128" s="109"/>
      <c r="E128" s="51"/>
      <c r="F128" s="6"/>
      <c r="G128" s="6"/>
      <c r="H128" s="6"/>
      <c r="I128" s="6"/>
      <c r="J128" s="6"/>
      <c r="K128" s="6"/>
      <c r="L128" s="6"/>
      <c r="M128" s="6"/>
      <c r="N128" s="6"/>
      <c r="O128" s="6"/>
      <c r="P128" s="6"/>
      <c r="Q128" s="6"/>
      <c r="R128" s="6"/>
      <c r="S128" s="6"/>
      <c r="T128" s="130"/>
      <c r="U128" s="130"/>
      <c r="W128" s="158"/>
      <c r="X128" s="158"/>
    </row>
    <row r="129" spans="1:24" ht="18.75" customHeight="1" x14ac:dyDescent="0.55000000000000004">
      <c r="A129" s="162"/>
      <c r="B129" s="165"/>
      <c r="C129" s="37" t="s">
        <v>95</v>
      </c>
      <c r="D129" s="37"/>
      <c r="E129" s="43"/>
      <c r="F129" s="43"/>
      <c r="G129" s="43"/>
      <c r="H129" s="43"/>
      <c r="I129" s="43"/>
      <c r="J129" s="43"/>
      <c r="K129" s="43"/>
      <c r="L129" s="43"/>
      <c r="M129" s="43"/>
      <c r="N129" s="43"/>
      <c r="O129" s="43"/>
      <c r="P129" s="43"/>
      <c r="Q129" s="43"/>
      <c r="R129" s="43"/>
      <c r="S129" s="37"/>
      <c r="T129" s="119"/>
      <c r="U129" s="119"/>
      <c r="W129" s="89"/>
      <c r="X129" s="89"/>
    </row>
    <row r="130" spans="1:24" ht="18.75" customHeight="1" x14ac:dyDescent="0.55000000000000004">
      <c r="A130" s="162"/>
      <c r="B130" s="166"/>
      <c r="C130" s="37" t="s">
        <v>108</v>
      </c>
      <c r="D130" s="37"/>
      <c r="E130" s="43"/>
      <c r="F130" s="43"/>
      <c r="G130" s="43"/>
      <c r="H130" s="43"/>
      <c r="I130" s="43"/>
      <c r="J130" s="43"/>
      <c r="K130" s="43"/>
      <c r="L130" s="43"/>
      <c r="M130" s="43"/>
      <c r="N130" s="43"/>
      <c r="O130" s="43"/>
      <c r="P130" s="43"/>
      <c r="Q130" s="43"/>
      <c r="R130" s="43"/>
      <c r="S130" s="43"/>
      <c r="T130" s="43"/>
      <c r="U130" s="43"/>
      <c r="W130" s="89"/>
      <c r="X130" s="89"/>
    </row>
    <row r="131" spans="1:24" ht="18.75" customHeight="1" thickBot="1" x14ac:dyDescent="0.6">
      <c r="A131" s="163"/>
      <c r="B131" s="77" t="s">
        <v>11</v>
      </c>
      <c r="C131" s="77"/>
      <c r="D131" s="77"/>
      <c r="E131" s="80"/>
      <c r="F131" s="77"/>
      <c r="G131" s="77"/>
      <c r="H131" s="77"/>
      <c r="I131" s="77"/>
      <c r="J131" s="77"/>
      <c r="K131" s="77"/>
      <c r="L131" s="77"/>
      <c r="M131" s="77"/>
      <c r="N131" s="77"/>
      <c r="O131" s="77"/>
      <c r="P131" s="77"/>
      <c r="Q131" s="77"/>
      <c r="R131" s="78"/>
      <c r="S131" s="101"/>
      <c r="T131" s="120"/>
      <c r="U131" s="120"/>
      <c r="W131" s="19"/>
      <c r="X131" s="19"/>
    </row>
    <row r="132" spans="1:24" ht="18.75" customHeight="1" x14ac:dyDescent="0.55000000000000004">
      <c r="A132" s="161" t="s">
        <v>126</v>
      </c>
      <c r="B132" s="164" t="s">
        <v>19</v>
      </c>
      <c r="C132" s="6"/>
      <c r="D132" s="109"/>
      <c r="E132" s="51"/>
      <c r="F132" s="6"/>
      <c r="G132" s="6"/>
      <c r="H132" s="6"/>
      <c r="I132" s="6"/>
      <c r="J132" s="6"/>
      <c r="K132" s="6"/>
      <c r="L132" s="6"/>
      <c r="M132" s="6"/>
      <c r="N132" s="6"/>
      <c r="O132" s="6"/>
      <c r="P132" s="6"/>
      <c r="Q132" s="6"/>
      <c r="R132" s="6"/>
      <c r="S132" s="6"/>
      <c r="T132" s="130"/>
      <c r="U132" s="130"/>
      <c r="W132" s="158"/>
      <c r="X132" s="158"/>
    </row>
    <row r="133" spans="1:24" ht="18.75" customHeight="1" x14ac:dyDescent="0.55000000000000004">
      <c r="A133" s="162"/>
      <c r="B133" s="165"/>
      <c r="C133" s="37" t="s">
        <v>95</v>
      </c>
      <c r="D133" s="37"/>
      <c r="E133" s="43"/>
      <c r="F133" s="43"/>
      <c r="G133" s="43"/>
      <c r="H133" s="43"/>
      <c r="I133" s="43"/>
      <c r="J133" s="43"/>
      <c r="K133" s="43"/>
      <c r="L133" s="43"/>
      <c r="M133" s="43"/>
      <c r="N133" s="43"/>
      <c r="O133" s="43"/>
      <c r="P133" s="43"/>
      <c r="Q133" s="43"/>
      <c r="R133" s="43"/>
      <c r="S133" s="37"/>
      <c r="T133" s="119"/>
      <c r="U133" s="119"/>
      <c r="W133" s="89"/>
      <c r="X133" s="89"/>
    </row>
    <row r="134" spans="1:24" ht="18.75" customHeight="1" x14ac:dyDescent="0.55000000000000004">
      <c r="A134" s="162"/>
      <c r="B134" s="166"/>
      <c r="C134" s="37" t="s">
        <v>108</v>
      </c>
      <c r="D134" s="37"/>
      <c r="E134" s="43"/>
      <c r="F134" s="43"/>
      <c r="G134" s="43"/>
      <c r="H134" s="43"/>
      <c r="I134" s="43"/>
      <c r="J134" s="43"/>
      <c r="K134" s="43"/>
      <c r="L134" s="43"/>
      <c r="M134" s="43"/>
      <c r="N134" s="43"/>
      <c r="O134" s="43"/>
      <c r="P134" s="43"/>
      <c r="Q134" s="43"/>
      <c r="R134" s="43"/>
      <c r="S134" s="43"/>
      <c r="T134" s="43"/>
      <c r="U134" s="43"/>
      <c r="W134" s="89"/>
      <c r="X134" s="89"/>
    </row>
    <row r="135" spans="1:24" ht="18.75" customHeight="1" x14ac:dyDescent="0.55000000000000004">
      <c r="A135" s="162"/>
      <c r="B135" s="164" t="s">
        <v>20</v>
      </c>
      <c r="C135" s="6"/>
      <c r="D135" s="109"/>
      <c r="E135" s="51"/>
      <c r="F135" s="6"/>
      <c r="G135" s="6"/>
      <c r="H135" s="6"/>
      <c r="I135" s="6"/>
      <c r="J135" s="83"/>
      <c r="K135" s="75"/>
      <c r="L135" s="75"/>
      <c r="M135" s="75"/>
      <c r="N135" s="75"/>
      <c r="O135" s="75"/>
      <c r="P135" s="75"/>
      <c r="Q135" s="6"/>
      <c r="R135" s="6"/>
      <c r="S135" s="6"/>
      <c r="T135" s="130"/>
      <c r="U135" s="130"/>
      <c r="W135" s="158"/>
      <c r="X135" s="158"/>
    </row>
    <row r="136" spans="1:24" ht="18.75" customHeight="1" x14ac:dyDescent="0.55000000000000004">
      <c r="A136" s="162"/>
      <c r="B136" s="165"/>
      <c r="C136" s="37" t="s">
        <v>95</v>
      </c>
      <c r="D136" s="37"/>
      <c r="E136" s="43"/>
      <c r="F136" s="43">
        <v>1</v>
      </c>
      <c r="G136" s="43"/>
      <c r="H136" s="43"/>
      <c r="I136" s="43"/>
      <c r="J136" s="43"/>
      <c r="K136" s="43"/>
      <c r="L136" s="43"/>
      <c r="M136" s="43"/>
      <c r="N136" s="43"/>
      <c r="O136" s="43"/>
      <c r="P136" s="43"/>
      <c r="Q136" s="43"/>
      <c r="R136" s="43"/>
      <c r="S136" s="37"/>
      <c r="T136" s="119"/>
      <c r="U136" s="119"/>
      <c r="W136" s="89"/>
      <c r="X136" s="89"/>
    </row>
    <row r="137" spans="1:24" ht="18.75" customHeight="1" x14ac:dyDescent="0.55000000000000004">
      <c r="A137" s="162"/>
      <c r="B137" s="166"/>
      <c r="C137" s="37" t="s">
        <v>108</v>
      </c>
      <c r="D137" s="37"/>
      <c r="E137" s="43"/>
      <c r="F137" s="43">
        <v>245000</v>
      </c>
      <c r="G137" s="43"/>
      <c r="H137" s="43"/>
      <c r="I137" s="43"/>
      <c r="J137" s="43"/>
      <c r="K137" s="43"/>
      <c r="L137" s="43"/>
      <c r="M137" s="43"/>
      <c r="N137" s="43"/>
      <c r="O137" s="43"/>
      <c r="P137" s="43"/>
      <c r="Q137" s="43"/>
      <c r="R137" s="43"/>
      <c r="S137" s="43"/>
      <c r="T137" s="43"/>
      <c r="U137" s="43"/>
      <c r="W137" s="89"/>
      <c r="X137" s="89"/>
    </row>
    <row r="138" spans="1:24" ht="18.75" customHeight="1" x14ac:dyDescent="0.55000000000000004">
      <c r="A138" s="162"/>
      <c r="B138" s="164" t="s">
        <v>21</v>
      </c>
      <c r="C138" s="6"/>
      <c r="D138" s="109"/>
      <c r="E138" s="51"/>
      <c r="F138" s="6"/>
      <c r="G138" s="6"/>
      <c r="H138" s="6"/>
      <c r="I138" s="6"/>
      <c r="J138" s="63"/>
      <c r="K138" s="63"/>
      <c r="L138" s="63"/>
      <c r="M138" s="6"/>
      <c r="N138" s="6"/>
      <c r="O138" s="6"/>
      <c r="P138" s="6"/>
      <c r="Q138" s="6"/>
      <c r="R138" s="6"/>
      <c r="S138" s="6"/>
      <c r="T138" s="130"/>
      <c r="U138" s="130"/>
      <c r="W138" s="158"/>
      <c r="X138" s="158"/>
    </row>
    <row r="139" spans="1:24" ht="18.75" customHeight="1" x14ac:dyDescent="0.55000000000000004">
      <c r="A139" s="162"/>
      <c r="B139" s="165"/>
      <c r="C139" s="37" t="s">
        <v>95</v>
      </c>
      <c r="D139" s="37"/>
      <c r="E139" s="43"/>
      <c r="F139" s="43"/>
      <c r="G139" s="43"/>
      <c r="H139" s="43"/>
      <c r="I139" s="43"/>
      <c r="J139" s="43"/>
      <c r="K139" s="43"/>
      <c r="L139" s="43"/>
      <c r="M139" s="43"/>
      <c r="N139" s="43"/>
      <c r="O139" s="43"/>
      <c r="P139" s="43"/>
      <c r="Q139" s="43"/>
      <c r="R139" s="43"/>
      <c r="S139" s="37"/>
      <c r="T139" s="119"/>
      <c r="U139" s="119"/>
      <c r="W139" s="89"/>
      <c r="X139" s="89"/>
    </row>
    <row r="140" spans="1:24" ht="18.75" customHeight="1" x14ac:dyDescent="0.55000000000000004">
      <c r="A140" s="162"/>
      <c r="B140" s="166"/>
      <c r="C140" s="37" t="s">
        <v>108</v>
      </c>
      <c r="D140" s="37"/>
      <c r="E140" s="43"/>
      <c r="F140" s="43"/>
      <c r="G140" s="43"/>
      <c r="H140" s="43"/>
      <c r="I140" s="43"/>
      <c r="J140" s="43"/>
      <c r="K140" s="43"/>
      <c r="L140" s="43"/>
      <c r="M140" s="43"/>
      <c r="N140" s="43"/>
      <c r="O140" s="43"/>
      <c r="P140" s="43"/>
      <c r="Q140" s="43"/>
      <c r="R140" s="43"/>
      <c r="S140" s="43"/>
      <c r="T140" s="43"/>
      <c r="U140" s="43"/>
      <c r="W140" s="89"/>
      <c r="X140" s="89"/>
    </row>
    <row r="141" spans="1:24" ht="18.75" customHeight="1" x14ac:dyDescent="0.55000000000000004">
      <c r="A141" s="162"/>
      <c r="B141" s="164" t="s">
        <v>22</v>
      </c>
      <c r="C141" s="6"/>
      <c r="D141" s="109"/>
      <c r="E141" s="51"/>
      <c r="F141" s="6"/>
      <c r="G141" s="6"/>
      <c r="H141" s="6"/>
      <c r="I141" s="6"/>
      <c r="J141" s="6"/>
      <c r="K141" s="6"/>
      <c r="L141" s="6"/>
      <c r="M141" s="6"/>
      <c r="N141" s="6"/>
      <c r="O141" s="6"/>
      <c r="P141" s="6"/>
      <c r="Q141" s="6"/>
      <c r="R141" s="6"/>
      <c r="S141" s="6"/>
      <c r="T141" s="130"/>
      <c r="U141" s="130"/>
      <c r="W141" s="158"/>
      <c r="X141" s="158"/>
    </row>
    <row r="142" spans="1:24" ht="18.75" customHeight="1" x14ac:dyDescent="0.55000000000000004">
      <c r="A142" s="162"/>
      <c r="B142" s="165"/>
      <c r="C142" s="37" t="s">
        <v>95</v>
      </c>
      <c r="D142" s="37"/>
      <c r="E142" s="43"/>
      <c r="F142" s="43"/>
      <c r="G142" s="43"/>
      <c r="H142" s="43"/>
      <c r="I142" s="43"/>
      <c r="J142" s="43"/>
      <c r="K142" s="43"/>
      <c r="L142" s="43"/>
      <c r="M142" s="43"/>
      <c r="N142" s="43"/>
      <c r="O142" s="43"/>
      <c r="P142" s="43"/>
      <c r="Q142" s="43"/>
      <c r="R142" s="43"/>
      <c r="S142" s="37"/>
      <c r="T142" s="119"/>
      <c r="U142" s="119"/>
      <c r="W142" s="89"/>
      <c r="X142" s="89"/>
    </row>
    <row r="143" spans="1:24" ht="18.75" customHeight="1" x14ac:dyDescent="0.55000000000000004">
      <c r="A143" s="162"/>
      <c r="B143" s="166"/>
      <c r="C143" s="37" t="s">
        <v>108</v>
      </c>
      <c r="D143" s="37"/>
      <c r="E143" s="43"/>
      <c r="F143" s="43"/>
      <c r="G143" s="43"/>
      <c r="H143" s="43"/>
      <c r="I143" s="43"/>
      <c r="J143" s="43"/>
      <c r="K143" s="43"/>
      <c r="L143" s="43"/>
      <c r="M143" s="43"/>
      <c r="N143" s="43"/>
      <c r="O143" s="43"/>
      <c r="P143" s="43"/>
      <c r="Q143" s="43"/>
      <c r="R143" s="43"/>
      <c r="S143" s="43"/>
      <c r="T143" s="43"/>
      <c r="U143" s="43"/>
      <c r="W143" s="89"/>
      <c r="X143" s="89"/>
    </row>
    <row r="144" spans="1:24" ht="18.75" customHeight="1" thickBot="1" x14ac:dyDescent="0.6">
      <c r="A144" s="163"/>
      <c r="B144" s="77" t="s">
        <v>11</v>
      </c>
      <c r="C144" s="77"/>
      <c r="D144" s="77"/>
      <c r="E144" s="80"/>
      <c r="F144" s="77"/>
      <c r="G144" s="77"/>
      <c r="H144" s="77"/>
      <c r="I144" s="77"/>
      <c r="J144" s="77"/>
      <c r="K144" s="77"/>
      <c r="L144" s="77"/>
      <c r="M144" s="77"/>
      <c r="N144" s="77"/>
      <c r="O144" s="77"/>
      <c r="P144" s="77"/>
      <c r="Q144" s="77"/>
      <c r="R144" s="78"/>
      <c r="S144" s="101"/>
      <c r="T144" s="120"/>
      <c r="U144" s="120"/>
      <c r="W144" s="19"/>
      <c r="X144" s="19"/>
    </row>
  </sheetData>
  <mergeCells count="30">
    <mergeCell ref="A99:A118"/>
    <mergeCell ref="B99:B103"/>
    <mergeCell ref="B104:B108"/>
    <mergeCell ref="B109:B113"/>
    <mergeCell ref="B114:B117"/>
    <mergeCell ref="A32:A68"/>
    <mergeCell ref="B32:B40"/>
    <mergeCell ref="B41:B49"/>
    <mergeCell ref="B50:B58"/>
    <mergeCell ref="B59:B67"/>
    <mergeCell ref="A69:A98"/>
    <mergeCell ref="B69:B75"/>
    <mergeCell ref="B76:B83"/>
    <mergeCell ref="B84:B90"/>
    <mergeCell ref="B91:B97"/>
    <mergeCell ref="A2:A31"/>
    <mergeCell ref="B2:B8"/>
    <mergeCell ref="B9:B16"/>
    <mergeCell ref="B17:B23"/>
    <mergeCell ref="B24:B30"/>
    <mergeCell ref="A119:A131"/>
    <mergeCell ref="B119:B121"/>
    <mergeCell ref="B122:B124"/>
    <mergeCell ref="B125:B127"/>
    <mergeCell ref="B128:B130"/>
    <mergeCell ref="A132:A144"/>
    <mergeCell ref="B132:B134"/>
    <mergeCell ref="B135:B137"/>
    <mergeCell ref="B138:B140"/>
    <mergeCell ref="B141:B143"/>
  </mergeCells>
  <phoneticPr fontId="1"/>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2023~2024</vt:lpstr>
      <vt:lpstr>2025</vt:lpstr>
      <vt:lpstr>2026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中島 麻耶</dc:creator>
  <cp:keywords/>
  <dc:description/>
  <cp:lastModifiedBy>神吉 まあや (Kanki, Maaya)</cp:lastModifiedBy>
  <cp:revision/>
  <dcterms:created xsi:type="dcterms:W3CDTF">2025-03-12T08:28:36Z</dcterms:created>
  <dcterms:modified xsi:type="dcterms:W3CDTF">2026-07-01T01:44:38Z</dcterms:modified>
  <cp:category/>
  <cp:contentStatus/>
</cp:coreProperties>
</file>