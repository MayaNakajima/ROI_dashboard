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573167\Box\マーケティンググループ\デジタルマーケティングDiv\マーケティング本部\社内ドキュメント\"/>
    </mc:Choice>
  </mc:AlternateContent>
  <xr:revisionPtr revIDLastSave="9" documentId="13_ncr:1_{8DCC1984-C24E-410B-A206-84A93B41DD11}" xr6:coauthVersionLast="47" xr6:coauthVersionMax="47" xr10:uidLastSave="{9A6E74E6-42B9-4D70-9DBB-72B505E631FB}"/>
  <bookViews>
    <workbookView xWindow="-110" yWindow="-110" windowWidth="19420" windowHeight="11500" firstSheet="3" activeTab="4" xr2:uid="{60F1EF53-0609-49BA-BC50-901F578FFD83}"/>
  </bookViews>
  <sheets>
    <sheet name="オリジナルユニフォーム" sheetId="3" r:id="rId1"/>
    <sheet name="スクール" sheetId="1" r:id="rId2"/>
    <sheet name="メディカル" sheetId="4" r:id="rId3"/>
    <sheet name="インサイトセールス" sheetId="5" r:id="rId4"/>
    <sheet name="月次レポート用｜KPI" sheetId="16" r:id="rId5"/>
    <sheet name="2025年度KPI設定" sheetId="7" r:id="rId6"/>
    <sheet name="オリジナルユニフォーム (関数無)" sheetId="12" r:id="rId7"/>
    <sheet name="スクール (関数無)" sheetId="13" r:id="rId8"/>
    <sheet name="メディカル (関数無)" sheetId="14" r:id="rId9"/>
    <sheet name="インサイトセールス (関数無)" sheetId="15" r:id="rId10"/>
    <sheet name="UN｜広告" sheetId="8" r:id="rId11"/>
    <sheet name="SCH｜広告" sheetId="9" r:id="rId12"/>
    <sheet name="MED｜広告" sheetId="10" r:id="rId13"/>
    <sheet name="IS｜広告" sheetId="11" r:id="rId14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1" hidden="1">スクール!$A$3:$AN$40</definedName>
    <definedName name="_xlnm._FilterDatabase" localSheetId="7" hidden="1">'スクール (関数無)'!$A$3:$AT$37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16" l="1"/>
  <c r="T16" i="16"/>
  <c r="T17" i="16"/>
  <c r="T18" i="16"/>
  <c r="T19" i="16"/>
  <c r="T20" i="16"/>
  <c r="T21" i="16"/>
  <c r="T22" i="16"/>
  <c r="T14" i="16"/>
  <c r="Y2" i="3"/>
  <c r="Y1" i="3"/>
  <c r="I16" i="16"/>
  <c r="I14" i="16"/>
  <c r="AC34" i="3"/>
  <c r="U19" i="16" l="1"/>
  <c r="R6" i="16"/>
  <c r="R4" i="16"/>
  <c r="H21" i="16"/>
  <c r="G21" i="16"/>
  <c r="H19" i="16"/>
  <c r="G19" i="16"/>
  <c r="H17" i="16"/>
  <c r="G17" i="16"/>
  <c r="H15" i="16"/>
  <c r="G15" i="16"/>
  <c r="H14" i="16"/>
  <c r="G14" i="16"/>
  <c r="S21" i="16"/>
  <c r="R21" i="16"/>
  <c r="S19" i="16"/>
  <c r="R19" i="16"/>
  <c r="S17" i="16"/>
  <c r="R17" i="16"/>
  <c r="S15" i="16"/>
  <c r="R15" i="16"/>
  <c r="S14" i="16"/>
  <c r="R14" i="16"/>
  <c r="S10" i="16"/>
  <c r="S8" i="16"/>
  <c r="R8" i="16"/>
  <c r="S6" i="16"/>
  <c r="S4" i="16"/>
  <c r="S3" i="16"/>
  <c r="R3" i="16"/>
  <c r="H10" i="16"/>
  <c r="G10" i="16"/>
  <c r="H8" i="16"/>
  <c r="G8" i="16"/>
  <c r="H6" i="16"/>
  <c r="G6" i="16"/>
  <c r="H4" i="16"/>
  <c r="G4" i="16"/>
  <c r="G3" i="16"/>
  <c r="H3" i="16"/>
  <c r="R10" i="16" l="1"/>
  <c r="U6" i="5" l="1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R6" i="4"/>
  <c r="P6" i="4"/>
  <c r="O6" i="3"/>
  <c r="P6" i="3"/>
  <c r="Q6" i="3"/>
  <c r="R6" i="3"/>
  <c r="S6" i="3"/>
  <c r="AL6" i="3"/>
  <c r="N6" i="3"/>
  <c r="AM7" i="5" l="1"/>
  <c r="AN7" i="5"/>
  <c r="I22" i="16" l="1"/>
  <c r="T11" i="16"/>
  <c r="AM34" i="1"/>
  <c r="AL16" i="1"/>
  <c r="AN51" i="5" l="1"/>
  <c r="AM51" i="5"/>
  <c r="AN51" i="4"/>
  <c r="AM51" i="4"/>
  <c r="AN51" i="1"/>
  <c r="AM51" i="1"/>
  <c r="AM51" i="3"/>
  <c r="AN51" i="3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O45" i="5"/>
  <c r="P45" i="5"/>
  <c r="Q45" i="5"/>
  <c r="R45" i="5"/>
  <c r="S45" i="5"/>
  <c r="T45" i="5"/>
  <c r="U45" i="5"/>
  <c r="O46" i="5"/>
  <c r="P46" i="5"/>
  <c r="Q46" i="5"/>
  <c r="R46" i="5"/>
  <c r="S46" i="5"/>
  <c r="T46" i="5"/>
  <c r="U46" i="5"/>
  <c r="O48" i="5"/>
  <c r="P48" i="5"/>
  <c r="Q48" i="5"/>
  <c r="R48" i="5"/>
  <c r="S48" i="5"/>
  <c r="T48" i="5"/>
  <c r="U48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2" i="5"/>
  <c r="P52" i="5"/>
  <c r="Q52" i="5"/>
  <c r="R52" i="5"/>
  <c r="S52" i="5"/>
  <c r="T52" i="5"/>
  <c r="U52" i="5"/>
  <c r="O53" i="5"/>
  <c r="P53" i="5"/>
  <c r="Q53" i="5"/>
  <c r="R53" i="5"/>
  <c r="S53" i="5"/>
  <c r="T53" i="5"/>
  <c r="U53" i="5"/>
  <c r="N53" i="5"/>
  <c r="N52" i="5"/>
  <c r="N50" i="5"/>
  <c r="N49" i="5"/>
  <c r="N48" i="5"/>
  <c r="AM48" i="5" s="1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V47" i="5"/>
  <c r="N46" i="5"/>
  <c r="N45" i="5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N53" i="4"/>
  <c r="N52" i="4"/>
  <c r="N50" i="4"/>
  <c r="N49" i="4"/>
  <c r="N48" i="4"/>
  <c r="N46" i="4"/>
  <c r="N45" i="4"/>
  <c r="AC50" i="3"/>
  <c r="AD50" i="3"/>
  <c r="AE50" i="3"/>
  <c r="AF50" i="3"/>
  <c r="AG50" i="3"/>
  <c r="AH50" i="3"/>
  <c r="AI50" i="3"/>
  <c r="AJ50" i="3"/>
  <c r="AK50" i="3"/>
  <c r="AL50" i="3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N50" i="1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N50" i="3"/>
  <c r="AL23" i="1"/>
  <c r="AA15" i="3"/>
  <c r="AB15" i="3"/>
  <c r="AC15" i="3"/>
  <c r="AD15" i="3"/>
  <c r="AE15" i="3"/>
  <c r="AF15" i="3"/>
  <c r="AG15" i="3"/>
  <c r="AH15" i="3"/>
  <c r="AI15" i="3"/>
  <c r="AJ15" i="3"/>
  <c r="AK15" i="3"/>
  <c r="AA22" i="3"/>
  <c r="AB22" i="3"/>
  <c r="AC22" i="3"/>
  <c r="AD22" i="3"/>
  <c r="AE22" i="3"/>
  <c r="AF22" i="3"/>
  <c r="AG22" i="3"/>
  <c r="AH22" i="3"/>
  <c r="AI22" i="3"/>
  <c r="AJ22" i="3"/>
  <c r="AK22" i="3"/>
  <c r="AL14" i="4"/>
  <c r="AA15" i="4"/>
  <c r="AB15" i="4"/>
  <c r="AC15" i="4"/>
  <c r="AD15" i="4"/>
  <c r="AE15" i="4"/>
  <c r="AF15" i="4"/>
  <c r="AG15" i="4"/>
  <c r="AH15" i="4"/>
  <c r="AI15" i="4"/>
  <c r="AJ15" i="4"/>
  <c r="AK15" i="4"/>
  <c r="AL16" i="4"/>
  <c r="AA22" i="4"/>
  <c r="AB22" i="4"/>
  <c r="AC22" i="4"/>
  <c r="AD22" i="4"/>
  <c r="AE22" i="4"/>
  <c r="AF22" i="4"/>
  <c r="AG22" i="4"/>
  <c r="AH22" i="4"/>
  <c r="AI22" i="4"/>
  <c r="AJ22" i="4"/>
  <c r="AK22" i="4"/>
  <c r="AL23" i="4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L50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V48" i="1"/>
  <c r="V49" i="1"/>
  <c r="V52" i="1"/>
  <c r="V53" i="1"/>
  <c r="V45" i="1"/>
  <c r="V46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8" i="1"/>
  <c r="P48" i="1"/>
  <c r="Q48" i="1"/>
  <c r="R48" i="1"/>
  <c r="S48" i="1"/>
  <c r="T48" i="1"/>
  <c r="U48" i="1"/>
  <c r="O49" i="1"/>
  <c r="P49" i="1"/>
  <c r="Q49" i="1"/>
  <c r="R49" i="1"/>
  <c r="S49" i="1"/>
  <c r="T49" i="1"/>
  <c r="U49" i="1"/>
  <c r="O52" i="1"/>
  <c r="P52" i="1"/>
  <c r="Q52" i="1"/>
  <c r="R52" i="1"/>
  <c r="S52" i="1"/>
  <c r="T52" i="1"/>
  <c r="U52" i="1"/>
  <c r="O53" i="1"/>
  <c r="P53" i="1"/>
  <c r="Q53" i="1"/>
  <c r="R53" i="1"/>
  <c r="S53" i="1"/>
  <c r="T53" i="1"/>
  <c r="U53" i="1"/>
  <c r="N53" i="1"/>
  <c r="N52" i="1"/>
  <c r="V47" i="1"/>
  <c r="N49" i="1"/>
  <c r="N48" i="1"/>
  <c r="N46" i="1"/>
  <c r="N45" i="1"/>
  <c r="AM47" i="1" l="1"/>
  <c r="AM49" i="5"/>
  <c r="AM46" i="5"/>
  <c r="AM45" i="5"/>
  <c r="AM46" i="4"/>
  <c r="AM49" i="4"/>
  <c r="AN52" i="1"/>
  <c r="AN50" i="1"/>
  <c r="AN53" i="5"/>
  <c r="AN47" i="1"/>
  <c r="AM50" i="1"/>
  <c r="AM46" i="1"/>
  <c r="AM48" i="1"/>
  <c r="AM45" i="1"/>
  <c r="AM49" i="1"/>
  <c r="AN49" i="1"/>
  <c r="AN46" i="1"/>
  <c r="AM52" i="1"/>
  <c r="AM53" i="1"/>
  <c r="AN53" i="1"/>
  <c r="AN48" i="1"/>
  <c r="AN45" i="1"/>
  <c r="AM53" i="4"/>
  <c r="AM45" i="4"/>
  <c r="AM48" i="4"/>
  <c r="AM52" i="4"/>
  <c r="AM50" i="4"/>
  <c r="AN53" i="4"/>
  <c r="AN52" i="4"/>
  <c r="AN50" i="4"/>
  <c r="AN49" i="4"/>
  <c r="AN48" i="4"/>
  <c r="AN46" i="4"/>
  <c r="AL44" i="4"/>
  <c r="AN45" i="4"/>
  <c r="AN45" i="5"/>
  <c r="AN50" i="5"/>
  <c r="AN49" i="5"/>
  <c r="AM50" i="5"/>
  <c r="AM52" i="5"/>
  <c r="AM53" i="5"/>
  <c r="AN46" i="5"/>
  <c r="AN52" i="5"/>
  <c r="AN48" i="5"/>
  <c r="AM47" i="5"/>
  <c r="AN47" i="5"/>
  <c r="AM50" i="3"/>
  <c r="AN50" i="3"/>
  <c r="S5" i="4"/>
  <c r="S6" i="4" s="1"/>
  <c r="N46" i="3"/>
  <c r="N48" i="3"/>
  <c r="N49" i="3"/>
  <c r="N52" i="3"/>
  <c r="N53" i="3"/>
  <c r="N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O53" i="3"/>
  <c r="O52" i="3"/>
  <c r="O49" i="3"/>
  <c r="O48" i="3"/>
  <c r="O46" i="3"/>
  <c r="O45" i="3"/>
  <c r="AN48" i="3" l="1"/>
  <c r="AN49" i="3"/>
  <c r="AN52" i="3"/>
  <c r="AN53" i="3"/>
  <c r="AM45" i="3"/>
  <c r="AN45" i="3"/>
  <c r="AM53" i="3"/>
  <c r="AM52" i="3"/>
  <c r="AN46" i="3"/>
  <c r="AM49" i="3"/>
  <c r="AM48" i="3"/>
  <c r="AM46" i="3"/>
  <c r="N44" i="3"/>
  <c r="O44" i="3"/>
  <c r="AG44" i="3"/>
  <c r="U44" i="3"/>
  <c r="AF44" i="3"/>
  <c r="T44" i="3"/>
  <c r="AE44" i="3"/>
  <c r="S44" i="3"/>
  <c r="AD44" i="3"/>
  <c r="R44" i="3"/>
  <c r="AC44" i="3"/>
  <c r="Q44" i="3"/>
  <c r="AB44" i="3"/>
  <c r="P44" i="3"/>
  <c r="AA44" i="3"/>
  <c r="Z44" i="3"/>
  <c r="AK44" i="3"/>
  <c r="Y44" i="3"/>
  <c r="AJ44" i="3"/>
  <c r="X44" i="3"/>
  <c r="AI44" i="3"/>
  <c r="W44" i="3"/>
  <c r="AH44" i="3"/>
  <c r="V44" i="3"/>
  <c r="AN36" i="5"/>
  <c r="AN35" i="5"/>
  <c r="AN34" i="5"/>
  <c r="AN37" i="4"/>
  <c r="AN36" i="4"/>
  <c r="AN35" i="4"/>
  <c r="AN34" i="4"/>
  <c r="AN37" i="1"/>
  <c r="AN36" i="1"/>
  <c r="AN35" i="1"/>
  <c r="AN34" i="1"/>
  <c r="AN34" i="3"/>
  <c r="AN35" i="3"/>
  <c r="AN36" i="3"/>
  <c r="AN37" i="3"/>
  <c r="AA57" i="4"/>
  <c r="AA58" i="4" s="1"/>
  <c r="Z58" i="5"/>
  <c r="AA58" i="5"/>
  <c r="AB58" i="5"/>
  <c r="AC58" i="5"/>
  <c r="AD58" i="5"/>
  <c r="AE58" i="5"/>
  <c r="AF58" i="5"/>
  <c r="AG58" i="5"/>
  <c r="AH58" i="5"/>
  <c r="AI58" i="5"/>
  <c r="AJ58" i="5"/>
  <c r="AK58" i="5"/>
  <c r="Z58" i="4"/>
  <c r="AB58" i="4"/>
  <c r="AC58" i="4"/>
  <c r="AD58" i="4"/>
  <c r="AE58" i="4"/>
  <c r="AF58" i="4"/>
  <c r="AG58" i="4"/>
  <c r="AH58" i="4"/>
  <c r="AI58" i="4"/>
  <c r="AJ58" i="4"/>
  <c r="AK58" i="4"/>
  <c r="Z58" i="1"/>
  <c r="AA58" i="1"/>
  <c r="AB58" i="1"/>
  <c r="AC58" i="1"/>
  <c r="AD58" i="1"/>
  <c r="AE58" i="1"/>
  <c r="AF58" i="1"/>
  <c r="AG58" i="1"/>
  <c r="AH58" i="1"/>
  <c r="AI58" i="1"/>
  <c r="AJ58" i="1"/>
  <c r="AK58" i="1"/>
  <c r="AB57" i="3"/>
  <c r="AB56" i="3"/>
  <c r="Z58" i="3"/>
  <c r="AA58" i="3"/>
  <c r="AC58" i="3"/>
  <c r="AD58" i="3"/>
  <c r="AE58" i="3"/>
  <c r="AF58" i="3"/>
  <c r="AG58" i="3"/>
  <c r="AH58" i="3"/>
  <c r="AI58" i="3"/>
  <c r="AJ58" i="3"/>
  <c r="AK58" i="3"/>
  <c r="AN4" i="5"/>
  <c r="AN14" i="5" s="1"/>
  <c r="U14" i="16" s="1"/>
  <c r="AN4" i="4"/>
  <c r="AN14" i="4" s="1"/>
  <c r="J14" i="16" s="1"/>
  <c r="AN4" i="1"/>
  <c r="AA13" i="5"/>
  <c r="AB13" i="5"/>
  <c r="AC13" i="5"/>
  <c r="AD13" i="5"/>
  <c r="AE13" i="5"/>
  <c r="AF13" i="5"/>
  <c r="AG13" i="5"/>
  <c r="AH13" i="5"/>
  <c r="AI13" i="5"/>
  <c r="AJ13" i="5"/>
  <c r="AK13" i="5"/>
  <c r="AA15" i="5"/>
  <c r="AB15" i="5"/>
  <c r="AC15" i="5"/>
  <c r="AD15" i="5"/>
  <c r="AE15" i="5"/>
  <c r="AF15" i="5"/>
  <c r="AG15" i="5"/>
  <c r="AH15" i="5"/>
  <c r="AI15" i="5"/>
  <c r="AJ15" i="5"/>
  <c r="AK15" i="5"/>
  <c r="AA22" i="5"/>
  <c r="AB22" i="5"/>
  <c r="AC22" i="5"/>
  <c r="AD22" i="5"/>
  <c r="AE22" i="5"/>
  <c r="AF22" i="5"/>
  <c r="AG22" i="5"/>
  <c r="AH22" i="5"/>
  <c r="AI22" i="5"/>
  <c r="AJ22" i="5"/>
  <c r="AK22" i="5"/>
  <c r="AA13" i="4"/>
  <c r="AB13" i="4"/>
  <c r="AC13" i="4"/>
  <c r="AD13" i="4"/>
  <c r="AE13" i="4"/>
  <c r="AF13" i="4"/>
  <c r="AG13" i="4"/>
  <c r="AH13" i="4"/>
  <c r="AI13" i="4"/>
  <c r="AJ13" i="4"/>
  <c r="AK13" i="4"/>
  <c r="AA13" i="1"/>
  <c r="AB13" i="1"/>
  <c r="AC13" i="1"/>
  <c r="AD13" i="1"/>
  <c r="AE13" i="1"/>
  <c r="AF13" i="1"/>
  <c r="AG13" i="1"/>
  <c r="AH13" i="1"/>
  <c r="AI13" i="1"/>
  <c r="AJ13" i="1"/>
  <c r="AK13" i="1"/>
  <c r="AA15" i="1"/>
  <c r="AB15" i="1"/>
  <c r="AC15" i="1"/>
  <c r="AD15" i="1"/>
  <c r="AE15" i="1"/>
  <c r="AF15" i="1"/>
  <c r="AG15" i="1"/>
  <c r="AH15" i="1"/>
  <c r="AI15" i="1"/>
  <c r="AJ15" i="1"/>
  <c r="AK15" i="1"/>
  <c r="AA22" i="1"/>
  <c r="AB22" i="1"/>
  <c r="AC22" i="1"/>
  <c r="AD22" i="1"/>
  <c r="AE22" i="1"/>
  <c r="AF22" i="1"/>
  <c r="AG22" i="1"/>
  <c r="AH22" i="1"/>
  <c r="AI22" i="1"/>
  <c r="AJ22" i="1"/>
  <c r="AK22" i="1"/>
  <c r="AA30" i="4"/>
  <c r="AB30" i="4"/>
  <c r="AC30" i="4"/>
  <c r="AD30" i="4"/>
  <c r="AE30" i="4"/>
  <c r="AF30" i="4"/>
  <c r="AG30" i="4"/>
  <c r="AH30" i="4"/>
  <c r="AI30" i="4"/>
  <c r="AJ30" i="4"/>
  <c r="AK30" i="4"/>
  <c r="AA31" i="4"/>
  <c r="AB31" i="4"/>
  <c r="AC31" i="4"/>
  <c r="AD31" i="4"/>
  <c r="AE31" i="4"/>
  <c r="AF31" i="4"/>
  <c r="AG31" i="4"/>
  <c r="AH31" i="4"/>
  <c r="AI31" i="4"/>
  <c r="AJ31" i="4"/>
  <c r="AK31" i="4"/>
  <c r="AA32" i="4"/>
  <c r="AB32" i="4"/>
  <c r="AC32" i="4"/>
  <c r="AD32" i="4"/>
  <c r="AE32" i="4"/>
  <c r="AF32" i="4"/>
  <c r="AG32" i="4"/>
  <c r="AH32" i="4"/>
  <c r="AI32" i="4"/>
  <c r="AJ32" i="4"/>
  <c r="AK32" i="4"/>
  <c r="AA33" i="4"/>
  <c r="AB33" i="4"/>
  <c r="AC33" i="4"/>
  <c r="AD33" i="4"/>
  <c r="AE33" i="4"/>
  <c r="AF33" i="4"/>
  <c r="AG33" i="4"/>
  <c r="AH33" i="4"/>
  <c r="AI33" i="4"/>
  <c r="AJ33" i="4"/>
  <c r="AK33" i="4"/>
  <c r="Z33" i="4"/>
  <c r="Z32" i="4"/>
  <c r="Z31" i="4"/>
  <c r="Z30" i="4"/>
  <c r="O30" i="4"/>
  <c r="P30" i="4"/>
  <c r="Q30" i="4"/>
  <c r="R30" i="4"/>
  <c r="S30" i="4"/>
  <c r="T30" i="4"/>
  <c r="U30" i="4"/>
  <c r="V30" i="4"/>
  <c r="W30" i="4"/>
  <c r="X30" i="4"/>
  <c r="Y30" i="4"/>
  <c r="O31" i="4"/>
  <c r="P31" i="4"/>
  <c r="Q31" i="4"/>
  <c r="R31" i="4"/>
  <c r="S31" i="4"/>
  <c r="T31" i="4"/>
  <c r="U31" i="4"/>
  <c r="V31" i="4"/>
  <c r="W31" i="4"/>
  <c r="X31" i="4"/>
  <c r="Y31" i="4"/>
  <c r="O32" i="4"/>
  <c r="P32" i="4"/>
  <c r="Q32" i="4"/>
  <c r="R32" i="4"/>
  <c r="S32" i="4"/>
  <c r="T32" i="4"/>
  <c r="U32" i="4"/>
  <c r="V32" i="4"/>
  <c r="W32" i="4"/>
  <c r="X32" i="4"/>
  <c r="Y32" i="4"/>
  <c r="O33" i="4"/>
  <c r="P33" i="4"/>
  <c r="Q33" i="4"/>
  <c r="R33" i="4"/>
  <c r="S33" i="4"/>
  <c r="T33" i="4"/>
  <c r="U33" i="4"/>
  <c r="V33" i="4"/>
  <c r="W33" i="4"/>
  <c r="X33" i="4"/>
  <c r="Y33" i="4"/>
  <c r="N33" i="4"/>
  <c r="N32" i="4"/>
  <c r="N31" i="4"/>
  <c r="N30" i="4"/>
  <c r="Z22" i="5"/>
  <c r="Z22" i="4"/>
  <c r="Z22" i="1"/>
  <c r="Z15" i="5"/>
  <c r="Z13" i="5"/>
  <c r="Z15" i="4"/>
  <c r="Z13" i="4"/>
  <c r="Z15" i="1"/>
  <c r="Z13" i="1"/>
  <c r="Z22" i="3"/>
  <c r="Z15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23" i="3"/>
  <c r="AM23" i="3"/>
  <c r="AM16" i="3"/>
  <c r="AL14" i="3"/>
  <c r="AM14" i="3"/>
  <c r="AM23" i="5"/>
  <c r="AL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AM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AM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N24" i="1" a="1"/>
  <c r="N24" i="1" s="1"/>
  <c r="O24" i="1" a="1"/>
  <c r="O24" i="1" s="1"/>
  <c r="P24" i="1" a="1"/>
  <c r="P24" i="1" s="1"/>
  <c r="Q24" i="1" a="1"/>
  <c r="Q24" i="1" s="1"/>
  <c r="R24" i="1" a="1"/>
  <c r="R24" i="1" s="1"/>
  <c r="S24" i="1" a="1"/>
  <c r="S24" i="1" s="1"/>
  <c r="T24" i="1" a="1"/>
  <c r="T24" i="1" s="1"/>
  <c r="U24" i="1" a="1"/>
  <c r="U24" i="1" s="1"/>
  <c r="V24" i="1" a="1"/>
  <c r="V24" i="1" s="1"/>
  <c r="W24" i="1" a="1"/>
  <c r="W24" i="1" s="1"/>
  <c r="X24" i="1" a="1"/>
  <c r="X24" i="1" s="1"/>
  <c r="Y24" i="1" a="1"/>
  <c r="Y24" i="1" s="1"/>
  <c r="H8" i="3"/>
  <c r="H10" i="3"/>
  <c r="H12" i="3"/>
  <c r="H14" i="3"/>
  <c r="H16" i="3"/>
  <c r="H23" i="3"/>
  <c r="AM16" i="5"/>
  <c r="AL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AM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AM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AM14" i="5"/>
  <c r="AL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AM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AM14" i="1"/>
  <c r="AL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N23" i="3"/>
  <c r="O23" i="3"/>
  <c r="P23" i="3"/>
  <c r="Q23" i="3"/>
  <c r="R23" i="3"/>
  <c r="S23" i="3"/>
  <c r="T23" i="3"/>
  <c r="U23" i="3"/>
  <c r="V23" i="3"/>
  <c r="W23" i="3"/>
  <c r="X23" i="3"/>
  <c r="Y23" i="3"/>
  <c r="N16" i="3"/>
  <c r="O16" i="3"/>
  <c r="P16" i="3"/>
  <c r="Q16" i="3"/>
  <c r="R16" i="3"/>
  <c r="S16" i="3"/>
  <c r="T16" i="3"/>
  <c r="U16" i="3"/>
  <c r="V16" i="3"/>
  <c r="W16" i="3"/>
  <c r="X16" i="3"/>
  <c r="Y16" i="3"/>
  <c r="N14" i="3"/>
  <c r="O14" i="3"/>
  <c r="P14" i="3"/>
  <c r="Q14" i="3"/>
  <c r="R14" i="3"/>
  <c r="S14" i="3"/>
  <c r="T14" i="3"/>
  <c r="U14" i="3"/>
  <c r="V14" i="3"/>
  <c r="W14" i="3"/>
  <c r="X14" i="3"/>
  <c r="Y14" i="3"/>
  <c r="I23" i="3"/>
  <c r="J23" i="3"/>
  <c r="K23" i="3"/>
  <c r="L23" i="3"/>
  <c r="M23" i="3"/>
  <c r="I16" i="3"/>
  <c r="J16" i="3"/>
  <c r="K16" i="3"/>
  <c r="L16" i="3"/>
  <c r="M16" i="3"/>
  <c r="I14" i="3"/>
  <c r="J14" i="3"/>
  <c r="K14" i="3"/>
  <c r="L14" i="3"/>
  <c r="M14" i="3"/>
  <c r="AN17" i="3"/>
  <c r="AN18" i="3"/>
  <c r="AN19" i="3"/>
  <c r="AN20" i="3"/>
  <c r="AN21" i="3"/>
  <c r="AL8" i="3"/>
  <c r="AN4" i="3"/>
  <c r="I3" i="16" s="1"/>
  <c r="AA30" i="5"/>
  <c r="AB30" i="5"/>
  <c r="AC30" i="5"/>
  <c r="AD30" i="5"/>
  <c r="AE30" i="5"/>
  <c r="AF30" i="5"/>
  <c r="AG30" i="5"/>
  <c r="AH30" i="5"/>
  <c r="AI30" i="5"/>
  <c r="AJ30" i="5"/>
  <c r="AK30" i="5"/>
  <c r="AA31" i="5"/>
  <c r="AB31" i="5"/>
  <c r="AC31" i="5"/>
  <c r="AD31" i="5"/>
  <c r="AE31" i="5"/>
  <c r="AF31" i="5"/>
  <c r="AG31" i="5"/>
  <c r="AH31" i="5"/>
  <c r="AI31" i="5"/>
  <c r="AJ31" i="5"/>
  <c r="AK31" i="5"/>
  <c r="AA32" i="5"/>
  <c r="AB32" i="5"/>
  <c r="AC32" i="5"/>
  <c r="AD32" i="5"/>
  <c r="AE32" i="5"/>
  <c r="AF32" i="5"/>
  <c r="AG32" i="5"/>
  <c r="AH32" i="5"/>
  <c r="AI32" i="5"/>
  <c r="AJ32" i="5"/>
  <c r="AK32" i="5"/>
  <c r="AA33" i="5"/>
  <c r="AB33" i="5"/>
  <c r="AC33" i="5"/>
  <c r="AD33" i="5"/>
  <c r="AE33" i="5"/>
  <c r="AF33" i="5"/>
  <c r="AG33" i="5"/>
  <c r="AH33" i="5"/>
  <c r="AI33" i="5"/>
  <c r="AJ33" i="5"/>
  <c r="AK33" i="5"/>
  <c r="Z33" i="5"/>
  <c r="Z32" i="5"/>
  <c r="Z31" i="5"/>
  <c r="Z30" i="5"/>
  <c r="O30" i="5"/>
  <c r="P30" i="5"/>
  <c r="Q30" i="5"/>
  <c r="R30" i="5"/>
  <c r="S30" i="5"/>
  <c r="T30" i="5"/>
  <c r="U30" i="5"/>
  <c r="V30" i="5"/>
  <c r="W30" i="5"/>
  <c r="X30" i="5"/>
  <c r="Y30" i="5"/>
  <c r="O31" i="5"/>
  <c r="P31" i="5"/>
  <c r="Q31" i="5"/>
  <c r="R31" i="5"/>
  <c r="S31" i="5"/>
  <c r="T31" i="5"/>
  <c r="U31" i="5"/>
  <c r="V31" i="5"/>
  <c r="W31" i="5"/>
  <c r="X31" i="5"/>
  <c r="Y31" i="5"/>
  <c r="O32" i="5"/>
  <c r="P32" i="5"/>
  <c r="Q32" i="5"/>
  <c r="R32" i="5"/>
  <c r="S32" i="5"/>
  <c r="T32" i="5"/>
  <c r="U32" i="5"/>
  <c r="V32" i="5"/>
  <c r="W32" i="5"/>
  <c r="X32" i="5"/>
  <c r="Y32" i="5"/>
  <c r="O33" i="5"/>
  <c r="P33" i="5"/>
  <c r="Q33" i="5"/>
  <c r="R33" i="5"/>
  <c r="S33" i="5"/>
  <c r="T33" i="5"/>
  <c r="U33" i="5"/>
  <c r="V33" i="5"/>
  <c r="W33" i="5"/>
  <c r="X33" i="5"/>
  <c r="Y33" i="5"/>
  <c r="N33" i="5"/>
  <c r="N32" i="5"/>
  <c r="N31" i="5"/>
  <c r="N30" i="5"/>
  <c r="AA30" i="1"/>
  <c r="AB30" i="1"/>
  <c r="AC30" i="1"/>
  <c r="AD30" i="1"/>
  <c r="AE30" i="1"/>
  <c r="AF30" i="1"/>
  <c r="AG30" i="1"/>
  <c r="AH30" i="1"/>
  <c r="AI30" i="1"/>
  <c r="AJ30" i="1"/>
  <c r="AK30" i="1"/>
  <c r="AA31" i="1"/>
  <c r="AB31" i="1"/>
  <c r="AC31" i="1"/>
  <c r="AD31" i="1"/>
  <c r="AE31" i="1"/>
  <c r="AF31" i="1"/>
  <c r="AG31" i="1"/>
  <c r="AH31" i="1"/>
  <c r="AI31" i="1"/>
  <c r="AJ31" i="1"/>
  <c r="AK31" i="1"/>
  <c r="AA32" i="1"/>
  <c r="AB32" i="1"/>
  <c r="AC32" i="1"/>
  <c r="AD32" i="1"/>
  <c r="AE32" i="1"/>
  <c r="AF32" i="1"/>
  <c r="AG32" i="1"/>
  <c r="AH32" i="1"/>
  <c r="AI32" i="1"/>
  <c r="AJ32" i="1"/>
  <c r="AK32" i="1"/>
  <c r="AA33" i="1"/>
  <c r="AB33" i="1"/>
  <c r="AC33" i="1"/>
  <c r="AD33" i="1"/>
  <c r="AE33" i="1"/>
  <c r="AF33" i="1"/>
  <c r="AG33" i="1"/>
  <c r="AH33" i="1"/>
  <c r="AI33" i="1"/>
  <c r="AJ33" i="1"/>
  <c r="AK33" i="1"/>
  <c r="Z33" i="1"/>
  <c r="Z32" i="1"/>
  <c r="Z31" i="1"/>
  <c r="Z30" i="1"/>
  <c r="O30" i="1"/>
  <c r="P30" i="1"/>
  <c r="Q30" i="1"/>
  <c r="R30" i="1"/>
  <c r="S30" i="1"/>
  <c r="T30" i="1"/>
  <c r="U30" i="1"/>
  <c r="V30" i="1"/>
  <c r="W30" i="1"/>
  <c r="X30" i="1"/>
  <c r="Y30" i="1"/>
  <c r="O31" i="1"/>
  <c r="P31" i="1"/>
  <c r="Q31" i="1"/>
  <c r="R31" i="1"/>
  <c r="S31" i="1"/>
  <c r="T31" i="1"/>
  <c r="U31" i="1"/>
  <c r="V31" i="1"/>
  <c r="W31" i="1"/>
  <c r="X31" i="1"/>
  <c r="Y31" i="1"/>
  <c r="O32" i="1"/>
  <c r="P32" i="1"/>
  <c r="Q32" i="1"/>
  <c r="R32" i="1"/>
  <c r="S32" i="1"/>
  <c r="T32" i="1"/>
  <c r="U32" i="1"/>
  <c r="V32" i="1"/>
  <c r="W32" i="1"/>
  <c r="X32" i="1"/>
  <c r="Y32" i="1"/>
  <c r="O33" i="1"/>
  <c r="P33" i="1"/>
  <c r="Q33" i="1"/>
  <c r="R33" i="1"/>
  <c r="S33" i="1"/>
  <c r="T33" i="1"/>
  <c r="U33" i="1"/>
  <c r="V33" i="1"/>
  <c r="W33" i="1"/>
  <c r="X33" i="1"/>
  <c r="Y33" i="1"/>
  <c r="N33" i="1"/>
  <c r="N32" i="1"/>
  <c r="N31" i="1"/>
  <c r="N30" i="1"/>
  <c r="AA32" i="3"/>
  <c r="AB32" i="3"/>
  <c r="AC32" i="3"/>
  <c r="AD32" i="3"/>
  <c r="AE32" i="3"/>
  <c r="AF32" i="3"/>
  <c r="AG32" i="3"/>
  <c r="AH32" i="3"/>
  <c r="AI32" i="3"/>
  <c r="AJ32" i="3"/>
  <c r="AK32" i="3"/>
  <c r="AA33" i="3"/>
  <c r="AB33" i="3"/>
  <c r="AC33" i="3"/>
  <c r="AD33" i="3"/>
  <c r="AE33" i="3"/>
  <c r="AF33" i="3"/>
  <c r="AG33" i="3"/>
  <c r="AH33" i="3"/>
  <c r="AI33" i="3"/>
  <c r="AJ33" i="3"/>
  <c r="AK33" i="3"/>
  <c r="Z33" i="3"/>
  <c r="Z32" i="3"/>
  <c r="O33" i="3"/>
  <c r="P33" i="3"/>
  <c r="Q33" i="3"/>
  <c r="R33" i="3"/>
  <c r="S33" i="3"/>
  <c r="T33" i="3"/>
  <c r="U33" i="3"/>
  <c r="V33" i="3"/>
  <c r="W33" i="3"/>
  <c r="X33" i="3"/>
  <c r="Y33" i="3"/>
  <c r="N33" i="3"/>
  <c r="O32" i="3"/>
  <c r="P32" i="3"/>
  <c r="Q32" i="3"/>
  <c r="R32" i="3"/>
  <c r="S32" i="3"/>
  <c r="T32" i="3"/>
  <c r="U32" i="3"/>
  <c r="V32" i="3"/>
  <c r="W32" i="3"/>
  <c r="X32" i="3"/>
  <c r="Y32" i="3"/>
  <c r="N32" i="3"/>
  <c r="AA31" i="3"/>
  <c r="AB31" i="3"/>
  <c r="AC31" i="3"/>
  <c r="AD31" i="3"/>
  <c r="AE31" i="3"/>
  <c r="AF31" i="3"/>
  <c r="AG31" i="3"/>
  <c r="AH31" i="3"/>
  <c r="AI31" i="3"/>
  <c r="AJ31" i="3"/>
  <c r="AK31" i="3"/>
  <c r="Z31" i="3"/>
  <c r="O31" i="3"/>
  <c r="P31" i="3"/>
  <c r="Q31" i="3"/>
  <c r="R31" i="3"/>
  <c r="S31" i="3"/>
  <c r="T31" i="3"/>
  <c r="U31" i="3"/>
  <c r="V31" i="3"/>
  <c r="W31" i="3"/>
  <c r="X31" i="3"/>
  <c r="Y31" i="3"/>
  <c r="N31" i="3"/>
  <c r="AA30" i="3"/>
  <c r="AB30" i="3"/>
  <c r="AC30" i="3"/>
  <c r="AD30" i="3"/>
  <c r="AE30" i="3"/>
  <c r="AF30" i="3"/>
  <c r="AG30" i="3"/>
  <c r="AH30" i="3"/>
  <c r="AI30" i="3"/>
  <c r="AJ30" i="3"/>
  <c r="AK30" i="3"/>
  <c r="Z30" i="3"/>
  <c r="O30" i="3"/>
  <c r="P30" i="3"/>
  <c r="Q30" i="3"/>
  <c r="R30" i="3"/>
  <c r="S30" i="3"/>
  <c r="T30" i="3"/>
  <c r="U30" i="3"/>
  <c r="V30" i="3"/>
  <c r="W30" i="3"/>
  <c r="X30" i="3"/>
  <c r="Y30" i="3"/>
  <c r="N30" i="3"/>
  <c r="AN14" i="1" l="1"/>
  <c r="U3" i="16" s="1"/>
  <c r="T3" i="16"/>
  <c r="AC14" i="5"/>
  <c r="AA14" i="5"/>
  <c r="Z14" i="5"/>
  <c r="AB14" i="5"/>
  <c r="AJ14" i="5"/>
  <c r="AI14" i="5"/>
  <c r="AK14" i="5"/>
  <c r="AE14" i="5"/>
  <c r="AH14" i="5"/>
  <c r="AF14" i="5"/>
  <c r="AD14" i="5"/>
  <c r="AG14" i="5"/>
  <c r="AB14" i="4"/>
  <c r="AF14" i="4"/>
  <c r="AC14" i="4"/>
  <c r="AA14" i="4"/>
  <c r="AD14" i="4"/>
  <c r="Z14" i="4"/>
  <c r="AE14" i="4"/>
  <c r="AK14" i="4"/>
  <c r="AJ14" i="4"/>
  <c r="AI14" i="4"/>
  <c r="AH14" i="4"/>
  <c r="AG14" i="4"/>
  <c r="AJ14" i="1"/>
  <c r="AK14" i="1"/>
  <c r="AA14" i="1"/>
  <c r="AB14" i="1"/>
  <c r="AC14" i="1"/>
  <c r="AF14" i="1"/>
  <c r="AG14" i="1"/>
  <c r="AH14" i="1"/>
  <c r="AI14" i="1"/>
  <c r="Z14" i="1"/>
  <c r="AD14" i="1"/>
  <c r="AE14" i="1"/>
  <c r="AF14" i="3"/>
  <c r="AG14" i="3"/>
  <c r="AH14" i="3"/>
  <c r="AI14" i="3"/>
  <c r="AJ14" i="3"/>
  <c r="AK14" i="3"/>
  <c r="AA14" i="3"/>
  <c r="Z14" i="3"/>
  <c r="AB14" i="3"/>
  <c r="AC14" i="3"/>
  <c r="AD14" i="3"/>
  <c r="AE14" i="3"/>
  <c r="AB58" i="3"/>
  <c r="AM44" i="3"/>
  <c r="AN44" i="3"/>
  <c r="AN33" i="5"/>
  <c r="AN30" i="5"/>
  <c r="AN31" i="5"/>
  <c r="AN32" i="5"/>
  <c r="AN30" i="4"/>
  <c r="AN31" i="1"/>
  <c r="AN32" i="1"/>
  <c r="AN33" i="1"/>
  <c r="AN30" i="1"/>
  <c r="AN31" i="4"/>
  <c r="AN33" i="4"/>
  <c r="AN30" i="3"/>
  <c r="AN31" i="3"/>
  <c r="AN32" i="3"/>
  <c r="AN33" i="3"/>
  <c r="AN32" i="4"/>
  <c r="AN14" i="3"/>
  <c r="J3" i="16" s="1"/>
  <c r="Z11" i="4" l="1"/>
  <c r="Z40" i="4" s="1"/>
  <c r="AA11" i="4"/>
  <c r="AA40" i="4" s="1"/>
  <c r="AB11" i="4"/>
  <c r="AB40" i="4" s="1"/>
  <c r="AC11" i="4"/>
  <c r="AC40" i="4" s="1"/>
  <c r="AD11" i="4"/>
  <c r="AD40" i="4" s="1"/>
  <c r="AE11" i="4"/>
  <c r="AE40" i="4" s="1"/>
  <c r="AF11" i="4"/>
  <c r="AF40" i="4" s="1"/>
  <c r="AG11" i="4"/>
  <c r="AG40" i="4" s="1"/>
  <c r="AH11" i="4"/>
  <c r="AH40" i="4" s="1"/>
  <c r="AI11" i="4"/>
  <c r="AI40" i="4" s="1"/>
  <c r="AJ11" i="4"/>
  <c r="AJ40" i="4" s="1"/>
  <c r="AK11" i="4"/>
  <c r="AK40" i="4" s="1"/>
  <c r="O11" i="4"/>
  <c r="P11" i="4"/>
  <c r="Q11" i="4"/>
  <c r="R11" i="4"/>
  <c r="S11" i="4"/>
  <c r="T11" i="4"/>
  <c r="U11" i="4"/>
  <c r="V11" i="4"/>
  <c r="W11" i="4"/>
  <c r="X11" i="4"/>
  <c r="Y11" i="4"/>
  <c r="N11" i="4"/>
  <c r="AA5" i="4"/>
  <c r="AA6" i="4" s="1"/>
  <c r="AB5" i="4"/>
  <c r="AB6" i="4" s="1"/>
  <c r="AC5" i="4"/>
  <c r="AC6" i="4" s="1"/>
  <c r="AD5" i="4"/>
  <c r="AD6" i="4" s="1"/>
  <c r="AE5" i="4"/>
  <c r="AE6" i="4" s="1"/>
  <c r="AF5" i="4"/>
  <c r="AF6" i="4" s="1"/>
  <c r="AG5" i="4"/>
  <c r="AG6" i="4" s="1"/>
  <c r="AH5" i="4"/>
  <c r="AH6" i="4" s="1"/>
  <c r="AI5" i="4"/>
  <c r="AI6" i="4" s="1"/>
  <c r="AJ5" i="4"/>
  <c r="AJ6" i="4" s="1"/>
  <c r="AK5" i="4"/>
  <c r="AK6" i="4" s="1"/>
  <c r="AA7" i="4"/>
  <c r="AB7" i="4"/>
  <c r="AC7" i="4"/>
  <c r="AD7" i="4"/>
  <c r="AD8" i="4" s="1"/>
  <c r="AE7" i="4"/>
  <c r="AE8" i="4" s="1"/>
  <c r="AF7" i="4"/>
  <c r="AF8" i="4" s="1"/>
  <c r="AG7" i="4"/>
  <c r="AG8" i="4" s="1"/>
  <c r="AH7" i="4"/>
  <c r="AH8" i="4" s="1"/>
  <c r="AI7" i="4"/>
  <c r="AI8" i="4" s="1"/>
  <c r="AJ7" i="4"/>
  <c r="AJ8" i="4" s="1"/>
  <c r="AK7" i="4"/>
  <c r="AK8" i="4" s="1"/>
  <c r="AA9" i="4"/>
  <c r="AB9" i="4"/>
  <c r="AC9" i="4"/>
  <c r="AD9" i="4"/>
  <c r="AE9" i="4"/>
  <c r="AF9" i="4"/>
  <c r="AG9" i="4"/>
  <c r="AH9" i="4"/>
  <c r="AI9" i="4"/>
  <c r="AJ9" i="4"/>
  <c r="AK9" i="4"/>
  <c r="Z9" i="4"/>
  <c r="Z7" i="4"/>
  <c r="O9" i="4"/>
  <c r="P9" i="4"/>
  <c r="Q9" i="4"/>
  <c r="R9" i="4"/>
  <c r="S9" i="4"/>
  <c r="T9" i="4"/>
  <c r="U9" i="4"/>
  <c r="V9" i="4"/>
  <c r="W9" i="4"/>
  <c r="X9" i="4"/>
  <c r="Y9" i="4"/>
  <c r="N9" i="4"/>
  <c r="O7" i="4"/>
  <c r="P7" i="4"/>
  <c r="Q7" i="4"/>
  <c r="R7" i="4"/>
  <c r="S7" i="4"/>
  <c r="T7" i="4"/>
  <c r="U7" i="4"/>
  <c r="V7" i="4"/>
  <c r="W7" i="4"/>
  <c r="X7" i="4"/>
  <c r="Y7" i="4"/>
  <c r="AJ23" i="4" l="1"/>
  <c r="AI23" i="4"/>
  <c r="AF23" i="4"/>
  <c r="AE23" i="4"/>
  <c r="AB23" i="4"/>
  <c r="AD23" i="4"/>
  <c r="AC23" i="4"/>
  <c r="AA23" i="4"/>
  <c r="Z23" i="4"/>
  <c r="AK23" i="4"/>
  <c r="AH23" i="4"/>
  <c r="AG23" i="4"/>
  <c r="AB39" i="4"/>
  <c r="AJ39" i="4"/>
  <c r="AE39" i="4"/>
  <c r="AK39" i="4"/>
  <c r="AI39" i="4"/>
  <c r="AH39" i="4"/>
  <c r="AG39" i="4"/>
  <c r="AF39" i="4"/>
  <c r="AD39" i="4"/>
  <c r="AC8" i="4"/>
  <c r="AJ38" i="4"/>
  <c r="AI38" i="4"/>
  <c r="AH38" i="4"/>
  <c r="AG38" i="4"/>
  <c r="AF38" i="4"/>
  <c r="AE38" i="4"/>
  <c r="AD38" i="4"/>
  <c r="AK38" i="4"/>
  <c r="AJ10" i="4"/>
  <c r="AI10" i="4"/>
  <c r="AH10" i="4"/>
  <c r="AG10" i="4"/>
  <c r="AK10" i="4"/>
  <c r="AF10" i="4"/>
  <c r="AE10" i="4"/>
  <c r="AD10" i="4"/>
  <c r="AN9" i="4"/>
  <c r="I19" i="16" s="1"/>
  <c r="AC10" i="4"/>
  <c r="AN11" i="4"/>
  <c r="AB10" i="4"/>
  <c r="AN7" i="4"/>
  <c r="I17" i="16" s="1"/>
  <c r="AB8" i="4"/>
  <c r="AA8" i="4"/>
  <c r="AA10" i="4"/>
  <c r="Y5" i="4"/>
  <c r="Y6" i="4" s="1"/>
  <c r="AM4" i="4"/>
  <c r="AM4" i="1"/>
  <c r="AM4" i="3"/>
  <c r="AM34" i="4"/>
  <c r="AM34" i="3"/>
  <c r="AA5" i="3"/>
  <c r="AA6" i="3" s="1"/>
  <c r="AB5" i="3"/>
  <c r="AB6" i="3" s="1"/>
  <c r="AC5" i="3"/>
  <c r="AC6" i="3" s="1"/>
  <c r="AD5" i="3"/>
  <c r="AD6" i="3" s="1"/>
  <c r="AE5" i="3"/>
  <c r="AE6" i="3" s="1"/>
  <c r="AF5" i="3"/>
  <c r="AF6" i="3" s="1"/>
  <c r="AG5" i="3"/>
  <c r="AG6" i="3" s="1"/>
  <c r="AH5" i="3"/>
  <c r="AH6" i="3" s="1"/>
  <c r="AI5" i="3"/>
  <c r="AI6" i="3" s="1"/>
  <c r="AJ5" i="3"/>
  <c r="AJ6" i="3" s="1"/>
  <c r="AK5" i="3"/>
  <c r="AK6" i="3" s="1"/>
  <c r="AA7" i="3"/>
  <c r="AB7" i="3"/>
  <c r="AC7" i="3"/>
  <c r="AD7" i="3"/>
  <c r="AD8" i="3" s="1"/>
  <c r="AE7" i="3"/>
  <c r="AE8" i="3" s="1"/>
  <c r="AF7" i="3"/>
  <c r="AF8" i="3" s="1"/>
  <c r="AG7" i="3"/>
  <c r="AG8" i="3" s="1"/>
  <c r="AH7" i="3"/>
  <c r="AH8" i="3" s="1"/>
  <c r="AI7" i="3"/>
  <c r="AI8" i="3" s="1"/>
  <c r="AJ7" i="3"/>
  <c r="AJ8" i="3" s="1"/>
  <c r="AK7" i="3"/>
  <c r="AK8" i="3" s="1"/>
  <c r="AA9" i="3"/>
  <c r="AB9" i="3"/>
  <c r="AC9" i="3"/>
  <c r="AD9" i="3"/>
  <c r="AE9" i="3"/>
  <c r="AF9" i="3"/>
  <c r="AG9" i="3"/>
  <c r="AH9" i="3"/>
  <c r="AI9" i="3"/>
  <c r="AJ9" i="3"/>
  <c r="AK9" i="3"/>
  <c r="AA11" i="3"/>
  <c r="AA40" i="3" s="1"/>
  <c r="AB11" i="3"/>
  <c r="AB40" i="3" s="1"/>
  <c r="AC11" i="3"/>
  <c r="AC40" i="3" s="1"/>
  <c r="AD11" i="3"/>
  <c r="AD40" i="3" s="1"/>
  <c r="AE11" i="3"/>
  <c r="AE40" i="3" s="1"/>
  <c r="AF11" i="3"/>
  <c r="AF40" i="3" s="1"/>
  <c r="AG11" i="3"/>
  <c r="AG40" i="3" s="1"/>
  <c r="AH11" i="3"/>
  <c r="AH40" i="3" s="1"/>
  <c r="AI11" i="3"/>
  <c r="AI40" i="3" s="1"/>
  <c r="AJ11" i="3"/>
  <c r="AJ40" i="3" s="1"/>
  <c r="AK11" i="3"/>
  <c r="AK40" i="3" s="1"/>
  <c r="Z9" i="3"/>
  <c r="Z7" i="3"/>
  <c r="Z5" i="3"/>
  <c r="Z6" i="3" s="1"/>
  <c r="Z11" i="3"/>
  <c r="Y5" i="3"/>
  <c r="Y6" i="3" s="1"/>
  <c r="Y7" i="3"/>
  <c r="Y9" i="3"/>
  <c r="Y11" i="3"/>
  <c r="AA5" i="1"/>
  <c r="AA6" i="1" s="1"/>
  <c r="AB5" i="1"/>
  <c r="AB6" i="1" s="1"/>
  <c r="AC5" i="1"/>
  <c r="AC6" i="1" s="1"/>
  <c r="AD5" i="1"/>
  <c r="AD6" i="1" s="1"/>
  <c r="AE5" i="1"/>
  <c r="AE6" i="1" s="1"/>
  <c r="AF5" i="1"/>
  <c r="AF6" i="1" s="1"/>
  <c r="AG5" i="1"/>
  <c r="AG6" i="1" s="1"/>
  <c r="AH5" i="1"/>
  <c r="AH6" i="1" s="1"/>
  <c r="AI5" i="1"/>
  <c r="AI6" i="1" s="1"/>
  <c r="AJ5" i="1"/>
  <c r="AJ6" i="1" s="1"/>
  <c r="AK5" i="1"/>
  <c r="AK6" i="1" s="1"/>
  <c r="AA7" i="1"/>
  <c r="AA8" i="1" s="1"/>
  <c r="AB7" i="1"/>
  <c r="AC7" i="1"/>
  <c r="AC8" i="1" s="1"/>
  <c r="AD7" i="1"/>
  <c r="AD8" i="1" s="1"/>
  <c r="AE7" i="1"/>
  <c r="AE8" i="1" s="1"/>
  <c r="AF7" i="1"/>
  <c r="AF8" i="1" s="1"/>
  <c r="AG7" i="1"/>
  <c r="AG8" i="1" s="1"/>
  <c r="AH7" i="1"/>
  <c r="AH8" i="1" s="1"/>
  <c r="AI7" i="1"/>
  <c r="AI8" i="1" s="1"/>
  <c r="AJ7" i="1"/>
  <c r="AJ8" i="1" s="1"/>
  <c r="AK7" i="1"/>
  <c r="AK8" i="1" s="1"/>
  <c r="AA9" i="1"/>
  <c r="AB9" i="1"/>
  <c r="AC9" i="1"/>
  <c r="AC39" i="1" s="1"/>
  <c r="AD9" i="1"/>
  <c r="AE9" i="1"/>
  <c r="AF9" i="1"/>
  <c r="AG9" i="1"/>
  <c r="AH9" i="1"/>
  <c r="AI9" i="1"/>
  <c r="AJ9" i="1"/>
  <c r="AK9" i="1"/>
  <c r="AA11" i="1"/>
  <c r="AB11" i="1"/>
  <c r="AC11" i="1"/>
  <c r="AC40" i="1" s="1"/>
  <c r="AD11" i="1"/>
  <c r="AE11" i="1"/>
  <c r="AF11" i="1"/>
  <c r="AG11" i="1"/>
  <c r="AH11" i="1"/>
  <c r="AI11" i="1"/>
  <c r="AJ11" i="1"/>
  <c r="AK11" i="1"/>
  <c r="Z9" i="1"/>
  <c r="Z7" i="1"/>
  <c r="Z5" i="1"/>
  <c r="Z6" i="1" s="1"/>
  <c r="Z11" i="1"/>
  <c r="Z40" i="1" s="1"/>
  <c r="Y9" i="1"/>
  <c r="Y11" i="1"/>
  <c r="Y5" i="1"/>
  <c r="Y6" i="1" s="1"/>
  <c r="Y7" i="1"/>
  <c r="Z5" i="4"/>
  <c r="Z6" i="4" s="1"/>
  <c r="Z5" i="5"/>
  <c r="Z6" i="5" s="1"/>
  <c r="Z37" i="5"/>
  <c r="AA29" i="5"/>
  <c r="AA11" i="5"/>
  <c r="AA40" i="5" s="1"/>
  <c r="Z11" i="5"/>
  <c r="AA9" i="5"/>
  <c r="Z9" i="5"/>
  <c r="AA5" i="5"/>
  <c r="AA6" i="5" s="1"/>
  <c r="AM34" i="5"/>
  <c r="AB9" i="5"/>
  <c r="AC9" i="5"/>
  <c r="AD9" i="5"/>
  <c r="AE9" i="5"/>
  <c r="AF9" i="5"/>
  <c r="AG9" i="5"/>
  <c r="AH9" i="5"/>
  <c r="AI9" i="5"/>
  <c r="AJ9" i="5"/>
  <c r="AK9" i="5"/>
  <c r="AB11" i="5"/>
  <c r="AB40" i="5" s="1"/>
  <c r="AC11" i="5"/>
  <c r="AC40" i="5" s="1"/>
  <c r="AD11" i="5"/>
  <c r="AD40" i="5" s="1"/>
  <c r="AE11" i="5"/>
  <c r="AE40" i="5" s="1"/>
  <c r="AF11" i="5"/>
  <c r="AF40" i="5" s="1"/>
  <c r="AG11" i="5"/>
  <c r="AG40" i="5" s="1"/>
  <c r="AH11" i="5"/>
  <c r="AH40" i="5" s="1"/>
  <c r="AI11" i="5"/>
  <c r="AI40" i="5" s="1"/>
  <c r="AJ11" i="5"/>
  <c r="AJ40" i="5" s="1"/>
  <c r="AK11" i="5"/>
  <c r="AK40" i="5" s="1"/>
  <c r="O11" i="5"/>
  <c r="P11" i="5"/>
  <c r="Q11" i="5"/>
  <c r="R11" i="5"/>
  <c r="S11" i="5"/>
  <c r="T11" i="5"/>
  <c r="U11" i="5"/>
  <c r="V11" i="5"/>
  <c r="W11" i="5"/>
  <c r="X11" i="5"/>
  <c r="Y11" i="5"/>
  <c r="N11" i="5"/>
  <c r="AB5" i="5"/>
  <c r="AB6" i="5" s="1"/>
  <c r="AC5" i="5"/>
  <c r="AC6" i="5" s="1"/>
  <c r="AD5" i="5"/>
  <c r="AD6" i="5" s="1"/>
  <c r="AE5" i="5"/>
  <c r="AE6" i="5" s="1"/>
  <c r="AF5" i="5"/>
  <c r="AF6" i="5" s="1"/>
  <c r="AG5" i="5"/>
  <c r="AG6" i="5" s="1"/>
  <c r="AH5" i="5"/>
  <c r="AH6" i="5" s="1"/>
  <c r="AI5" i="5"/>
  <c r="AI6" i="5" s="1"/>
  <c r="AJ5" i="5"/>
  <c r="AJ6" i="5" s="1"/>
  <c r="AK5" i="5"/>
  <c r="AK6" i="5" s="1"/>
  <c r="Y5" i="5"/>
  <c r="Y6" i="5" s="1"/>
  <c r="AI16" i="1" l="1"/>
  <c r="AJ16" i="1"/>
  <c r="AD16" i="1"/>
  <c r="AK16" i="1"/>
  <c r="AC16" i="1"/>
  <c r="AF16" i="1"/>
  <c r="AH16" i="1"/>
  <c r="AA16" i="1"/>
  <c r="Z16" i="1"/>
  <c r="AB16" i="1"/>
  <c r="AG16" i="1"/>
  <c r="AE16" i="1"/>
  <c r="AH23" i="1"/>
  <c r="AE23" i="1"/>
  <c r="AI23" i="1"/>
  <c r="AG23" i="1"/>
  <c r="AJ23" i="1"/>
  <c r="AC23" i="1"/>
  <c r="AD23" i="1"/>
  <c r="AK23" i="1"/>
  <c r="Z23" i="1"/>
  <c r="AF23" i="1"/>
  <c r="AA23" i="1"/>
  <c r="AB23" i="1"/>
  <c r="AN40" i="4"/>
  <c r="I21" i="16"/>
  <c r="AF16" i="4"/>
  <c r="AE16" i="4"/>
  <c r="AD16" i="4"/>
  <c r="AC16" i="4"/>
  <c r="AB16" i="4"/>
  <c r="AA16" i="4"/>
  <c r="Z16" i="4"/>
  <c r="AH16" i="4"/>
  <c r="AG16" i="4"/>
  <c r="AK16" i="4"/>
  <c r="AJ16" i="4"/>
  <c r="AI16" i="4"/>
  <c r="AA16" i="3"/>
  <c r="AB16" i="3"/>
  <c r="AC16" i="3"/>
  <c r="AD16" i="3"/>
  <c r="AE16" i="3"/>
  <c r="AF16" i="3"/>
  <c r="AG16" i="3"/>
  <c r="AH16" i="3"/>
  <c r="AI16" i="3"/>
  <c r="AJ16" i="3"/>
  <c r="AK16" i="3"/>
  <c r="Z16" i="3"/>
  <c r="AA23" i="3"/>
  <c r="Z23" i="3"/>
  <c r="AB23" i="3"/>
  <c r="AC23" i="3"/>
  <c r="AD23" i="3"/>
  <c r="AE23" i="3"/>
  <c r="AF23" i="3"/>
  <c r="AG23" i="3"/>
  <c r="AH23" i="3"/>
  <c r="AI23" i="3"/>
  <c r="AJ23" i="3"/>
  <c r="AK23" i="3"/>
  <c r="AK23" i="5"/>
  <c r="AJ23" i="5"/>
  <c r="AF23" i="5"/>
  <c r="AE23" i="5"/>
  <c r="AI23" i="5"/>
  <c r="AH23" i="5"/>
  <c r="AG23" i="5"/>
  <c r="Z23" i="5"/>
  <c r="AD23" i="5"/>
  <c r="AC23" i="5"/>
  <c r="AB23" i="5"/>
  <c r="AA23" i="5"/>
  <c r="AK16" i="5"/>
  <c r="AJ16" i="5"/>
  <c r="AI16" i="5"/>
  <c r="AG16" i="5"/>
  <c r="AF16" i="5"/>
  <c r="AE16" i="5"/>
  <c r="AH16" i="5"/>
  <c r="AD16" i="5"/>
  <c r="AC16" i="5"/>
  <c r="AB16" i="5"/>
  <c r="AA16" i="5"/>
  <c r="Z16" i="5"/>
  <c r="AC8" i="3"/>
  <c r="AD39" i="1"/>
  <c r="AA39" i="1"/>
  <c r="AE39" i="1"/>
  <c r="AB39" i="1"/>
  <c r="Z39" i="1"/>
  <c r="AK39" i="1"/>
  <c r="AJ39" i="1"/>
  <c r="AI39" i="1"/>
  <c r="AH39" i="1"/>
  <c r="AG39" i="1"/>
  <c r="AF39" i="1"/>
  <c r="AF39" i="3"/>
  <c r="AE39" i="3"/>
  <c r="AD39" i="3"/>
  <c r="AK39" i="3"/>
  <c r="AJ39" i="3"/>
  <c r="AI39" i="3"/>
  <c r="AH39" i="3"/>
  <c r="AG39" i="3"/>
  <c r="Z29" i="5"/>
  <c r="Z40" i="5" s="1"/>
  <c r="AN37" i="5"/>
  <c r="AA12" i="1"/>
  <c r="AA40" i="1"/>
  <c r="AJ38" i="1"/>
  <c r="AI38" i="1"/>
  <c r="AH38" i="1"/>
  <c r="AK12" i="1"/>
  <c r="AK40" i="1"/>
  <c r="AJ12" i="1"/>
  <c r="AJ40" i="1"/>
  <c r="AG38" i="1"/>
  <c r="AI12" i="1"/>
  <c r="AI40" i="1"/>
  <c r="AF38" i="1"/>
  <c r="AH12" i="1"/>
  <c r="AH40" i="1"/>
  <c r="AE38" i="1"/>
  <c r="AG12" i="1"/>
  <c r="AG40" i="1"/>
  <c r="AD38" i="1"/>
  <c r="AF12" i="1"/>
  <c r="AF40" i="1"/>
  <c r="AE12" i="1"/>
  <c r="AE40" i="1"/>
  <c r="AD12" i="1"/>
  <c r="AD40" i="1"/>
  <c r="AC12" i="1"/>
  <c r="AB12" i="1"/>
  <c r="AB40" i="1"/>
  <c r="AK38" i="1"/>
  <c r="AK38" i="3"/>
  <c r="AJ38" i="3"/>
  <c r="AI38" i="3"/>
  <c r="AH38" i="3"/>
  <c r="AG38" i="3"/>
  <c r="AF38" i="3"/>
  <c r="AE38" i="3"/>
  <c r="AD38" i="3"/>
  <c r="AK38" i="5"/>
  <c r="AG39" i="5"/>
  <c r="AN11" i="5"/>
  <c r="AJ38" i="5"/>
  <c r="AF39" i="5"/>
  <c r="AI38" i="5"/>
  <c r="AE39" i="5"/>
  <c r="AH38" i="5"/>
  <c r="AD39" i="5"/>
  <c r="AN5" i="5"/>
  <c r="AN6" i="5" s="1"/>
  <c r="AG38" i="5"/>
  <c r="AF38" i="5"/>
  <c r="AB39" i="5"/>
  <c r="AE38" i="5"/>
  <c r="AD38" i="5"/>
  <c r="AK39" i="5"/>
  <c r="Z8" i="5"/>
  <c r="AJ39" i="5"/>
  <c r="AI39" i="5"/>
  <c r="Z39" i="5"/>
  <c r="AN9" i="5"/>
  <c r="AH39" i="5"/>
  <c r="AN5" i="4"/>
  <c r="AN23" i="4"/>
  <c r="J19" i="16" s="1"/>
  <c r="AK10" i="1"/>
  <c r="AJ10" i="1"/>
  <c r="AI10" i="1"/>
  <c r="AH10" i="1"/>
  <c r="AG10" i="1"/>
  <c r="AF10" i="1"/>
  <c r="Z8" i="1"/>
  <c r="AN7" i="1"/>
  <c r="T6" i="16" s="1"/>
  <c r="AE10" i="1"/>
  <c r="AC10" i="1"/>
  <c r="Z10" i="1"/>
  <c r="AN9" i="1"/>
  <c r="AD10" i="1"/>
  <c r="AN11" i="1"/>
  <c r="AB10" i="1"/>
  <c r="AN5" i="1"/>
  <c r="AA10" i="1"/>
  <c r="AB8" i="1"/>
  <c r="AA10" i="3"/>
  <c r="AD10" i="3"/>
  <c r="AB10" i="3"/>
  <c r="AK10" i="3"/>
  <c r="AC10" i="3"/>
  <c r="AB8" i="3"/>
  <c r="AH10" i="3"/>
  <c r="AJ10" i="3"/>
  <c r="AI10" i="3"/>
  <c r="AG10" i="3"/>
  <c r="AF10" i="3"/>
  <c r="AE10" i="3"/>
  <c r="AN5" i="3"/>
  <c r="I4" i="16" s="1"/>
  <c r="AN11" i="3"/>
  <c r="AN9" i="3"/>
  <c r="I8" i="16" s="1"/>
  <c r="AN7" i="3"/>
  <c r="I6" i="16" s="1"/>
  <c r="AA38" i="5"/>
  <c r="AA39" i="5"/>
  <c r="Y10" i="1"/>
  <c r="Y10" i="3"/>
  <c r="AA8" i="5"/>
  <c r="AA8" i="3"/>
  <c r="Z8" i="3"/>
  <c r="Z10" i="4"/>
  <c r="Z8" i="4"/>
  <c r="Z10" i="3"/>
  <c r="Y8" i="3"/>
  <c r="Z10" i="5"/>
  <c r="AA10" i="5"/>
  <c r="Z12" i="5"/>
  <c r="AA12" i="5"/>
  <c r="AN6" i="1" l="1"/>
  <c r="T5" i="16" s="1"/>
  <c r="T4" i="16"/>
  <c r="AN6" i="3"/>
  <c r="I5" i="16" s="1"/>
  <c r="I15" i="16"/>
  <c r="AN6" i="4"/>
  <c r="AN23" i="5"/>
  <c r="AN16" i="1"/>
  <c r="U4" i="16" s="1"/>
  <c r="AN40" i="1"/>
  <c r="T10" i="16"/>
  <c r="AN39" i="1"/>
  <c r="T8" i="16"/>
  <c r="AN40" i="3"/>
  <c r="I10" i="16"/>
  <c r="Z38" i="5"/>
  <c r="AN16" i="4"/>
  <c r="J15" i="16" s="1"/>
  <c r="AN8" i="5"/>
  <c r="AN10" i="4"/>
  <c r="I20" i="16" s="1"/>
  <c r="AN10" i="5"/>
  <c r="AN16" i="5"/>
  <c r="U15" i="16" s="1"/>
  <c r="AN8" i="4"/>
  <c r="I18" i="16" s="1"/>
  <c r="AN10" i="1"/>
  <c r="T9" i="16" s="1"/>
  <c r="AN23" i="1"/>
  <c r="U8" i="16" s="1"/>
  <c r="AN8" i="1"/>
  <c r="T7" i="16" s="1"/>
  <c r="AN16" i="3"/>
  <c r="J4" i="16" s="1"/>
  <c r="AN23" i="3"/>
  <c r="J8" i="16" s="1"/>
  <c r="AN12" i="3"/>
  <c r="I11" i="16" s="1"/>
  <c r="AN8" i="3"/>
  <c r="I7" i="16" s="1"/>
  <c r="AN10" i="3"/>
  <c r="I9" i="16" s="1"/>
  <c r="AC29" i="5" l="1"/>
  <c r="AC39" i="5" l="1"/>
  <c r="AC38" i="5"/>
  <c r="AB29" i="5"/>
  <c r="AI29" i="4"/>
  <c r="AA29" i="1"/>
  <c r="AA38" i="1" s="1"/>
  <c r="AJ29" i="4"/>
  <c r="AH29" i="4"/>
  <c r="AF29" i="5"/>
  <c r="AK29" i="1"/>
  <c r="AB29" i="1"/>
  <c r="AB38" i="1" s="1"/>
  <c r="AF29" i="4"/>
  <c r="AD29" i="1"/>
  <c r="AC29" i="1"/>
  <c r="AC38" i="1" s="1"/>
  <c r="AG29" i="1"/>
  <c r="AJ29" i="5"/>
  <c r="AB29" i="4"/>
  <c r="AB38" i="4" s="1"/>
  <c r="AG29" i="4"/>
  <c r="AJ29" i="1"/>
  <c r="AK29" i="4"/>
  <c r="AI29" i="5"/>
  <c r="AG29" i="5"/>
  <c r="Z29" i="1"/>
  <c r="AF29" i="1"/>
  <c r="AA29" i="4"/>
  <c r="AK29" i="5"/>
  <c r="AH29" i="5"/>
  <c r="AE29" i="1"/>
  <c r="Z29" i="4"/>
  <c r="AD29" i="4"/>
  <c r="AC29" i="4"/>
  <c r="AE29" i="4"/>
  <c r="AH29" i="1"/>
  <c r="AE29" i="5"/>
  <c r="AD29" i="5"/>
  <c r="AI29" i="1"/>
  <c r="AJ29" i="3"/>
  <c r="AE29" i="3"/>
  <c r="AA29" i="3"/>
  <c r="AD29" i="3"/>
  <c r="AK29" i="3"/>
  <c r="AC29" i="3"/>
  <c r="AC39" i="3" s="1"/>
  <c r="AG29" i="3"/>
  <c r="AH29" i="3"/>
  <c r="AB29" i="3"/>
  <c r="AB39" i="3" s="1"/>
  <c r="AF29" i="3"/>
  <c r="AI29" i="3"/>
  <c r="Z29" i="3"/>
  <c r="AC38" i="4" l="1"/>
  <c r="AC39" i="4"/>
  <c r="AA38" i="4"/>
  <c r="AA39" i="4"/>
  <c r="Z39" i="4"/>
  <c r="Z38" i="4"/>
  <c r="AN29" i="1"/>
  <c r="AN38" i="1" s="1"/>
  <c r="Z38" i="1"/>
  <c r="AB38" i="5"/>
  <c r="AN29" i="5"/>
  <c r="AN29" i="4"/>
  <c r="AA39" i="3"/>
  <c r="AN29" i="3"/>
  <c r="N7" i="3"/>
  <c r="N8" i="3" s="1"/>
  <c r="O7" i="3"/>
  <c r="N5" i="1"/>
  <c r="N6" i="1" s="1"/>
  <c r="AN39" i="4" l="1"/>
  <c r="AN38" i="4"/>
  <c r="AN39" i="5"/>
  <c r="AN38" i="5"/>
  <c r="AN40" i="5"/>
  <c r="AN39" i="3"/>
  <c r="AN38" i="3"/>
  <c r="Y8" i="1"/>
  <c r="P10" i="4"/>
  <c r="R10" i="4"/>
  <c r="T10" i="4"/>
  <c r="W10" i="4"/>
  <c r="X10" i="4"/>
  <c r="Y10" i="4"/>
  <c r="P8" i="4"/>
  <c r="T5" i="3"/>
  <c r="T6" i="3" s="1"/>
  <c r="U5" i="3"/>
  <c r="U6" i="3" s="1"/>
  <c r="V5" i="3"/>
  <c r="V6" i="3" s="1"/>
  <c r="W5" i="3"/>
  <c r="W6" i="3" s="1"/>
  <c r="X5" i="3"/>
  <c r="X6" i="3" s="1"/>
  <c r="N9" i="3"/>
  <c r="N11" i="3"/>
  <c r="O5" i="5"/>
  <c r="O6" i="5" s="1"/>
  <c r="P5" i="5"/>
  <c r="P6" i="5" s="1"/>
  <c r="Q5" i="5"/>
  <c r="Q6" i="5" s="1"/>
  <c r="R5" i="5"/>
  <c r="R6" i="5" s="1"/>
  <c r="S5" i="5"/>
  <c r="S6" i="5" s="1"/>
  <c r="T5" i="5"/>
  <c r="T6" i="5" s="1"/>
  <c r="V5" i="5"/>
  <c r="V6" i="5" s="1"/>
  <c r="W5" i="5"/>
  <c r="W6" i="5" s="1"/>
  <c r="X5" i="5"/>
  <c r="X6" i="5" s="1"/>
  <c r="O8" i="5"/>
  <c r="U8" i="5"/>
  <c r="Y8" i="5"/>
  <c r="AB8" i="5"/>
  <c r="AC8" i="5"/>
  <c r="AD8" i="5"/>
  <c r="AE8" i="5"/>
  <c r="AF8" i="5"/>
  <c r="AG8" i="5"/>
  <c r="AH8" i="5"/>
  <c r="AI8" i="5"/>
  <c r="AJ8" i="5"/>
  <c r="AK8" i="5"/>
  <c r="O9" i="5"/>
  <c r="O10" i="5" s="1"/>
  <c r="P9" i="5"/>
  <c r="P10" i="5" s="1"/>
  <c r="Q9" i="5"/>
  <c r="R9" i="5"/>
  <c r="R10" i="5" s="1"/>
  <c r="S9" i="5"/>
  <c r="S10" i="5" s="1"/>
  <c r="T9" i="5"/>
  <c r="U9" i="5"/>
  <c r="U10" i="5" s="1"/>
  <c r="V9" i="5"/>
  <c r="V10" i="5" s="1"/>
  <c r="W9" i="5"/>
  <c r="W10" i="5" s="1"/>
  <c r="X9" i="5"/>
  <c r="Y10" i="5"/>
  <c r="AB10" i="5"/>
  <c r="AC10" i="5"/>
  <c r="AD10" i="5"/>
  <c r="AE10" i="5"/>
  <c r="AF10" i="5"/>
  <c r="AG10" i="5"/>
  <c r="AH10" i="5"/>
  <c r="AI10" i="5"/>
  <c r="AJ10" i="5"/>
  <c r="AK10" i="5"/>
  <c r="N9" i="5"/>
  <c r="N5" i="5"/>
  <c r="N6" i="5" s="1"/>
  <c r="O5" i="4"/>
  <c r="Q5" i="4"/>
  <c r="T5" i="4"/>
  <c r="T6" i="4" s="1"/>
  <c r="U5" i="4"/>
  <c r="U6" i="4" s="1"/>
  <c r="V5" i="4"/>
  <c r="V6" i="4" s="1"/>
  <c r="W5" i="4"/>
  <c r="W6" i="4" s="1"/>
  <c r="X5" i="4"/>
  <c r="X6" i="4" s="1"/>
  <c r="Y8" i="4"/>
  <c r="N7" i="4"/>
  <c r="N5" i="4"/>
  <c r="N6" i="4" s="1"/>
  <c r="O5" i="1"/>
  <c r="O6" i="1" s="1"/>
  <c r="P5" i="1"/>
  <c r="P6" i="1" s="1"/>
  <c r="Q5" i="1"/>
  <c r="Q6" i="1" s="1"/>
  <c r="R5" i="1"/>
  <c r="R6" i="1" s="1"/>
  <c r="S5" i="1"/>
  <c r="S6" i="1" s="1"/>
  <c r="T5" i="1"/>
  <c r="T6" i="1" s="1"/>
  <c r="U5" i="1"/>
  <c r="U6" i="1" s="1"/>
  <c r="V5" i="1"/>
  <c r="V6" i="1" s="1"/>
  <c r="W5" i="1"/>
  <c r="W6" i="1" s="1"/>
  <c r="X5" i="1"/>
  <c r="X6" i="1" s="1"/>
  <c r="O7" i="1"/>
  <c r="O8" i="1" s="1"/>
  <c r="P7" i="1"/>
  <c r="Q7" i="1"/>
  <c r="R7" i="1"/>
  <c r="R8" i="1" s="1"/>
  <c r="S7" i="1"/>
  <c r="S8" i="1" s="1"/>
  <c r="T7" i="1"/>
  <c r="T8" i="1" s="1"/>
  <c r="U7" i="1"/>
  <c r="V7" i="1"/>
  <c r="V8" i="1" s="1"/>
  <c r="W7" i="1"/>
  <c r="X7" i="1"/>
  <c r="X8" i="1" s="1"/>
  <c r="O9" i="1"/>
  <c r="O10" i="1" s="1"/>
  <c r="P9" i="1"/>
  <c r="Q9" i="1"/>
  <c r="Q10" i="1" s="1"/>
  <c r="R9" i="1"/>
  <c r="S9" i="1"/>
  <c r="S10" i="1" s="1"/>
  <c r="T9" i="1"/>
  <c r="T10" i="1" s="1"/>
  <c r="U9" i="1"/>
  <c r="U10" i="1" s="1"/>
  <c r="V9" i="1"/>
  <c r="V10" i="1" s="1"/>
  <c r="W9" i="1"/>
  <c r="W10" i="1" s="1"/>
  <c r="X9" i="1"/>
  <c r="O11" i="1"/>
  <c r="P11" i="1"/>
  <c r="Q11" i="1"/>
  <c r="R11" i="1"/>
  <c r="S11" i="1"/>
  <c r="T11" i="1"/>
  <c r="U11" i="1"/>
  <c r="V11" i="1"/>
  <c r="W11" i="1"/>
  <c r="X11" i="1"/>
  <c r="N11" i="1"/>
  <c r="N9" i="1"/>
  <c r="N7" i="1"/>
  <c r="O11" i="3"/>
  <c r="P11" i="3"/>
  <c r="Q11" i="3"/>
  <c r="R11" i="3"/>
  <c r="S11" i="3"/>
  <c r="T11" i="3"/>
  <c r="U11" i="3"/>
  <c r="V11" i="3"/>
  <c r="W11" i="3"/>
  <c r="X11" i="3"/>
  <c r="Z40" i="3"/>
  <c r="O9" i="3"/>
  <c r="P9" i="3"/>
  <c r="Q9" i="3"/>
  <c r="R9" i="3"/>
  <c r="S9" i="3"/>
  <c r="T9" i="3"/>
  <c r="U9" i="3"/>
  <c r="V9" i="3"/>
  <c r="W9" i="3"/>
  <c r="X9" i="3"/>
  <c r="Z39" i="3"/>
  <c r="V17" i="5"/>
  <c r="O10" i="4" l="1"/>
  <c r="O6" i="4"/>
  <c r="Q8" i="4"/>
  <c r="Q6" i="4"/>
  <c r="W8" i="5"/>
  <c r="X10" i="5"/>
  <c r="X10" i="1"/>
  <c r="R10" i="1"/>
  <c r="W8" i="1"/>
  <c r="Q8" i="1"/>
  <c r="T8" i="5"/>
  <c r="AM5" i="1"/>
  <c r="AM6" i="1" s="1"/>
  <c r="P8" i="1"/>
  <c r="P10" i="1"/>
  <c r="U8" i="1"/>
  <c r="P8" i="5"/>
  <c r="V10" i="4"/>
  <c r="U10" i="4"/>
  <c r="V8" i="5"/>
  <c r="Q10" i="5"/>
  <c r="AM11" i="1"/>
  <c r="AM9" i="1"/>
  <c r="AM11" i="3"/>
  <c r="AM9" i="3"/>
  <c r="X8" i="5"/>
  <c r="S8" i="5"/>
  <c r="R8" i="5"/>
  <c r="Q8" i="5"/>
  <c r="S8" i="4"/>
  <c r="V8" i="4"/>
  <c r="U8" i="4"/>
  <c r="T8" i="4"/>
  <c r="AM9" i="4"/>
  <c r="AM11" i="4"/>
  <c r="W8" i="4"/>
  <c r="S10" i="4"/>
  <c r="Q10" i="4"/>
  <c r="AM5" i="4"/>
  <c r="AM6" i="4" s="1"/>
  <c r="T10" i="5"/>
  <c r="O8" i="4"/>
  <c r="X8" i="4"/>
  <c r="AM7" i="1"/>
  <c r="AM7" i="4"/>
  <c r="R8" i="4"/>
  <c r="N10" i="3"/>
  <c r="AM5" i="3"/>
  <c r="AM6" i="3" s="1"/>
  <c r="AM12" i="3" l="1"/>
  <c r="AM10" i="3"/>
  <c r="X58" i="1"/>
  <c r="AL5" i="3"/>
  <c r="AL16" i="3" s="1"/>
  <c r="O10" i="3"/>
  <c r="P10" i="3"/>
  <c r="S10" i="3"/>
  <c r="T10" i="3"/>
  <c r="U10" i="3"/>
  <c r="V10" i="3"/>
  <c r="W10" i="3"/>
  <c r="X10" i="3"/>
  <c r="AL9" i="3"/>
  <c r="Q10" i="3"/>
  <c r="O12" i="3"/>
  <c r="P12" i="3"/>
  <c r="Q12" i="3"/>
  <c r="R12" i="3"/>
  <c r="S12" i="3"/>
  <c r="T12" i="3"/>
  <c r="U12" i="3"/>
  <c r="V12" i="3"/>
  <c r="W12" i="3"/>
  <c r="X12" i="3"/>
  <c r="Y12" i="3"/>
  <c r="AA12" i="3"/>
  <c r="AB12" i="3"/>
  <c r="AC12" i="3"/>
  <c r="AD12" i="3"/>
  <c r="AE12" i="3"/>
  <c r="AF12" i="3"/>
  <c r="AG12" i="3"/>
  <c r="AH12" i="3"/>
  <c r="AI12" i="3"/>
  <c r="AJ12" i="3"/>
  <c r="AK12" i="3"/>
  <c r="AL11" i="3"/>
  <c r="Z12" i="3"/>
  <c r="AM4" i="5"/>
  <c r="X12" i="5"/>
  <c r="Y12" i="5"/>
  <c r="AB12" i="5"/>
  <c r="AC12" i="5"/>
  <c r="AD12" i="5"/>
  <c r="AE12" i="5"/>
  <c r="AF12" i="5"/>
  <c r="AG12" i="5"/>
  <c r="AH12" i="5"/>
  <c r="AJ12" i="5"/>
  <c r="AK12" i="5"/>
  <c r="AI12" i="5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X12" i="1"/>
  <c r="Y12" i="1"/>
  <c r="Z12" i="1"/>
  <c r="AL12" i="3" l="1"/>
  <c r="AL10" i="3"/>
  <c r="R10" i="3"/>
  <c r="AM11" i="5"/>
  <c r="AM12" i="5" s="1"/>
  <c r="AM9" i="5"/>
  <c r="AM5" i="5"/>
  <c r="AM6" i="5" s="1"/>
  <c r="M8" i="1" l="1"/>
  <c r="AL45" i="3"/>
  <c r="T29" i="3" l="1"/>
  <c r="U29" i="3"/>
  <c r="U39" i="3" s="1"/>
  <c r="N29" i="3"/>
  <c r="AC38" i="3" s="1"/>
  <c r="F34" i="7"/>
  <c r="AL4" i="3"/>
  <c r="AM37" i="5"/>
  <c r="AM36" i="5"/>
  <c r="AM35" i="5"/>
  <c r="AM33" i="5"/>
  <c r="AM32" i="5"/>
  <c r="AM31" i="5"/>
  <c r="AM30" i="5"/>
  <c r="Y40" i="5"/>
  <c r="X40" i="5"/>
  <c r="W40" i="5"/>
  <c r="V40" i="5"/>
  <c r="U40" i="5"/>
  <c r="T40" i="5"/>
  <c r="W39" i="5"/>
  <c r="S40" i="5"/>
  <c r="S39" i="5"/>
  <c r="Y29" i="5"/>
  <c r="Y39" i="5" s="1"/>
  <c r="X29" i="5"/>
  <c r="X39" i="5" s="1"/>
  <c r="W29" i="5"/>
  <c r="W38" i="5" s="1"/>
  <c r="V29" i="5"/>
  <c r="U29" i="5"/>
  <c r="T29" i="5"/>
  <c r="T38" i="5" s="1"/>
  <c r="Y40" i="4"/>
  <c r="X40" i="4"/>
  <c r="T40" i="4"/>
  <c r="X39" i="4"/>
  <c r="W39" i="4"/>
  <c r="V39" i="4"/>
  <c r="U39" i="4"/>
  <c r="T39" i="4"/>
  <c r="R40" i="4"/>
  <c r="AM37" i="4"/>
  <c r="AM36" i="4"/>
  <c r="AM35" i="4"/>
  <c r="AM33" i="4"/>
  <c r="AM32" i="4"/>
  <c r="AM31" i="4"/>
  <c r="AM30" i="4"/>
  <c r="Y29" i="4"/>
  <c r="X29" i="4"/>
  <c r="X38" i="4" s="1"/>
  <c r="W29" i="4"/>
  <c r="V29" i="4"/>
  <c r="U29" i="4"/>
  <c r="T29" i="4"/>
  <c r="AM30" i="1"/>
  <c r="AM37" i="1"/>
  <c r="AM36" i="1"/>
  <c r="AM35" i="1"/>
  <c r="AM33" i="1"/>
  <c r="AM32" i="1"/>
  <c r="AM31" i="1"/>
  <c r="Y40" i="1"/>
  <c r="X40" i="1"/>
  <c r="W40" i="1"/>
  <c r="U40" i="1"/>
  <c r="U39" i="1"/>
  <c r="T39" i="1"/>
  <c r="S40" i="1"/>
  <c r="S40" i="3"/>
  <c r="Y40" i="3"/>
  <c r="W40" i="3"/>
  <c r="U40" i="3"/>
  <c r="Y29" i="1"/>
  <c r="Y39" i="1" s="1"/>
  <c r="X29" i="1"/>
  <c r="X39" i="1" s="1"/>
  <c r="W29" i="1"/>
  <c r="V29" i="1"/>
  <c r="U29" i="1"/>
  <c r="U38" i="1" s="1"/>
  <c r="T29" i="1"/>
  <c r="AM37" i="3"/>
  <c r="AM36" i="3"/>
  <c r="AM35" i="3"/>
  <c r="AM33" i="3"/>
  <c r="AM32" i="3"/>
  <c r="AM31" i="3"/>
  <c r="X29" i="3"/>
  <c r="W29" i="3"/>
  <c r="W39" i="3" s="1"/>
  <c r="V29" i="3"/>
  <c r="R40" i="5"/>
  <c r="Q40" i="5"/>
  <c r="P40" i="5"/>
  <c r="O40" i="5"/>
  <c r="N40" i="5"/>
  <c r="R39" i="5"/>
  <c r="P39" i="5"/>
  <c r="O39" i="5"/>
  <c r="N39" i="5"/>
  <c r="Q40" i="4"/>
  <c r="P40" i="4"/>
  <c r="O40" i="4"/>
  <c r="N40" i="4"/>
  <c r="R40" i="1"/>
  <c r="Q40" i="1"/>
  <c r="P40" i="1"/>
  <c r="O40" i="1"/>
  <c r="R38" i="1"/>
  <c r="O40" i="3"/>
  <c r="Q40" i="3"/>
  <c r="R40" i="3"/>
  <c r="N40" i="3"/>
  <c r="I3" i="8"/>
  <c r="H3" i="8"/>
  <c r="B3" i="8"/>
  <c r="C3" i="8"/>
  <c r="D3" i="8"/>
  <c r="E3" i="8"/>
  <c r="F3" i="8"/>
  <c r="G3" i="8"/>
  <c r="F21" i="11"/>
  <c r="F20" i="11"/>
  <c r="F19" i="11"/>
  <c r="F18" i="11"/>
  <c r="H4" i="10"/>
  <c r="D4" i="10"/>
  <c r="I4" i="9"/>
  <c r="H4" i="9"/>
  <c r="G4" i="9"/>
  <c r="F22" i="8"/>
  <c r="F21" i="8"/>
  <c r="F19" i="8"/>
  <c r="E22" i="8"/>
  <c r="E21" i="8"/>
  <c r="E19" i="8"/>
  <c r="F20" i="8"/>
  <c r="E20" i="8"/>
  <c r="E4" i="8"/>
  <c r="I4" i="8"/>
  <c r="H4" i="8"/>
  <c r="D4" i="8"/>
  <c r="S29" i="5"/>
  <c r="S38" i="5" s="1"/>
  <c r="R29" i="5"/>
  <c r="R38" i="5" s="1"/>
  <c r="Q29" i="5"/>
  <c r="Q39" i="5" s="1"/>
  <c r="P29" i="5"/>
  <c r="P38" i="5" s="1"/>
  <c r="O29" i="5"/>
  <c r="O38" i="5" s="1"/>
  <c r="N29" i="5"/>
  <c r="N38" i="5" s="1"/>
  <c r="S29" i="4"/>
  <c r="S39" i="4" s="1"/>
  <c r="R29" i="4"/>
  <c r="R39" i="4" s="1"/>
  <c r="Q29" i="4"/>
  <c r="P29" i="4"/>
  <c r="P38" i="4" s="1"/>
  <c r="O29" i="4"/>
  <c r="N29" i="4"/>
  <c r="S29" i="1"/>
  <c r="R29" i="1"/>
  <c r="R39" i="1" s="1"/>
  <c r="Q29" i="1"/>
  <c r="Q39" i="1" s="1"/>
  <c r="P29" i="1"/>
  <c r="O29" i="1"/>
  <c r="O39" i="1" s="1"/>
  <c r="N29" i="1"/>
  <c r="S29" i="3"/>
  <c r="R29" i="3"/>
  <c r="R38" i="3" s="1"/>
  <c r="Q29" i="3"/>
  <c r="Q38" i="3" s="1"/>
  <c r="P29" i="3"/>
  <c r="P38" i="3" s="1"/>
  <c r="O29" i="3"/>
  <c r="G2" i="11"/>
  <c r="G2" i="10"/>
  <c r="G2" i="9"/>
  <c r="I2" i="9" s="1"/>
  <c r="G2" i="8"/>
  <c r="J21" i="11"/>
  <c r="J20" i="11"/>
  <c r="J19" i="11"/>
  <c r="J18" i="11"/>
  <c r="I21" i="11"/>
  <c r="I20" i="11"/>
  <c r="I19" i="11"/>
  <c r="I18" i="11"/>
  <c r="J20" i="10"/>
  <c r="J19" i="10"/>
  <c r="I20" i="10"/>
  <c r="I19" i="10"/>
  <c r="I19" i="9"/>
  <c r="I22" i="8"/>
  <c r="I21" i="8"/>
  <c r="I20" i="8"/>
  <c r="I19" i="8"/>
  <c r="J19" i="9"/>
  <c r="J22" i="8"/>
  <c r="J21" i="8"/>
  <c r="J20" i="8"/>
  <c r="J19" i="8"/>
  <c r="F2" i="11"/>
  <c r="I2" i="11" s="1"/>
  <c r="E8" i="10"/>
  <c r="F2" i="9"/>
  <c r="F2" i="10"/>
  <c r="F3" i="9"/>
  <c r="E19" i="9"/>
  <c r="F19" i="9"/>
  <c r="E21" i="11"/>
  <c r="E20" i="11"/>
  <c r="E19" i="11"/>
  <c r="E18" i="11"/>
  <c r="I15" i="11"/>
  <c r="H15" i="11"/>
  <c r="E15" i="11"/>
  <c r="D15" i="11"/>
  <c r="I14" i="11"/>
  <c r="H14" i="11"/>
  <c r="E14" i="11"/>
  <c r="D14" i="11"/>
  <c r="I13" i="11"/>
  <c r="H13" i="11"/>
  <c r="E13" i="11"/>
  <c r="D13" i="11"/>
  <c r="I12" i="11"/>
  <c r="H12" i="11"/>
  <c r="E12" i="11"/>
  <c r="D12" i="11"/>
  <c r="I11" i="11"/>
  <c r="H11" i="11"/>
  <c r="E11" i="11"/>
  <c r="D11" i="11"/>
  <c r="I10" i="11"/>
  <c r="H10" i="11"/>
  <c r="E10" i="11"/>
  <c r="D10" i="11"/>
  <c r="I9" i="11"/>
  <c r="H9" i="11"/>
  <c r="E9" i="11"/>
  <c r="D9" i="11"/>
  <c r="I8" i="11"/>
  <c r="H8" i="11"/>
  <c r="E8" i="11"/>
  <c r="D8" i="11"/>
  <c r="I7" i="11"/>
  <c r="H7" i="11"/>
  <c r="E7" i="11"/>
  <c r="D7" i="11"/>
  <c r="I6" i="11"/>
  <c r="H6" i="11"/>
  <c r="E6" i="11"/>
  <c r="D6" i="11"/>
  <c r="I5" i="11"/>
  <c r="H5" i="11"/>
  <c r="E5" i="11"/>
  <c r="D5" i="11"/>
  <c r="I4" i="11"/>
  <c r="H4" i="11"/>
  <c r="E4" i="11"/>
  <c r="D4" i="11"/>
  <c r="I3" i="11"/>
  <c r="G3" i="11"/>
  <c r="H2" i="11"/>
  <c r="H3" i="11" s="1"/>
  <c r="F3" i="11"/>
  <c r="C2" i="11"/>
  <c r="B2" i="11"/>
  <c r="B3" i="11" s="1"/>
  <c r="F20" i="10"/>
  <c r="E20" i="10"/>
  <c r="F19" i="10"/>
  <c r="E19" i="10"/>
  <c r="I16" i="10"/>
  <c r="H16" i="10"/>
  <c r="E16" i="10"/>
  <c r="D16" i="10"/>
  <c r="I15" i="10"/>
  <c r="H15" i="10"/>
  <c r="E15" i="10"/>
  <c r="D15" i="10"/>
  <c r="I14" i="10"/>
  <c r="H14" i="10"/>
  <c r="E14" i="10"/>
  <c r="D14" i="10"/>
  <c r="I13" i="10"/>
  <c r="H13" i="10"/>
  <c r="E13" i="10"/>
  <c r="D13" i="10"/>
  <c r="I12" i="10"/>
  <c r="H12" i="10"/>
  <c r="E12" i="10"/>
  <c r="D12" i="10"/>
  <c r="I11" i="10"/>
  <c r="H11" i="10"/>
  <c r="E11" i="10"/>
  <c r="D11" i="10"/>
  <c r="I10" i="10"/>
  <c r="H10" i="10"/>
  <c r="E10" i="10"/>
  <c r="D10" i="10"/>
  <c r="I9" i="10"/>
  <c r="H9" i="10"/>
  <c r="E9" i="10"/>
  <c r="D9" i="10"/>
  <c r="I8" i="10"/>
  <c r="H8" i="10"/>
  <c r="D8" i="10"/>
  <c r="I7" i="10"/>
  <c r="H7" i="10"/>
  <c r="E7" i="10"/>
  <c r="D7" i="10"/>
  <c r="I6" i="10"/>
  <c r="H6" i="10"/>
  <c r="E6" i="10"/>
  <c r="D6" i="10"/>
  <c r="I5" i="10"/>
  <c r="H5" i="10"/>
  <c r="E5" i="10"/>
  <c r="D5" i="10"/>
  <c r="G3" i="10"/>
  <c r="F3" i="10"/>
  <c r="C2" i="10"/>
  <c r="H2" i="10" s="1"/>
  <c r="H3" i="10" s="1"/>
  <c r="B2" i="10"/>
  <c r="B3" i="10" s="1"/>
  <c r="I16" i="9"/>
  <c r="H16" i="9"/>
  <c r="E16" i="9"/>
  <c r="D16" i="9"/>
  <c r="I15" i="9"/>
  <c r="H15" i="9"/>
  <c r="E15" i="9"/>
  <c r="D15" i="9"/>
  <c r="I14" i="9"/>
  <c r="H14" i="9"/>
  <c r="E14" i="9"/>
  <c r="D14" i="9"/>
  <c r="I13" i="9"/>
  <c r="H13" i="9"/>
  <c r="E13" i="9"/>
  <c r="D13" i="9"/>
  <c r="I12" i="9"/>
  <c r="H12" i="9"/>
  <c r="E12" i="9"/>
  <c r="D12" i="9"/>
  <c r="I11" i="9"/>
  <c r="H11" i="9"/>
  <c r="E11" i="9"/>
  <c r="D11" i="9"/>
  <c r="I10" i="9"/>
  <c r="H10" i="9"/>
  <c r="E10" i="9"/>
  <c r="D10" i="9"/>
  <c r="I9" i="9"/>
  <c r="H9" i="9"/>
  <c r="E9" i="9"/>
  <c r="D9" i="9"/>
  <c r="I8" i="9"/>
  <c r="H8" i="9"/>
  <c r="E8" i="9"/>
  <c r="D8" i="9"/>
  <c r="I7" i="9"/>
  <c r="H7" i="9"/>
  <c r="E7" i="9"/>
  <c r="D7" i="9"/>
  <c r="I6" i="9"/>
  <c r="H6" i="9"/>
  <c r="E6" i="9"/>
  <c r="D6" i="9"/>
  <c r="I5" i="9"/>
  <c r="H5" i="9"/>
  <c r="E5" i="9"/>
  <c r="D5" i="9"/>
  <c r="I3" i="9"/>
  <c r="G3" i="9"/>
  <c r="H2" i="9"/>
  <c r="H3" i="9" s="1"/>
  <c r="C2" i="9"/>
  <c r="B2" i="9"/>
  <c r="B3" i="9" s="1"/>
  <c r="F2" i="8"/>
  <c r="C2" i="8"/>
  <c r="B2" i="8"/>
  <c r="I16" i="8"/>
  <c r="I15" i="8"/>
  <c r="I14" i="8"/>
  <c r="I13" i="8"/>
  <c r="I12" i="8"/>
  <c r="I11" i="8"/>
  <c r="I10" i="8"/>
  <c r="I9" i="8"/>
  <c r="I8" i="8"/>
  <c r="I7" i="8"/>
  <c r="I6" i="8"/>
  <c r="I5" i="8"/>
  <c r="E2" i="8"/>
  <c r="H16" i="8"/>
  <c r="H15" i="8"/>
  <c r="H14" i="8"/>
  <c r="H13" i="8"/>
  <c r="H12" i="8"/>
  <c r="H11" i="8"/>
  <c r="H10" i="8"/>
  <c r="H9" i="8"/>
  <c r="H8" i="8"/>
  <c r="H7" i="8"/>
  <c r="H6" i="8"/>
  <c r="H2" i="8"/>
  <c r="H5" i="8"/>
  <c r="E16" i="8"/>
  <c r="E15" i="8"/>
  <c r="E14" i="8"/>
  <c r="E13" i="8"/>
  <c r="E12" i="8"/>
  <c r="E11" i="8"/>
  <c r="E10" i="8"/>
  <c r="E9" i="8"/>
  <c r="E8" i="8"/>
  <c r="E7" i="8"/>
  <c r="E6" i="8"/>
  <c r="E5" i="8"/>
  <c r="D2" i="8"/>
  <c r="D16" i="8"/>
  <c r="D15" i="8"/>
  <c r="D14" i="8"/>
  <c r="D13" i="8"/>
  <c r="D12" i="8"/>
  <c r="D11" i="8"/>
  <c r="D10" i="8"/>
  <c r="D9" i="8"/>
  <c r="D8" i="8"/>
  <c r="D7" i="8"/>
  <c r="D5" i="8"/>
  <c r="D6" i="8"/>
  <c r="Y58" i="5"/>
  <c r="X58" i="5"/>
  <c r="W58" i="5"/>
  <c r="V58" i="5"/>
  <c r="U58" i="5"/>
  <c r="T58" i="5"/>
  <c r="S58" i="5"/>
  <c r="R58" i="5"/>
  <c r="Q58" i="5"/>
  <c r="P58" i="5"/>
  <c r="O58" i="5"/>
  <c r="Y58" i="4"/>
  <c r="X58" i="4"/>
  <c r="W58" i="4"/>
  <c r="V58" i="4"/>
  <c r="U58" i="4"/>
  <c r="T58" i="4"/>
  <c r="S58" i="4"/>
  <c r="R58" i="4"/>
  <c r="Q58" i="4"/>
  <c r="P58" i="4"/>
  <c r="O58" i="4"/>
  <c r="Y58" i="3"/>
  <c r="X58" i="3"/>
  <c r="W58" i="3"/>
  <c r="V58" i="3"/>
  <c r="U58" i="3"/>
  <c r="T58" i="3"/>
  <c r="S58" i="3"/>
  <c r="R58" i="3"/>
  <c r="Q58" i="3"/>
  <c r="P58" i="3"/>
  <c r="O58" i="3"/>
  <c r="Y58" i="1"/>
  <c r="W58" i="1"/>
  <c r="V58" i="1"/>
  <c r="U58" i="1"/>
  <c r="T58" i="1"/>
  <c r="S58" i="1"/>
  <c r="R58" i="1"/>
  <c r="Q58" i="1"/>
  <c r="P58" i="1"/>
  <c r="O58" i="1"/>
  <c r="M10" i="1"/>
  <c r="W12" i="1"/>
  <c r="V12" i="1"/>
  <c r="U12" i="1"/>
  <c r="T12" i="1"/>
  <c r="S12" i="1"/>
  <c r="R12" i="1"/>
  <c r="Q12" i="1"/>
  <c r="P12" i="1"/>
  <c r="O12" i="1"/>
  <c r="N12" i="1"/>
  <c r="N12" i="3"/>
  <c r="W12" i="4"/>
  <c r="V12" i="4"/>
  <c r="U12" i="4"/>
  <c r="T12" i="4"/>
  <c r="S12" i="4"/>
  <c r="R12" i="4"/>
  <c r="Q12" i="4"/>
  <c r="P12" i="4"/>
  <c r="O12" i="4"/>
  <c r="N12" i="4"/>
  <c r="M8" i="3"/>
  <c r="L8" i="3"/>
  <c r="K8" i="3"/>
  <c r="J8" i="3"/>
  <c r="I8" i="3"/>
  <c r="G8" i="3"/>
  <c r="N10" i="1"/>
  <c r="N8" i="1"/>
  <c r="L8" i="1"/>
  <c r="K8" i="1"/>
  <c r="J8" i="1"/>
  <c r="I8" i="1"/>
  <c r="H8" i="1"/>
  <c r="G8" i="1"/>
  <c r="N8" i="4"/>
  <c r="M8" i="4"/>
  <c r="L8" i="4"/>
  <c r="K8" i="4"/>
  <c r="J8" i="4"/>
  <c r="I8" i="4"/>
  <c r="H8" i="4"/>
  <c r="G8" i="4"/>
  <c r="F8" i="4"/>
  <c r="E8" i="4"/>
  <c r="D8" i="4"/>
  <c r="N10" i="4"/>
  <c r="M8" i="5"/>
  <c r="L8" i="5"/>
  <c r="K8" i="5"/>
  <c r="J8" i="5"/>
  <c r="I8" i="5"/>
  <c r="H8" i="5"/>
  <c r="G8" i="5"/>
  <c r="F8" i="5"/>
  <c r="E8" i="5"/>
  <c r="N12" i="5"/>
  <c r="O12" i="5"/>
  <c r="P12" i="5"/>
  <c r="Q12" i="5"/>
  <c r="R12" i="5"/>
  <c r="S12" i="5"/>
  <c r="T12" i="5"/>
  <c r="U12" i="5"/>
  <c r="V12" i="5"/>
  <c r="W12" i="5"/>
  <c r="N10" i="5"/>
  <c r="N8" i="5"/>
  <c r="X38" i="3" l="1"/>
  <c r="AB38" i="3"/>
  <c r="AA38" i="3"/>
  <c r="Y38" i="3"/>
  <c r="Y38" i="5"/>
  <c r="T38" i="3"/>
  <c r="Z38" i="3"/>
  <c r="Y38" i="1"/>
  <c r="Y38" i="4"/>
  <c r="Y39" i="4"/>
  <c r="X40" i="3"/>
  <c r="X39" i="3"/>
  <c r="X38" i="1"/>
  <c r="X38" i="5"/>
  <c r="T39" i="5"/>
  <c r="W38" i="3"/>
  <c r="N39" i="3"/>
  <c r="U38" i="3"/>
  <c r="V38" i="3"/>
  <c r="W38" i="1"/>
  <c r="W39" i="1"/>
  <c r="W38" i="4"/>
  <c r="W40" i="4"/>
  <c r="Q39" i="4"/>
  <c r="Q38" i="4"/>
  <c r="U40" i="4"/>
  <c r="U38" i="4"/>
  <c r="U39" i="5"/>
  <c r="U38" i="5"/>
  <c r="V40" i="3"/>
  <c r="V39" i="3"/>
  <c r="V40" i="1"/>
  <c r="V39" i="1"/>
  <c r="V38" i="1"/>
  <c r="V40" i="4"/>
  <c r="V38" i="4"/>
  <c r="V39" i="5"/>
  <c r="V38" i="5"/>
  <c r="O38" i="3"/>
  <c r="O39" i="3"/>
  <c r="S38" i="3"/>
  <c r="S39" i="3"/>
  <c r="N40" i="1"/>
  <c r="N38" i="1"/>
  <c r="P38" i="1"/>
  <c r="P39" i="1"/>
  <c r="S39" i="1"/>
  <c r="S38" i="1"/>
  <c r="N39" i="4"/>
  <c r="N38" i="4"/>
  <c r="O38" i="4"/>
  <c r="O39" i="4"/>
  <c r="Q38" i="1"/>
  <c r="S40" i="4"/>
  <c r="S38" i="4"/>
  <c r="R38" i="4"/>
  <c r="Q38" i="5"/>
  <c r="AM29" i="4"/>
  <c r="T38" i="4"/>
  <c r="P39" i="4"/>
  <c r="O38" i="1"/>
  <c r="N39" i="1"/>
  <c r="AM29" i="1"/>
  <c r="AM38" i="1" s="1"/>
  <c r="R39" i="3"/>
  <c r="Q39" i="3"/>
  <c r="P40" i="3"/>
  <c r="P39" i="3"/>
  <c r="N38" i="3"/>
  <c r="AM29" i="5"/>
  <c r="T39" i="3"/>
  <c r="T40" i="3"/>
  <c r="T40" i="1"/>
  <c r="T38" i="1"/>
  <c r="I2" i="10"/>
  <c r="I3" i="10" s="1"/>
  <c r="D4" i="9"/>
  <c r="I2" i="8"/>
  <c r="C3" i="11"/>
  <c r="E2" i="11"/>
  <c r="E3" i="11" s="1"/>
  <c r="D2" i="11"/>
  <c r="D3" i="11" s="1"/>
  <c r="C3" i="10"/>
  <c r="E2" i="10"/>
  <c r="E3" i="10" s="1"/>
  <c r="D2" i="10"/>
  <c r="D3" i="10" s="1"/>
  <c r="C3" i="9"/>
  <c r="E2" i="9"/>
  <c r="E3" i="9" s="1"/>
  <c r="D2" i="9"/>
  <c r="D3" i="9" s="1"/>
  <c r="M10" i="5"/>
  <c r="Y26" i="1"/>
  <c r="X26" i="1"/>
  <c r="W26" i="1"/>
  <c r="V26" i="1"/>
  <c r="U26" i="1"/>
  <c r="T26" i="1"/>
  <c r="S26" i="1"/>
  <c r="R26" i="1"/>
  <c r="Q26" i="1"/>
  <c r="P26" i="1"/>
  <c r="O26" i="1"/>
  <c r="N26" i="1"/>
  <c r="B27" i="7"/>
  <c r="B35" i="7"/>
  <c r="Y26" i="3"/>
  <c r="X26" i="3"/>
  <c r="W26" i="3"/>
  <c r="V26" i="3"/>
  <c r="U26" i="3"/>
  <c r="T26" i="3"/>
  <c r="S26" i="3"/>
  <c r="R26" i="3"/>
  <c r="Q26" i="3"/>
  <c r="P26" i="3"/>
  <c r="O26" i="3"/>
  <c r="N26" i="3"/>
  <c r="N26" i="5"/>
  <c r="M34" i="7"/>
  <c r="N34" i="7" s="1"/>
  <c r="L34" i="7"/>
  <c r="K34" i="7"/>
  <c r="J34" i="7"/>
  <c r="J26" i="7"/>
  <c r="I34" i="7"/>
  <c r="H34" i="7"/>
  <c r="D34" i="7"/>
  <c r="D26" i="7"/>
  <c r="C26" i="7"/>
  <c r="B34" i="7"/>
  <c r="C34" i="7"/>
  <c r="E34" i="7"/>
  <c r="N26" i="7"/>
  <c r="X18" i="7"/>
  <c r="M26" i="7"/>
  <c r="L26" i="7"/>
  <c r="L24" i="7"/>
  <c r="K26" i="7"/>
  <c r="I26" i="7"/>
  <c r="I24" i="7"/>
  <c r="H26" i="7"/>
  <c r="H24" i="7"/>
  <c r="B26" i="7"/>
  <c r="B8" i="7"/>
  <c r="C18" i="7"/>
  <c r="G26" i="7"/>
  <c r="F26" i="7"/>
  <c r="E26" i="7"/>
  <c r="H8" i="7"/>
  <c r="B33" i="7"/>
  <c r="M25" i="7"/>
  <c r="L25" i="7"/>
  <c r="K25" i="7"/>
  <c r="J25" i="7"/>
  <c r="I25" i="7"/>
  <c r="H25" i="7"/>
  <c r="G25" i="7"/>
  <c r="F25" i="7"/>
  <c r="E25" i="7"/>
  <c r="D25" i="7"/>
  <c r="C25" i="7"/>
  <c r="B25" i="7"/>
  <c r="M33" i="7"/>
  <c r="L33" i="7"/>
  <c r="K33" i="7"/>
  <c r="J33" i="7"/>
  <c r="G33" i="7"/>
  <c r="F33" i="7"/>
  <c r="E33" i="7"/>
  <c r="C33" i="7"/>
  <c r="D33" i="7"/>
  <c r="I33" i="7"/>
  <c r="H33" i="7"/>
  <c r="O18" i="4"/>
  <c r="O25" i="4" s="1"/>
  <c r="P18" i="4"/>
  <c r="Q18" i="4"/>
  <c r="Q25" i="4" s="1"/>
  <c r="R18" i="4"/>
  <c r="R25" i="4" s="1"/>
  <c r="S18" i="4"/>
  <c r="S25" i="4" s="1"/>
  <c r="T18" i="4"/>
  <c r="U18" i="4"/>
  <c r="U25" i="4" s="1"/>
  <c r="V18" i="4"/>
  <c r="V25" i="4" s="1"/>
  <c r="W18" i="4"/>
  <c r="W25" i="4" s="1"/>
  <c r="X18" i="4"/>
  <c r="X25" i="4" s="1"/>
  <c r="Y18" i="4"/>
  <c r="Y25" i="4" s="1"/>
  <c r="N18" i="4"/>
  <c r="N25" i="4" s="1"/>
  <c r="P25" i="4"/>
  <c r="T25" i="4"/>
  <c r="O18" i="1"/>
  <c r="O25" i="1" s="1"/>
  <c r="P18" i="1"/>
  <c r="P25" i="1" s="1"/>
  <c r="Q18" i="1"/>
  <c r="Q25" i="1" s="1"/>
  <c r="R18" i="1"/>
  <c r="R25" i="1" s="1"/>
  <c r="S18" i="1"/>
  <c r="S25" i="1" s="1"/>
  <c r="T18" i="1"/>
  <c r="T25" i="1" s="1"/>
  <c r="U18" i="1"/>
  <c r="U25" i="1" s="1"/>
  <c r="V18" i="1"/>
  <c r="V25" i="1" s="1"/>
  <c r="W18" i="1"/>
  <c r="W25" i="1" s="1"/>
  <c r="X18" i="1"/>
  <c r="X25" i="1" s="1"/>
  <c r="Y18" i="1"/>
  <c r="Y25" i="1" s="1"/>
  <c r="N18" i="1"/>
  <c r="O18" i="3"/>
  <c r="O25" i="3" s="1"/>
  <c r="P18" i="3"/>
  <c r="P25" i="3" s="1"/>
  <c r="Q18" i="3"/>
  <c r="Q25" i="3" s="1"/>
  <c r="R18" i="3"/>
  <c r="R25" i="3" s="1"/>
  <c r="S18" i="3"/>
  <c r="S25" i="3" s="1"/>
  <c r="T18" i="3"/>
  <c r="T25" i="3" s="1"/>
  <c r="U18" i="3"/>
  <c r="U25" i="3" s="1"/>
  <c r="V18" i="3"/>
  <c r="V25" i="3" s="1"/>
  <c r="W18" i="3"/>
  <c r="W25" i="3" s="1"/>
  <c r="X18" i="3"/>
  <c r="X25" i="3" s="1"/>
  <c r="Y18" i="3"/>
  <c r="Y25" i="3" s="1"/>
  <c r="N18" i="3"/>
  <c r="O24" i="3" a="1"/>
  <c r="O24" i="3" s="1"/>
  <c r="P24" i="3" a="1"/>
  <c r="P24" i="3" s="1"/>
  <c r="Q24" i="3" a="1"/>
  <c r="Q24" i="3" s="1"/>
  <c r="R24" i="3" a="1"/>
  <c r="R24" i="3" s="1"/>
  <c r="S24" i="3" a="1"/>
  <c r="S24" i="3" s="1"/>
  <c r="T24" i="3" a="1"/>
  <c r="T24" i="3" s="1"/>
  <c r="U24" i="3" a="1"/>
  <c r="U24" i="3" s="1"/>
  <c r="V24" i="3" a="1"/>
  <c r="V24" i="3" s="1"/>
  <c r="W24" i="3" a="1"/>
  <c r="W24" i="3" s="1"/>
  <c r="X24" i="3" a="1"/>
  <c r="X24" i="3" s="1"/>
  <c r="Y24" i="3" a="1"/>
  <c r="Y24" i="3" s="1"/>
  <c r="N24" i="3" a="1"/>
  <c r="N24" i="3" s="1"/>
  <c r="O24" i="4" a="1"/>
  <c r="O24" i="4" s="1"/>
  <c r="P24" i="4" a="1"/>
  <c r="P24" i="4" s="1"/>
  <c r="Q24" i="4" a="1"/>
  <c r="Q24" i="4" s="1"/>
  <c r="R24" i="4" a="1"/>
  <c r="R24" i="4" s="1"/>
  <c r="S24" i="4" a="1"/>
  <c r="S24" i="4" s="1"/>
  <c r="T24" i="4" a="1"/>
  <c r="T24" i="4" s="1"/>
  <c r="U24" i="4" a="1"/>
  <c r="U24" i="4" s="1"/>
  <c r="V24" i="4" a="1"/>
  <c r="V24" i="4" s="1"/>
  <c r="W24" i="4" a="1"/>
  <c r="W24" i="4" s="1"/>
  <c r="X24" i="4" a="1"/>
  <c r="X24" i="4" s="1"/>
  <c r="Y24" i="4" a="1"/>
  <c r="Y24" i="4" s="1"/>
  <c r="N24" i="4" a="1"/>
  <c r="N24" i="4" s="1"/>
  <c r="O24" i="5" a="1"/>
  <c r="O24" i="5" s="1"/>
  <c r="P24" i="5" a="1"/>
  <c r="P24" i="5" s="1"/>
  <c r="Q24" i="5" a="1"/>
  <c r="Q24" i="5" s="1"/>
  <c r="R24" i="5" a="1"/>
  <c r="R24" i="5" s="1"/>
  <c r="S24" i="5" a="1"/>
  <c r="S24" i="5" s="1"/>
  <c r="T24" i="5" a="1"/>
  <c r="T24" i="5" s="1"/>
  <c r="U24" i="5" a="1"/>
  <c r="U24" i="5" s="1"/>
  <c r="V24" i="5" a="1"/>
  <c r="V24" i="5" s="1"/>
  <c r="W24" i="5" a="1"/>
  <c r="W24" i="5" s="1"/>
  <c r="X24" i="5" a="1"/>
  <c r="X24" i="5" s="1"/>
  <c r="Y24" i="5" a="1"/>
  <c r="Y24" i="5" s="1"/>
  <c r="N24" i="5" a="1"/>
  <c r="N24" i="5" s="1"/>
  <c r="W19" i="5"/>
  <c r="N17" i="5"/>
  <c r="D29" i="5"/>
  <c r="C29" i="5"/>
  <c r="C39" i="5" s="1"/>
  <c r="L29" i="4"/>
  <c r="L39" i="4" s="1"/>
  <c r="K29" i="4"/>
  <c r="K39" i="4" s="1"/>
  <c r="H29" i="4"/>
  <c r="H39" i="4" s="1"/>
  <c r="G29" i="4"/>
  <c r="G39" i="4" s="1"/>
  <c r="F29" i="4"/>
  <c r="F39" i="4" s="1"/>
  <c r="E29" i="4"/>
  <c r="E39" i="4" s="1"/>
  <c r="D29" i="4"/>
  <c r="D39" i="4" s="1"/>
  <c r="M31" i="7"/>
  <c r="L31" i="7"/>
  <c r="Q8" i="7"/>
  <c r="M32" i="7"/>
  <c r="M30" i="7"/>
  <c r="L32" i="7"/>
  <c r="L30" i="7"/>
  <c r="M24" i="7"/>
  <c r="M23" i="7"/>
  <c r="M22" i="7"/>
  <c r="L23" i="7"/>
  <c r="L22" i="7"/>
  <c r="K35" i="7"/>
  <c r="K27" i="7"/>
  <c r="I30" i="7"/>
  <c r="H30" i="7"/>
  <c r="I22" i="7"/>
  <c r="I23" i="7"/>
  <c r="H22" i="7"/>
  <c r="H23" i="7"/>
  <c r="K30" i="7"/>
  <c r="K32" i="7"/>
  <c r="K31" i="7"/>
  <c r="J30" i="7"/>
  <c r="J32" i="7"/>
  <c r="J31" i="7"/>
  <c r="K22" i="7"/>
  <c r="J22" i="7"/>
  <c r="K24" i="7"/>
  <c r="K23" i="7"/>
  <c r="J24" i="7"/>
  <c r="J23" i="7"/>
  <c r="D32" i="7"/>
  <c r="D31" i="7"/>
  <c r="D30" i="7"/>
  <c r="D22" i="7"/>
  <c r="D24" i="7"/>
  <c r="D23" i="7"/>
  <c r="Y17" i="3" a="1"/>
  <c r="Y17" i="3" s="1"/>
  <c r="X17" i="3" a="1"/>
  <c r="X17" i="3" s="1"/>
  <c r="W17" i="3" a="1"/>
  <c r="W17" i="3" s="1"/>
  <c r="V17" i="3" a="1"/>
  <c r="V17" i="3" s="1"/>
  <c r="U17" i="3" a="1"/>
  <c r="U17" i="3" s="1"/>
  <c r="T17" i="3" a="1"/>
  <c r="T17" i="3" s="1"/>
  <c r="S17" i="3" a="1"/>
  <c r="S17" i="3" s="1"/>
  <c r="R17" i="3" a="1"/>
  <c r="R17" i="3" s="1"/>
  <c r="Q17" i="3" a="1"/>
  <c r="Q17" i="3" s="1"/>
  <c r="P17" i="3" a="1"/>
  <c r="P17" i="3" s="1"/>
  <c r="O17" i="3" a="1"/>
  <c r="O17" i="3" s="1"/>
  <c r="N17" i="3" a="1"/>
  <c r="N17" i="3" s="1"/>
  <c r="N17" i="1" a="1"/>
  <c r="N17" i="1" s="1"/>
  <c r="Y17" i="1" a="1"/>
  <c r="Y17" i="1" s="1"/>
  <c r="Y20" i="1" s="1"/>
  <c r="X17" i="1" a="1"/>
  <c r="X17" i="1" s="1"/>
  <c r="W17" i="1" a="1"/>
  <c r="W17" i="1" s="1"/>
  <c r="V17" i="1" a="1"/>
  <c r="V17" i="1" s="1"/>
  <c r="U17" i="1" a="1"/>
  <c r="U17" i="1" s="1"/>
  <c r="T17" i="1" a="1"/>
  <c r="T17" i="1" s="1"/>
  <c r="S17" i="1" a="1"/>
  <c r="S17" i="1" s="1"/>
  <c r="R17" i="1" a="1"/>
  <c r="R17" i="1" s="1"/>
  <c r="Q17" i="1" a="1"/>
  <c r="Q17" i="1" s="1"/>
  <c r="P17" i="1" a="1"/>
  <c r="P17" i="1" s="1"/>
  <c r="O17" i="1" a="1"/>
  <c r="O17" i="1" s="1"/>
  <c r="Y17" i="4" a="1"/>
  <c r="Y17" i="4" s="1"/>
  <c r="X17" i="4" a="1"/>
  <c r="X17" i="4" s="1"/>
  <c r="W17" i="4" a="1"/>
  <c r="W17" i="4" s="1"/>
  <c r="V17" i="4" a="1"/>
  <c r="V17" i="4" s="1"/>
  <c r="U17" i="4" a="1"/>
  <c r="U17" i="4" s="1"/>
  <c r="T17" i="4" a="1"/>
  <c r="T17" i="4" s="1"/>
  <c r="S17" i="4" a="1"/>
  <c r="S17" i="4" s="1"/>
  <c r="R17" i="4" a="1"/>
  <c r="R17" i="4" s="1"/>
  <c r="Q17" i="4" a="1"/>
  <c r="Q17" i="4" s="1"/>
  <c r="P17" i="4" a="1"/>
  <c r="P17" i="4" s="1"/>
  <c r="O17" i="4" a="1"/>
  <c r="O17" i="4" s="1"/>
  <c r="N17" i="4" a="1"/>
  <c r="N17" i="4" s="1"/>
  <c r="Y19" i="5"/>
  <c r="X19" i="5"/>
  <c r="V19" i="5"/>
  <c r="U19" i="5"/>
  <c r="T19" i="5"/>
  <c r="S19" i="5"/>
  <c r="R19" i="5"/>
  <c r="Q19" i="5"/>
  <c r="P19" i="5"/>
  <c r="O19" i="5"/>
  <c r="N19" i="5"/>
  <c r="U19" i="7"/>
  <c r="Y19" i="4"/>
  <c r="X19" i="4"/>
  <c r="W19" i="4"/>
  <c r="V19" i="4"/>
  <c r="U19" i="4"/>
  <c r="T19" i="4"/>
  <c r="S19" i="4"/>
  <c r="R19" i="4"/>
  <c r="Q19" i="4"/>
  <c r="P19" i="4"/>
  <c r="O19" i="4"/>
  <c r="N19" i="4"/>
  <c r="Y26" i="4"/>
  <c r="X26" i="4"/>
  <c r="W26" i="4"/>
  <c r="V26" i="4"/>
  <c r="U26" i="4"/>
  <c r="T26" i="4"/>
  <c r="S26" i="4"/>
  <c r="R26" i="4"/>
  <c r="Q26" i="4"/>
  <c r="P26" i="4"/>
  <c r="O26" i="4"/>
  <c r="N26" i="4"/>
  <c r="Y26" i="5"/>
  <c r="X26" i="5"/>
  <c r="W26" i="5"/>
  <c r="V26" i="5"/>
  <c r="U26" i="5"/>
  <c r="T26" i="5"/>
  <c r="S26" i="5"/>
  <c r="R26" i="5"/>
  <c r="Q26" i="5"/>
  <c r="P26" i="5"/>
  <c r="O26" i="5"/>
  <c r="N19" i="7"/>
  <c r="T18" i="5"/>
  <c r="U18" i="5"/>
  <c r="V18" i="5"/>
  <c r="W18" i="5"/>
  <c r="X18" i="5"/>
  <c r="Y18" i="5"/>
  <c r="N18" i="5"/>
  <c r="N25" i="5" s="1"/>
  <c r="O18" i="5"/>
  <c r="P18" i="5"/>
  <c r="R18" i="5"/>
  <c r="S18" i="5"/>
  <c r="Q1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L57" i="5"/>
  <c r="AL56" i="5"/>
  <c r="AL55" i="5"/>
  <c r="AL58" i="5" s="1"/>
  <c r="AL53" i="5"/>
  <c r="AL51" i="5"/>
  <c r="AL50" i="5"/>
  <c r="AL49" i="5"/>
  <c r="AL48" i="5"/>
  <c r="AL46" i="5"/>
  <c r="AL45" i="5"/>
  <c r="Y17" i="5"/>
  <c r="X17" i="5"/>
  <c r="W17" i="5"/>
  <c r="U17" i="5"/>
  <c r="T17" i="5"/>
  <c r="S17" i="5"/>
  <c r="R17" i="5"/>
  <c r="Q17" i="5"/>
  <c r="P17" i="5"/>
  <c r="O17" i="5"/>
  <c r="M12" i="5"/>
  <c r="L12" i="5"/>
  <c r="K12" i="5"/>
  <c r="J12" i="5"/>
  <c r="I12" i="5"/>
  <c r="H12" i="5"/>
  <c r="G12" i="5"/>
  <c r="F12" i="5"/>
  <c r="E12" i="5"/>
  <c r="AL11" i="5"/>
  <c r="AL12" i="5" s="1"/>
  <c r="L10" i="5"/>
  <c r="K10" i="5"/>
  <c r="J10" i="5"/>
  <c r="I10" i="5"/>
  <c r="H10" i="5"/>
  <c r="G10" i="5"/>
  <c r="F10" i="5"/>
  <c r="E10" i="5"/>
  <c r="AL9" i="5"/>
  <c r="AL5" i="5"/>
  <c r="AL6" i="5" s="1"/>
  <c r="AL4" i="5"/>
  <c r="S3" i="7"/>
  <c r="N18" i="7"/>
  <c r="O18" i="7"/>
  <c r="S18" i="7"/>
  <c r="R18" i="7"/>
  <c r="G32" i="7"/>
  <c r="G31" i="7"/>
  <c r="G30" i="7"/>
  <c r="G24" i="7"/>
  <c r="G23" i="7"/>
  <c r="G22" i="7"/>
  <c r="I17" i="7"/>
  <c r="H17" i="7"/>
  <c r="G17" i="7"/>
  <c r="F17" i="7"/>
  <c r="E17" i="7"/>
  <c r="D17" i="7"/>
  <c r="C17" i="7"/>
  <c r="B17" i="7"/>
  <c r="I18" i="7"/>
  <c r="H18" i="7"/>
  <c r="E18" i="7"/>
  <c r="D18" i="7"/>
  <c r="B18" i="7"/>
  <c r="O16" i="7"/>
  <c r="N16" i="7"/>
  <c r="O15" i="7"/>
  <c r="O17" i="7" s="1"/>
  <c r="N15" i="7"/>
  <c r="N17" i="7" s="1"/>
  <c r="Q16" i="7"/>
  <c r="Q18" i="7" s="1"/>
  <c r="M16" i="7"/>
  <c r="M18" i="7" s="1"/>
  <c r="L16" i="7"/>
  <c r="L18" i="7" s="1"/>
  <c r="K16" i="7"/>
  <c r="K18" i="7" s="1"/>
  <c r="J16" i="7"/>
  <c r="Q15" i="7"/>
  <c r="Q17" i="7" s="1"/>
  <c r="M15" i="7"/>
  <c r="M17" i="7" s="1"/>
  <c r="L15" i="7"/>
  <c r="L17" i="7" s="1"/>
  <c r="K15" i="7"/>
  <c r="K17" i="7" s="1"/>
  <c r="J15" i="7"/>
  <c r="J17" i="7" s="1"/>
  <c r="I8" i="7"/>
  <c r="E8" i="7"/>
  <c r="D8" i="7"/>
  <c r="C8" i="7"/>
  <c r="I7" i="7"/>
  <c r="H7" i="7"/>
  <c r="G7" i="7"/>
  <c r="F7" i="7"/>
  <c r="E7" i="7"/>
  <c r="D7" i="7"/>
  <c r="C7" i="7"/>
  <c r="B7" i="7"/>
  <c r="O6" i="7"/>
  <c r="N6" i="7"/>
  <c r="O5" i="7"/>
  <c r="N5" i="7"/>
  <c r="P6" i="7"/>
  <c r="P5" i="7"/>
  <c r="Q6" i="7"/>
  <c r="M6" i="7"/>
  <c r="M8" i="7" s="1"/>
  <c r="L6" i="7"/>
  <c r="L8" i="7" s="1"/>
  <c r="K6" i="7"/>
  <c r="K8" i="7" s="1"/>
  <c r="J6" i="7"/>
  <c r="J8" i="7" s="1"/>
  <c r="M5" i="7"/>
  <c r="L5" i="7"/>
  <c r="K5" i="7"/>
  <c r="J5" i="7"/>
  <c r="Q4" i="7"/>
  <c r="O4" i="7"/>
  <c r="N4" i="7"/>
  <c r="M4" i="7"/>
  <c r="L4" i="7"/>
  <c r="K4" i="7"/>
  <c r="J4" i="7"/>
  <c r="Q3" i="7"/>
  <c r="O3" i="7"/>
  <c r="N3" i="7"/>
  <c r="M3" i="7"/>
  <c r="M7" i="7" s="1"/>
  <c r="L3" i="7"/>
  <c r="L7" i="7" s="1"/>
  <c r="K3" i="7"/>
  <c r="K7" i="7" s="1"/>
  <c r="J3" i="7"/>
  <c r="J7" i="7" s="1"/>
  <c r="G12" i="4"/>
  <c r="F12" i="4"/>
  <c r="E12" i="4"/>
  <c r="D12" i="4"/>
  <c r="G10" i="4"/>
  <c r="F10" i="4"/>
  <c r="E10" i="4"/>
  <c r="D10" i="4"/>
  <c r="G12" i="1"/>
  <c r="G10" i="1"/>
  <c r="AL59" i="4"/>
  <c r="AL57" i="4"/>
  <c r="AL56" i="4"/>
  <c r="AL55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M12" i="4"/>
  <c r="L12" i="4"/>
  <c r="K12" i="4"/>
  <c r="J12" i="4"/>
  <c r="I12" i="4"/>
  <c r="H12" i="4"/>
  <c r="AL11" i="4"/>
  <c r="AL40" i="4" s="1"/>
  <c r="M10" i="4"/>
  <c r="L10" i="4"/>
  <c r="K10" i="4"/>
  <c r="J10" i="4"/>
  <c r="I10" i="4"/>
  <c r="H10" i="4"/>
  <c r="AL9" i="4"/>
  <c r="AL5" i="4"/>
  <c r="AL4" i="4"/>
  <c r="AL59" i="1"/>
  <c r="AL57" i="1"/>
  <c r="AL56" i="1"/>
  <c r="AL55" i="1"/>
  <c r="AL59" i="3"/>
  <c r="AL57" i="3"/>
  <c r="AL56" i="3"/>
  <c r="AL55" i="3"/>
  <c r="AL53" i="3"/>
  <c r="AL51" i="3"/>
  <c r="AL49" i="3"/>
  <c r="AL48" i="3"/>
  <c r="AL46" i="3"/>
  <c r="J10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M12" i="3"/>
  <c r="L12" i="3"/>
  <c r="K12" i="3"/>
  <c r="J12" i="3"/>
  <c r="I12" i="3"/>
  <c r="M10" i="3"/>
  <c r="L10" i="3"/>
  <c r="K10" i="3"/>
  <c r="I10" i="3"/>
  <c r="H12" i="1"/>
  <c r="H10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L4" i="1"/>
  <c r="AL5" i="1"/>
  <c r="AL6" i="1" s="1"/>
  <c r="AL9" i="1"/>
  <c r="I10" i="1"/>
  <c r="J10" i="1"/>
  <c r="K10" i="1"/>
  <c r="L10" i="1"/>
  <c r="AL11" i="1"/>
  <c r="AL40" i="1" s="1"/>
  <c r="I12" i="1"/>
  <c r="J12" i="1"/>
  <c r="K12" i="1"/>
  <c r="L12" i="1"/>
  <c r="M12" i="1"/>
  <c r="AL6" i="4" l="1"/>
  <c r="AL44" i="3"/>
  <c r="Q20" i="1"/>
  <c r="O27" i="3"/>
  <c r="Q20" i="3"/>
  <c r="W20" i="3"/>
  <c r="R20" i="1"/>
  <c r="O20" i="1"/>
  <c r="X20" i="3"/>
  <c r="O20" i="3"/>
  <c r="H29" i="3"/>
  <c r="H40" i="3" s="1"/>
  <c r="P20" i="3"/>
  <c r="R27" i="3"/>
  <c r="J29" i="3"/>
  <c r="J40" i="3" s="1"/>
  <c r="N25" i="3"/>
  <c r="U27" i="3"/>
  <c r="Q27" i="3"/>
  <c r="R20" i="3"/>
  <c r="M29" i="4"/>
  <c r="M39" i="4" s="1"/>
  <c r="H38" i="4"/>
  <c r="I29" i="4"/>
  <c r="I39" i="4" s="1"/>
  <c r="P20" i="1"/>
  <c r="C29" i="1"/>
  <c r="C39" i="1" s="1"/>
  <c r="E29" i="1"/>
  <c r="E39" i="1" s="1"/>
  <c r="O27" i="1"/>
  <c r="I29" i="1"/>
  <c r="I39" i="1" s="1"/>
  <c r="S20" i="1"/>
  <c r="X20" i="1"/>
  <c r="X27" i="1"/>
  <c r="Q27" i="4"/>
  <c r="R27" i="4"/>
  <c r="G38" i="4"/>
  <c r="Y27" i="4"/>
  <c r="P27" i="4"/>
  <c r="K38" i="4"/>
  <c r="V27" i="4"/>
  <c r="L38" i="4"/>
  <c r="T20" i="1"/>
  <c r="U20" i="1"/>
  <c r="G29" i="1"/>
  <c r="G39" i="1" s="1"/>
  <c r="Q27" i="1"/>
  <c r="V20" i="1"/>
  <c r="P27" i="1"/>
  <c r="W20" i="1"/>
  <c r="Y27" i="1"/>
  <c r="K29" i="1"/>
  <c r="K39" i="1" s="1"/>
  <c r="M29" i="1"/>
  <c r="M39" i="1" s="1"/>
  <c r="L29" i="5"/>
  <c r="L40" i="5" s="1"/>
  <c r="AL58" i="4"/>
  <c r="U27" i="4"/>
  <c r="E38" i="4"/>
  <c r="C29" i="4"/>
  <c r="C39" i="4" s="1"/>
  <c r="J29" i="4"/>
  <c r="J39" i="4" s="1"/>
  <c r="D38" i="4"/>
  <c r="F38" i="4"/>
  <c r="T27" i="4"/>
  <c r="F29" i="1"/>
  <c r="F39" i="1" s="1"/>
  <c r="AL58" i="1"/>
  <c r="H29" i="1"/>
  <c r="H39" i="1" s="1"/>
  <c r="J29" i="1"/>
  <c r="J39" i="1" s="1"/>
  <c r="L29" i="1"/>
  <c r="L39" i="1" s="1"/>
  <c r="D29" i="1"/>
  <c r="D39" i="1" s="1"/>
  <c r="N27" i="4"/>
  <c r="S27" i="4"/>
  <c r="X27" i="4"/>
  <c r="W27" i="4"/>
  <c r="V27" i="1"/>
  <c r="T27" i="1"/>
  <c r="R27" i="1"/>
  <c r="V27" i="3"/>
  <c r="T20" i="3"/>
  <c r="Y20" i="3"/>
  <c r="X27" i="3"/>
  <c r="U20" i="3"/>
  <c r="V20" i="3"/>
  <c r="Y27" i="3"/>
  <c r="F29" i="3"/>
  <c r="F40" i="3" s="1"/>
  <c r="O27" i="4"/>
  <c r="W27" i="1"/>
  <c r="U27" i="1"/>
  <c r="S27" i="1"/>
  <c r="S27" i="3"/>
  <c r="T27" i="3"/>
  <c r="P27" i="3"/>
  <c r="AM39" i="5"/>
  <c r="AM38" i="5"/>
  <c r="AM40" i="5"/>
  <c r="AM40" i="1"/>
  <c r="AM39" i="1"/>
  <c r="AM40" i="4"/>
  <c r="AM39" i="4"/>
  <c r="AM38" i="4"/>
  <c r="D29" i="3"/>
  <c r="D39" i="3" s="1"/>
  <c r="L29" i="3"/>
  <c r="L40" i="3" s="1"/>
  <c r="W27" i="3"/>
  <c r="S20" i="3"/>
  <c r="AL58" i="3"/>
  <c r="C29" i="3"/>
  <c r="C40" i="3" s="1"/>
  <c r="E29" i="3"/>
  <c r="E40" i="3" s="1"/>
  <c r="G29" i="3"/>
  <c r="G40" i="3" s="1"/>
  <c r="I29" i="3"/>
  <c r="I40" i="3" s="1"/>
  <c r="K29" i="3"/>
  <c r="K40" i="3" s="1"/>
  <c r="M29" i="3"/>
  <c r="M39" i="3" s="1"/>
  <c r="AL38" i="3"/>
  <c r="AL39" i="3"/>
  <c r="AL40" i="3"/>
  <c r="N20" i="3"/>
  <c r="N20" i="1"/>
  <c r="N25" i="1"/>
  <c r="F29" i="5"/>
  <c r="F38" i="5" s="1"/>
  <c r="J29" i="5"/>
  <c r="J40" i="5" s="1"/>
  <c r="M29" i="5"/>
  <c r="M39" i="5" s="1"/>
  <c r="E29" i="5"/>
  <c r="E39" i="5" s="1"/>
  <c r="G29" i="5"/>
  <c r="G40" i="5" s="1"/>
  <c r="I29" i="5"/>
  <c r="I40" i="5" s="1"/>
  <c r="K29" i="5"/>
  <c r="K40" i="5" s="1"/>
  <c r="G34" i="7"/>
  <c r="I32" i="7"/>
  <c r="H32" i="7"/>
  <c r="I31" i="7"/>
  <c r="H31" i="7"/>
  <c r="O20" i="5"/>
  <c r="P20" i="5"/>
  <c r="Q20" i="5"/>
  <c r="R20" i="5"/>
  <c r="S20" i="5"/>
  <c r="T20" i="5"/>
  <c r="U20" i="5"/>
  <c r="V20" i="5"/>
  <c r="W20" i="5"/>
  <c r="X20" i="5"/>
  <c r="Y20" i="5"/>
  <c r="H29" i="5"/>
  <c r="H39" i="5" s="1"/>
  <c r="C38" i="5"/>
  <c r="D38" i="5"/>
  <c r="B29" i="5"/>
  <c r="B40" i="5" s="1"/>
  <c r="B29" i="3"/>
  <c r="B29" i="1"/>
  <c r="B39" i="1" s="1"/>
  <c r="N20" i="4"/>
  <c r="O20" i="4"/>
  <c r="P20" i="4"/>
  <c r="Q20" i="4"/>
  <c r="R20" i="4"/>
  <c r="S20" i="4"/>
  <c r="T20" i="4"/>
  <c r="U20" i="4"/>
  <c r="V20" i="4"/>
  <c r="W20" i="4"/>
  <c r="X20" i="4"/>
  <c r="Y20" i="4"/>
  <c r="B29" i="4"/>
  <c r="B39" i="4" s="1"/>
  <c r="N20" i="5"/>
  <c r="AL10" i="5"/>
  <c r="D40" i="5"/>
  <c r="Q25" i="5"/>
  <c r="Q27" i="5" s="1"/>
  <c r="S25" i="5"/>
  <c r="S27" i="5" s="1"/>
  <c r="R25" i="5"/>
  <c r="R27" i="5" s="1"/>
  <c r="P25" i="5"/>
  <c r="P27" i="5" s="1"/>
  <c r="O25" i="5"/>
  <c r="O27" i="5" s="1"/>
  <c r="N27" i="5"/>
  <c r="Y25" i="5"/>
  <c r="Y27" i="5" s="1"/>
  <c r="X25" i="5"/>
  <c r="X27" i="5" s="1"/>
  <c r="W25" i="5"/>
  <c r="W27" i="5" s="1"/>
  <c r="V25" i="5"/>
  <c r="V27" i="5" s="1"/>
  <c r="U25" i="5"/>
  <c r="U27" i="5" s="1"/>
  <c r="T25" i="5"/>
  <c r="T27" i="5" s="1"/>
  <c r="D39" i="5"/>
  <c r="C40" i="5"/>
  <c r="P18" i="7"/>
  <c r="J18" i="7"/>
  <c r="P15" i="7"/>
  <c r="F18" i="7"/>
  <c r="G18" i="7"/>
  <c r="U15" i="7"/>
  <c r="T15" i="7"/>
  <c r="S15" i="7"/>
  <c r="R15" i="7"/>
  <c r="U16" i="7"/>
  <c r="T16" i="7"/>
  <c r="P16" i="7"/>
  <c r="S16" i="7"/>
  <c r="R16" i="7"/>
  <c r="N7" i="7"/>
  <c r="U3" i="7"/>
  <c r="T3" i="7"/>
  <c r="U4" i="7"/>
  <c r="W4" i="7" s="1"/>
  <c r="T4" i="7"/>
  <c r="V4" i="7" s="1"/>
  <c r="U5" i="7"/>
  <c r="W5" i="7" s="1"/>
  <c r="T5" i="7"/>
  <c r="V5" i="7" s="1"/>
  <c r="U6" i="7"/>
  <c r="W6" i="7" s="1"/>
  <c r="T6" i="7"/>
  <c r="V6" i="7" s="1"/>
  <c r="F8" i="7"/>
  <c r="G8" i="7"/>
  <c r="O7" i="7"/>
  <c r="P3" i="7"/>
  <c r="Q7" i="7"/>
  <c r="R3" i="7"/>
  <c r="P4" i="7"/>
  <c r="S4" i="7"/>
  <c r="R4" i="7"/>
  <c r="S5" i="7"/>
  <c r="R5" i="7"/>
  <c r="S6" i="7"/>
  <c r="R6" i="7"/>
  <c r="E40" i="5" l="1"/>
  <c r="H38" i="3"/>
  <c r="F39" i="5"/>
  <c r="M38" i="4"/>
  <c r="H39" i="3"/>
  <c r="J39" i="3"/>
  <c r="N27" i="3"/>
  <c r="J38" i="3"/>
  <c r="C38" i="4"/>
  <c r="I38" i="4"/>
  <c r="C38" i="1"/>
  <c r="M38" i="1"/>
  <c r="D38" i="1"/>
  <c r="I38" i="1"/>
  <c r="E38" i="1"/>
  <c r="K38" i="1"/>
  <c r="H38" i="1"/>
  <c r="G38" i="1"/>
  <c r="F38" i="1"/>
  <c r="L38" i="5"/>
  <c r="F40" i="5"/>
  <c r="L39" i="5"/>
  <c r="J39" i="5"/>
  <c r="G38" i="5"/>
  <c r="M40" i="5"/>
  <c r="AL29" i="5"/>
  <c r="M38" i="5"/>
  <c r="H38" i="5"/>
  <c r="J38" i="4"/>
  <c r="L38" i="1"/>
  <c r="J38" i="1"/>
  <c r="AL29" i="1"/>
  <c r="B38" i="1"/>
  <c r="L38" i="3"/>
  <c r="L39" i="3"/>
  <c r="D40" i="3"/>
  <c r="F38" i="3"/>
  <c r="F39" i="3"/>
  <c r="K38" i="3"/>
  <c r="G38" i="3"/>
  <c r="G39" i="3"/>
  <c r="K39" i="3"/>
  <c r="D38" i="3"/>
  <c r="I38" i="3"/>
  <c r="C38" i="3"/>
  <c r="C39" i="3"/>
  <c r="M40" i="3"/>
  <c r="E38" i="3"/>
  <c r="AL29" i="3"/>
  <c r="M38" i="3"/>
  <c r="I39" i="3"/>
  <c r="E39" i="3"/>
  <c r="N27" i="1"/>
  <c r="G39" i="5"/>
  <c r="K38" i="5"/>
  <c r="E38" i="5"/>
  <c r="H40" i="5"/>
  <c r="J38" i="5"/>
  <c r="I38" i="5"/>
  <c r="K39" i="5"/>
  <c r="I39" i="5"/>
  <c r="B40" i="3"/>
  <c r="B39" i="3"/>
  <c r="B38" i="3"/>
  <c r="B38" i="5"/>
  <c r="B39" i="5"/>
  <c r="AL29" i="4"/>
  <c r="B38" i="4"/>
  <c r="R17" i="7"/>
  <c r="S17" i="7"/>
  <c r="V15" i="7"/>
  <c r="T17" i="7"/>
  <c r="W15" i="7"/>
  <c r="U17" i="7"/>
  <c r="P17" i="7"/>
  <c r="V16" i="7"/>
  <c r="T18" i="7"/>
  <c r="W16" i="7"/>
  <c r="U18" i="7"/>
  <c r="V3" i="7"/>
  <c r="V7" i="7" s="1"/>
  <c r="T7" i="7"/>
  <c r="W3" i="7"/>
  <c r="W7" i="7" s="1"/>
  <c r="U7" i="7"/>
  <c r="R7" i="7"/>
  <c r="S7" i="7"/>
  <c r="O8" i="7" s="1"/>
  <c r="P7" i="7"/>
  <c r="AL38" i="1" l="1"/>
  <c r="AL39" i="1"/>
  <c r="AL38" i="4"/>
  <c r="AL39" i="4"/>
  <c r="AL40" i="5"/>
  <c r="AL38" i="5"/>
  <c r="N8" i="7"/>
  <c r="AL39" i="5"/>
  <c r="S8" i="7"/>
  <c r="W17" i="7"/>
  <c r="V17" i="7"/>
  <c r="W18" i="7"/>
  <c r="V18" i="7"/>
  <c r="N9" i="7" l="1"/>
  <c r="P8" i="7"/>
  <c r="U8" i="7"/>
  <c r="W8" i="7" s="1"/>
  <c r="T8" i="7"/>
  <c r="V8" i="7" s="1"/>
  <c r="R8" i="7"/>
  <c r="U9" i="7" l="1"/>
  <c r="X8" i="7"/>
  <c r="AM30" i="3"/>
  <c r="Y29" i="3"/>
  <c r="Y39" i="3" s="1"/>
  <c r="AM29" i="3" l="1"/>
  <c r="AM40" i="3" s="1"/>
  <c r="AM39" i="3" l="1"/>
  <c r="AM38" i="3"/>
  <c r="U7" i="3"/>
  <c r="U8" i="3" s="1"/>
  <c r="V7" i="3"/>
  <c r="V8" i="3" s="1"/>
  <c r="W7" i="3"/>
  <c r="W8" i="3" s="1"/>
  <c r="T7" i="3"/>
  <c r="T8" i="3" s="1"/>
  <c r="S7" i="3"/>
  <c r="S8" i="3" s="1"/>
  <c r="Q7" i="3"/>
  <c r="Q8" i="3" s="1"/>
  <c r="O8" i="3"/>
  <c r="R7" i="3"/>
  <c r="R8" i="3" s="1"/>
  <c r="P7" i="3"/>
  <c r="P8" i="3" s="1"/>
  <c r="X7" i="3"/>
  <c r="X8" i="3" s="1"/>
  <c r="AM7" i="3" l="1"/>
  <c r="AM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tc={5E5C22B3-AB3A-4057-B854-477F2D3D1D60}</author>
    <author>tc={8218E278-3099-4F15-8B1F-3866C4605AC7}</author>
    <author>tc={9B065F5B-307A-4241-932B-4662625FF400}</author>
    <author>tc={FF5C94EA-B8CA-4398-80AD-01E595AA4F45}</author>
    <author>tc={E79BCCF2-C8B3-4169-B38E-763807A01908}</author>
    <author>tc={AD6A7777-F57A-4AA8-894C-372F8D657510}</author>
    <author>tc={B3C4DFFF-3EF9-4D58-BA18-1F8C9B5FDE24}</author>
  </authors>
  <commentList>
    <comment ref="N5" authorId="0" shapeId="0" xr:uid="{5E5C22B3-AB3A-4057-B854-477F2D3D1D60}">
      <text>
        <t>[Threaded comment]
Your version of Excel allows you to read this threaded comment; however, any edits to it will get removed if the file is opened in a newer version of Excel. Learn more: https://go.microsoft.com/fwlink/?linkid=870924
Comment:
    14件不足？
Reply:
    修正済み</t>
      </text>
    </comment>
    <comment ref="P5" authorId="1" shapeId="0" xr:uid="{8218E278-3099-4F15-8B1F-3866C4605AC7}">
      <text>
        <t>[Threaded comment]
Your version of Excel allows you to read this threaded comment; however, any edits to it will get removed if the file is opened in a newer version of Excel. Learn more: https://go.microsoft.com/fwlink/?linkid=870924
Comment:
    1件重複
Reply:
    修正済み</t>
      </text>
    </comment>
    <comment ref="Q5" authorId="2" shapeId="0" xr:uid="{9B065F5B-307A-4241-932B-4662625FF400}">
      <text>
        <t>[Threaded comment]
Your version of Excel allows you to read this threaded comment; however, any edits to it will get removed if the file is opened in a newer version of Excel. Learn more: https://go.microsoft.com/fwlink/?linkid=870924
Comment:
    2件重複
Reply:
    修正済み</t>
      </text>
    </comment>
    <comment ref="R5" authorId="3" shapeId="0" xr:uid="{FF5C94EA-B8CA-4398-80AD-01E595AA4F45}">
      <text>
        <t>[Threaded comment]
Your version of Excel allows you to read this threaded comment; however, any edits to it will get removed if the file is opened in a newer version of Excel. Learn more: https://go.microsoft.com/fwlink/?linkid=870924
Comment:
    1件重複
Reply:
    修正済み</t>
      </text>
    </comment>
    <comment ref="S5" authorId="4" shapeId="0" xr:uid="{E79BCCF2-C8B3-4169-B38E-763807A01908}">
      <text>
        <t>[Threaded comment]
Your version of Excel allows you to read this threaded comment; however, any edits to it will get removed if the file is opened in a newer version of Excel. Learn more: https://go.microsoft.com/fwlink/?linkid=870924
Comment:
    4件重複
Reply:
    修正済み</t>
      </text>
    </comment>
    <comment ref="AR45" authorId="5" shapeId="0" xr:uid="{AD6A7777-F57A-4AA8-894C-372F8D657510}">
      <text>
        <t>[Threaded comment]
Your version of Excel allows you to read this threaded comment; however, any edits to it will get removed if the file is opened in a newer version of Excel. Learn more: https://go.microsoft.com/fwlink/?linkid=870924
Comment:
    チャネル別受注数の欄がないです。</t>
      </text>
    </comment>
    <comment ref="W55" authorId="6" shapeId="0" xr:uid="{B3C4DFFF-3EF9-4D58-BA18-1F8C9B5FDE24}">
      <text>
        <t>[Threaded comment]
Your version of Excel allows you to read this threaded comment; however, any edits to it will get removed if the file is opened in a newer version of Excel. Learn more: https://go.microsoft.com/fwlink/?linkid=870924
Comment:
    ６or 7
再度HubSpotをDLして、実績シートを確認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tc={8B47CADA-8D37-4F4E-9D8B-2D6C163F7527}</author>
    <author>tc={9D49D4B2-A891-4F4E-A375-6106CE2BF614}</author>
  </authors>
  <commentList>
    <comment ref="AS45" authorId="0" shapeId="0" xr:uid="{8B47CADA-8D37-4F4E-9D8B-2D6C163F7527}">
      <text>
        <t>[Threaded comment]
Your version of Excel allows you to read this threaded comment; however, any edits to it will get removed if the file is opened in a newer version of Excel. Learn more: https://go.microsoft.com/fwlink/?linkid=870924
Comment:
    チャネル別受注数の欄がないです。</t>
      </text>
    </comment>
    <comment ref="W55" authorId="1" shapeId="0" xr:uid="{9D49D4B2-A891-4F4E-A375-6106CE2BF614}">
      <text>
        <t>[Threaded comment]
Your version of Excel allows you to read this threaded comment; however, any edits to it will get removed if the file is opened in a newer version of Excel. Learn more: https://go.microsoft.com/fwlink/?linkid=870924
Comment:
    この数字（問合せ7件、サービス資料件）はどこから来ましたか？
Reply:
    修正いたしました。
（お問い合わせ2件、サービス資料０件）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tc={85D1ED1E-93B1-4BA4-B2BD-A64C25DF3473}</author>
    <author>tc={5E9F7664-69B9-45D7-A56E-ABA3640E57F1}</author>
    <author>tc={5821D904-EF50-4E29-B642-7804A0700E40}</author>
  </authors>
  <commentList>
    <comment ref="P5" authorId="0" shapeId="0" xr:uid="{85D1ED1E-93B1-4BA4-B2BD-A64C25DF3473}">
      <text>
        <t>[Threaded comment]
Your version of Excel allows you to read this threaded comment; however, any edits to it will get removed if the file is opened in a newer version of Excel. Learn more: https://go.microsoft.com/fwlink/?linkid=870924
Comment:
    6件重複あり
Reply:
    修正済み</t>
      </text>
    </comment>
    <comment ref="R5" authorId="1" shapeId="0" xr:uid="{5E9F7664-69B9-45D7-A56E-ABA3640E57F1}">
      <text>
        <t>[Threaded comment]
Your version of Excel allows you to read this threaded comment; however, any edits to it will get removed if the file is opened in a newer version of Excel. Learn more: https://go.microsoft.com/fwlink/?linkid=870924
Comment:
    5件重複あり
Reply:
    修正済み</t>
      </text>
    </comment>
    <comment ref="AS45" authorId="2" shapeId="0" xr:uid="{5821D904-EF50-4E29-B642-7804A0700E40}">
      <text>
        <t>[Threaded comment]
Your version of Excel allows you to read this threaded comment; however, any edits to it will get removed if the file is opened in a newer version of Excel. Learn more: https://go.microsoft.com/fwlink/?linkid=870924
Comment:
    チャネル別受注数の欄がないです。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tc={B1BB6125-A737-40DE-A25F-7A92AB8FBC18}</author>
    <author>tc={3A591E54-B381-43B0-A3CA-187F73D7C326}</author>
    <author>tc={067B13C8-3CB1-4FE4-9A9B-976FC834B3DD}</author>
    <author>tc={4CC4759B-6165-4010-BE53-2680EDC3CB80}</author>
  </authors>
  <commentList>
    <comment ref="U5" authorId="0" shapeId="0" xr:uid="{B1BB6125-A737-40DE-A25F-7A92AB8FBC18}">
      <text>
        <t>[Threaded comment]
Your version of Excel allows you to read this threaded comment; however, any edits to it will get removed if the file is opened in a newer version of Excel. Learn more: https://go.microsoft.com/fwlink/?linkid=870924
Comment:
    1件重複あり
Reply:
    修正済み</t>
      </text>
    </comment>
    <comment ref="Z37" authorId="1" shapeId="0" xr:uid="{3A591E54-B381-43B0-A3CA-187F73D7C326}">
      <text>
        <t>[Threaded comment]
Your version of Excel allows you to read this threaded comment; however, any edits to it will get removed if the file is opened in a newer version of Excel. Learn more: https://go.microsoft.com/fwlink/?linkid=870924
Comment:
    サイト改修＋ミニ動画</t>
      </text>
    </comment>
    <comment ref="AS45" authorId="2" shapeId="0" xr:uid="{067B13C8-3CB1-4FE4-9A9B-976FC834B3DD}">
      <text>
        <t>[Threaded comment]
Your version of Excel allows you to read this threaded comment; however, any edits to it will get removed if the file is opened in a newer version of Excel. Learn more: https://go.microsoft.com/fwlink/?linkid=870924
Comment:
    チャネル別受注数の欄がないです。</t>
      </text>
    </comment>
    <comment ref="W56" authorId="3" shapeId="0" xr:uid="{4CC4759B-6165-4010-BE53-2680EDC3CB80}">
      <text>
        <t>[Threaded comment]
Your version of Excel allows you to read this threaded comment; however, any edits to it will get removed if the file is opened in a newer version of Excel. Learn more: https://go.microsoft.com/fwlink/?linkid=870924
Comment:
    確認中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tc={F4E74383-44B8-4D50-A6AF-921C5F8CE21C}</author>
    <author>tc={4568E6C7-D100-4C80-AB53-A58D3EBB4454}</author>
    <author>tc={2896ECE1-156F-4CA9-B413-DC465214F303}</author>
    <author>tc={A7C28FD2-6872-48A9-8427-846C82254D46}</author>
  </authors>
  <commentList>
    <comment ref="D2" authorId="0" shapeId="0" xr:uid="{F4E74383-44B8-4D50-A6AF-921C5F8CE21C}">
      <text>
        <t>[Threaded comment]
Your version of Excel allows you to read this threaded comment; however, any edits to it will get removed if the file is opened in a newer version of Excel. Learn more: https://go.microsoft.com/fwlink/?linkid=870924
Comment:
    都度コピペ</t>
      </text>
    </comment>
    <comment ref="E2" authorId="1" shapeId="0" xr:uid="{4568E6C7-D100-4C80-AB53-A58D3EBB4454}">
      <text>
        <t>[Threaded comment]
Your version of Excel allows you to read this threaded comment; however, any edits to it will get removed if the file is opened in a newer version of Excel. Learn more: https://go.microsoft.com/fwlink/?linkid=870924
Comment:
    都度コピペ</t>
      </text>
    </comment>
    <comment ref="F2" authorId="2" shapeId="0" xr:uid="{2896ECE1-156F-4CA9-B413-DC465214F303}">
      <text>
        <t>[Threaded comment]
Your version of Excel allows you to read this threaded comment; however, any edits to it will get removed if the file is opened in a newer version of Excel. Learn more: https://go.microsoft.com/fwlink/?linkid=870924
Comment:
    都度コピペ</t>
      </text>
    </comment>
    <comment ref="K2" authorId="3" shapeId="0" xr:uid="{A7C28FD2-6872-48A9-8427-846C82254D46}">
      <text>
        <t>[Threaded comment]
Your version of Excel allows you to read this threaded comment; however, any edits to it will get removed if the file is opened in a newer version of Excel. Learn more: https://go.microsoft.com/fwlink/?linkid=870924
Comment:
    都度コピぺ
MAL：14行目、MQL：16行目、SQL：23行目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tc={5231EEB0-931A-4D10-BD6A-3BA3090E18F1}</author>
    <author>tc={57C8C087-E397-48B5-9CE1-D112EB8C42D9}</author>
    <author>tc={94B3C90E-4ED3-40A7-B2E5-F389224BFBA7}</author>
    <author>tc={4233569F-3B49-47FA-B58B-26A33FCAB185}</author>
    <author>tc={96635639-4B79-434F-8B8B-85EB44C251A8}</author>
  </authors>
  <commentList>
    <comment ref="AY66" authorId="0" shapeId="0" xr:uid="{5231EEB0-931A-4D10-BD6A-3BA3090E18F1}">
      <text>
        <t>[Threaded comment]
Your version of Excel allows you to read this threaded comment; however, any edits to it will get removed if the file is opened in a newer version of Excel. Learn more: https://go.microsoft.com/fwlink/?linkid=870924
Comment:
    チャネル別受注数の欄がないです。</t>
      </text>
    </comment>
    <comment ref="W75" authorId="1" shapeId="0" xr:uid="{57C8C087-E397-48B5-9CE1-D112EB8C42D9}">
      <text>
        <t>[Threaded comment]
Your version of Excel allows you to read this threaded comment; however, any edits to it will get removed if the file is opened in a newer version of Excel. Learn more: https://go.microsoft.com/fwlink/?linkid=870924
Comment:
    ６or 7
再度HubSpotをDLして、実績シートを確認</t>
      </text>
    </comment>
    <comment ref="H85" authorId="2" shapeId="0" xr:uid="{94B3C90E-4ED3-40A7-B2E5-F389224BFBA7}">
      <text>
        <t>[Threaded comment]
Your version of Excel allows you to read this threaded comment; however, any edits to it will get removed if the file is opened in a newer version of Excel. Learn more: https://go.microsoft.com/fwlink/?linkid=870924
Comment:
    9/12OPEN</t>
      </text>
    </comment>
    <comment ref="R86" authorId="3" shapeId="0" xr:uid="{4233569F-3B49-47FA-B58B-26A33FCAB185}">
      <text>
        <t>[Threaded comment]
Your version of Excel allows you to read this threaded comment; however, any edits to it will get removed if the file is opened in a newer version of Excel. Learn more: https://go.microsoft.com/fwlink/?linkid=870924
Comment:
    オレンジ背景：計画</t>
      </text>
    </comment>
    <comment ref="A88" authorId="4" shapeId="0" xr:uid="{96635639-4B79-434F-8B8B-85EB44C251A8}">
      <text>
        <t>[Threaded comment]
Your version of Excel allows you to read this threaded comment; however, any edits to it will get removed if the file is opened in a newer version of Excel. Learn more: https://go.microsoft.com/fwlink/?linkid=870924
Comment:
    SEO（サイト運用、WP、コラム）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tc={DC9C4B4C-91F6-44D0-8836-C1430AF2726A}</author>
    <author>tc={4EEEE7FF-72F1-4542-B5C9-6DFB46076144}</author>
    <author>tc={90A9DCB5-AB7D-42C6-8ADC-9DB1A6612E77}</author>
    <author>tc={31E06B9F-B47B-42C2-9B84-50876C655A6D}</author>
  </authors>
  <commentList>
    <comment ref="AY42" authorId="0" shapeId="0" xr:uid="{DC9C4B4C-91F6-44D0-8836-C1430AF2726A}">
      <text>
        <t>[Threaded comment]
Your version of Excel allows you to read this threaded comment; however, any edits to it will get removed if the file is opened in a newer version of Excel. Learn more: https://go.microsoft.com/fwlink/?linkid=870924
Comment:
    チャネル別受注数の欄がないです。</t>
      </text>
    </comment>
    <comment ref="W51" authorId="1" shapeId="0" xr:uid="{4EEEE7FF-72F1-4542-B5C9-6DFB46076144}">
      <text>
        <t>[Threaded comment]
Your version of Excel allows you to read this threaded comment; however, any edits to it will get removed if the file is opened in a newer version of Excel. Learn more: https://go.microsoft.com/fwlink/?linkid=870924
Comment:
    この数字（問合せ7件、サービス資料件）はどこから来ましたか？
Reply:
    修正いたしました。
（お問い合わせ2件、サービス資料０件）</t>
      </text>
    </comment>
    <comment ref="G61" authorId="2" shapeId="0" xr:uid="{90A9DCB5-AB7D-42C6-8ADC-9DB1A6612E77}">
      <text>
        <t>[Threaded comment]
Your version of Excel allows you to read this threaded comment; however, any edits to it will get removed if the file is opened in a newer version of Excel. Learn more: https://go.microsoft.com/fwlink/?linkid=870924
Comment:
    8/30OPEN</t>
      </text>
    </comment>
    <comment ref="A64" authorId="3" shapeId="0" xr:uid="{31E06B9F-B47B-42C2-9B84-50876C655A6D}">
      <text>
        <t>[Threaded comment]
Your version of Excel allows you to read this threaded comment; however, any edits to it will get removed if the file is opened in a newer version of Excel. Learn more: https://go.microsoft.com/fwlink/?linkid=870924
Comment:
    SEO（サイト運用、WP、コラム）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tc={0376598B-B43A-414B-974C-BA9A3C3945AA}</author>
    <author>tc={666B71CB-ABF6-4784-9CBE-43FC20CEA7BA}</author>
    <author>tc={ECFD5941-B79B-4F81-976B-18EFC632429C}</author>
    <author>tc={C7B429D7-4425-4E62-8CEC-BF663BB308FD}</author>
    <author>tc={3A18998B-9B3B-43C0-A499-51CF4E526083}</author>
  </authors>
  <commentList>
    <comment ref="P5" authorId="0" shapeId="0" xr:uid="{0376598B-B43A-414B-974C-BA9A3C3945AA}">
      <text>
        <t>[Threaded comment]
Your version of Excel allows you to read this threaded comment; however, any edits to it will get removed if the file is opened in a newer version of Excel. Learn more: https://go.microsoft.com/fwlink/?linkid=870924
Comment:
    6件重複あり
Reply:
    修正済み</t>
      </text>
    </comment>
    <comment ref="R5" authorId="1" shapeId="0" xr:uid="{666B71CB-ABF6-4784-9CBE-43FC20CEA7BA}">
      <text>
        <t>[Threaded comment]
Your version of Excel allows you to read this threaded comment; however, any edits to it will get removed if the file is opened in a newer version of Excel. Learn more: https://go.microsoft.com/fwlink/?linkid=870924
Comment:
    5件重複あり
Reply:
    修正済み</t>
      </text>
    </comment>
    <comment ref="AY42" authorId="2" shapeId="0" xr:uid="{ECFD5941-B79B-4F81-976B-18EFC632429C}">
      <text>
        <t>[Threaded comment]
Your version of Excel allows you to read this threaded comment; however, any edits to it will get removed if the file is opened in a newer version of Excel. Learn more: https://go.microsoft.com/fwlink/?linkid=870924
Comment:
    チャネル別受注数の欄がないです。</t>
      </text>
    </comment>
    <comment ref="C61" authorId="3" shapeId="0" xr:uid="{C7B429D7-4425-4E62-8CEC-BF663BB308FD}">
      <text>
        <t>[Threaded comment]
Your version of Excel allows you to read this threaded comment; however, any edits to it will get removed if the file is opened in a newer version of Excel. Learn more: https://go.microsoft.com/fwlink/?linkid=870924
Comment:
    4/1OPEN</t>
      </text>
    </comment>
    <comment ref="A64" authorId="4" shapeId="0" xr:uid="{3A18998B-9B3B-43C0-A499-51CF4E526083}">
      <text>
        <t>[Threaded comment]
Your version of Excel allows you to read this threaded comment; however, any edits to it will get removed if the file is opened in a newer version of Excel. Learn more: https://go.microsoft.com/fwlink/?linkid=870924
Comment:
    SEO（サイト運用、WP、コラム）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tc={5C9FACB5-654E-42D2-A906-CB4F9A0610B6}</author>
    <author>tc={7279C882-0D9A-471E-B5DF-30DD6F838C02}</author>
    <author>tc={C214C47E-9B2A-4F71-97F2-3A3D46A24A39}</author>
    <author>tc={A902AAB9-FD22-4A7E-BE58-87CCCCDB1943}</author>
    <author>tc={87069751-F463-4733-8F57-F4FDE34F68AC}</author>
  </authors>
  <commentList>
    <comment ref="U5" authorId="0" shapeId="0" xr:uid="{5C9FACB5-654E-42D2-A906-CB4F9A0610B6}">
      <text>
        <t>[Threaded comment]
Your version of Excel allows you to read this threaded comment; however, any edits to it will get removed if the file is opened in a newer version of Excel. Learn more: https://go.microsoft.com/fwlink/?linkid=870924
Comment:
    1件重複あり
Reply:
    修正済み</t>
      </text>
    </comment>
    <comment ref="AY42" authorId="1" shapeId="0" xr:uid="{7279C882-0D9A-471E-B5DF-30DD6F838C02}">
      <text>
        <t>[Threaded comment]
Your version of Excel allows you to read this threaded comment; however, any edits to it will get removed if the file is opened in a newer version of Excel. Learn more: https://go.microsoft.com/fwlink/?linkid=870924
Comment:
    チャネル別受注数の欄がないです。</t>
      </text>
    </comment>
    <comment ref="W52" authorId="2" shapeId="0" xr:uid="{C214C47E-9B2A-4F71-97F2-3A3D46A24A39}">
      <text>
        <t>[Threaded comment]
Your version of Excel allows you to read this threaded comment; however, any edits to it will get removed if the file is opened in a newer version of Excel. Learn more: https://go.microsoft.com/fwlink/?linkid=870924
Comment:
    確認中</t>
      </text>
    </comment>
    <comment ref="E63" authorId="3" shapeId="0" xr:uid="{A902AAB9-FD22-4A7E-BE58-87CCCCDB1943}">
      <text>
        <t>[Threaded comment]
Your version of Excel allows you to read this threaded comment; however, any edits to it will get removed if the file is opened in a newer version of Excel. Learn more: https://go.microsoft.com/fwlink/?linkid=870924
Comment:
    6/26OPEN</t>
      </text>
    </comment>
    <comment ref="A66" authorId="4" shapeId="0" xr:uid="{87069751-F463-4733-8F57-F4FDE34F68AC}">
      <text>
        <t>[Threaded comment]
Your version of Excel allows you to read this threaded comment; however, any edits to it will get removed if the file is opened in a newer version of Excel. Learn more: https://go.microsoft.com/fwlink/?linkid=870924
Comment:
    SEO（サイト運用、WP、コラム）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<sst xmlns="http://schemas.openxmlformats.org/spreadsheetml/2006/main" count="2052" uniqueCount="218">
  <si>
    <t>リード実績（オリジナルユニフォーム）</t>
  </si>
  <si>
    <t>2024年度</t>
    <rPh sb="4" eb="6">
      <t>ネンド</t>
    </rPh>
    <phoneticPr fontId="1"/>
  </si>
  <si>
    <t>2025年度</t>
    <rPh sb="4" eb="6">
      <t>ネンド</t>
    </rPh>
    <phoneticPr fontId="1"/>
  </si>
  <si>
    <t>2026年度</t>
  </si>
  <si>
    <t>7/1時点</t>
    <rPh sb="3" eb="5">
      <t>ジテン</t>
    </rPh>
    <phoneticPr fontId="1"/>
  </si>
  <si>
    <t>合計</t>
    <rPh sb="0" eb="2">
      <t>ゴウケイ</t>
    </rPh>
    <phoneticPr fontId="1"/>
  </si>
  <si>
    <t>3月</t>
  </si>
  <si>
    <t>4月</t>
  </si>
  <si>
    <t>5月</t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</si>
  <si>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</si>
  <si>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</si>
  <si>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</si>
  <si>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</si>
  <si>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</si>
  <si>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</si>
  <si>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</si>
  <si>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</si>
  <si>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</si>
  <si>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MAL</t>
    <phoneticPr fontId="1"/>
  </si>
  <si>
    <t>-</t>
  </si>
  <si>
    <t>MQL</t>
    <phoneticPr fontId="1"/>
  </si>
  <si>
    <t>MQL率（MQL/MAL）</t>
    <rPh sb="3" eb="4">
      <t>リツ</t>
    </rPh>
    <phoneticPr fontId="1"/>
  </si>
  <si>
    <t>SAL</t>
    <phoneticPr fontId="1"/>
  </si>
  <si>
    <t>SAL率（SAL/MQL）</t>
    <rPh sb="3" eb="4">
      <t>リツ</t>
    </rPh>
    <phoneticPr fontId="1"/>
  </si>
  <si>
    <t>SQL（案件化数）</t>
  </si>
  <si>
    <t>SQL率（SQL/MQL）</t>
  </si>
  <si>
    <t>受注</t>
    <rPh sb="0" eb="2">
      <t>ジュチュウ</t>
    </rPh>
    <phoneticPr fontId="1"/>
  </si>
  <si>
    <t>受注率（受注/MQL）</t>
  </si>
  <si>
    <t>MAL目標</t>
  </si>
  <si>
    <t>MAL目標達成率</t>
    <rPh sb="3" eb="5">
      <t>モクヒョウ</t>
    </rPh>
    <rPh sb="5" eb="8">
      <t>タッセイリツ</t>
    </rPh>
    <phoneticPr fontId="1"/>
  </si>
  <si>
    <t>MQL目標</t>
    <rPh sb="3" eb="5">
      <t>モクヒョウ</t>
    </rPh>
    <phoneticPr fontId="1"/>
  </si>
  <si>
    <t>MQL目標達成率</t>
    <rPh sb="3" eb="5">
      <t>モクヒョウ</t>
    </rPh>
    <rPh sb="5" eb="8">
      <t>タッセイリツ</t>
    </rPh>
    <phoneticPr fontId="1"/>
  </si>
  <si>
    <t>MQL目標（昨年実績120％）</t>
    <rPh sb="3" eb="5">
      <t>モクヒョウ</t>
    </rPh>
    <rPh sb="6" eb="8">
      <t>サクネン</t>
    </rPh>
    <rPh sb="8" eb="10">
      <t>ジッセキ</t>
    </rPh>
    <phoneticPr fontId="1"/>
  </si>
  <si>
    <t>MQL目標（KWポテンシャル）</t>
  </si>
  <si>
    <t>MQL目標（今年度利益目標111%）</t>
  </si>
  <si>
    <t>MQL目標（平均）</t>
  </si>
  <si>
    <t>SAL目標</t>
  </si>
  <si>
    <t>SQL目標</t>
  </si>
  <si>
    <t>SQL目標達成率</t>
    <rPh sb="3" eb="5">
      <t>モクヒョウ</t>
    </rPh>
    <rPh sb="5" eb="8">
      <t>タッセイリツ</t>
    </rPh>
    <phoneticPr fontId="1"/>
  </si>
  <si>
    <t>SQL目標（昨年実績120％）</t>
  </si>
  <si>
    <t>SQL目標（KWポテンシャル）</t>
  </si>
  <si>
    <t>SQL目標（今年度利益目標111%）</t>
  </si>
  <si>
    <t>SQL目標（平均）</t>
  </si>
  <si>
    <t>予算（予定）</t>
  </si>
  <si>
    <t>予算（実績）合計</t>
  </si>
  <si>
    <t>予算（実績）コラム</t>
  </si>
  <si>
    <t>予算（実績）メルマガ</t>
  </si>
  <si>
    <t>予算（実績）WP</t>
  </si>
  <si>
    <t>予算（実績）事例</t>
  </si>
  <si>
    <t>予算（実績）広告</t>
  </si>
  <si>
    <t>予算（実績）Web運用</t>
  </si>
  <si>
    <t>予算（実績）コンサル</t>
  </si>
  <si>
    <t>予算（実績）その他</t>
  </si>
  <si>
    <t>MQL単価</t>
  </si>
  <si>
    <t>SQL単価</t>
  </si>
  <si>
    <t>受注単価</t>
  </si>
  <si>
    <t>コンテンツマーケ実績</t>
    <rPh sb="8" eb="10">
      <t>ジッセキ</t>
    </rPh>
    <phoneticPr fontId="1"/>
  </si>
  <si>
    <t>MQL_Organic</t>
  </si>
  <si>
    <t>MQL_Paid</t>
  </si>
  <si>
    <t>MQL_Display</t>
  </si>
  <si>
    <t>MQL_Email</t>
  </si>
  <si>
    <t>MQL_Direct</t>
  </si>
  <si>
    <t>MQL_Referral</t>
  </si>
  <si>
    <t>MQL_OrganicSocial</t>
  </si>
  <si>
    <t>MQL_Offline</t>
  </si>
  <si>
    <t>MQL_Other</t>
  </si>
  <si>
    <t>CV（問い合わせ）</t>
  </si>
  <si>
    <t>CV（サービス資料DL）</t>
  </si>
  <si>
    <t>CV（WPDL）</t>
  </si>
  <si>
    <t>CV（合計）</t>
    <rPh sb="3" eb="5">
      <t>ゴウケイ</t>
    </rPh>
    <phoneticPr fontId="1"/>
  </si>
  <si>
    <t>CV（目標）</t>
    <rPh sb="3" eb="5">
      <t>モクヒョウ</t>
    </rPh>
    <phoneticPr fontId="1"/>
  </si>
  <si>
    <t>リード実績（学生服）</t>
  </si>
  <si>
    <t>予算</t>
    <rPh sb="0" eb="2">
      <t>ヨサン</t>
    </rPh>
    <phoneticPr fontId="1"/>
  </si>
  <si>
    <t>予算（実績）</t>
    <rPh sb="0" eb="2">
      <t>ヨサン</t>
    </rPh>
    <rPh sb="3" eb="5">
      <t>ジッセキ</t>
    </rPh>
    <phoneticPr fontId="1"/>
  </si>
  <si>
    <t>CV単価</t>
  </si>
  <si>
    <t>SQL単価</t>
    <rPh sb="3" eb="5">
      <t>タンカ</t>
    </rPh>
    <phoneticPr fontId="1"/>
  </si>
  <si>
    <t>受注単価</t>
    <rPh sb="0" eb="2">
      <t>ジュチュウ</t>
    </rPh>
    <rPh sb="2" eb="4">
      <t>タンカ</t>
    </rPh>
    <phoneticPr fontId="1"/>
  </si>
  <si>
    <t>リード実績（メディカル）</t>
  </si>
  <si>
    <t>MQL目標</t>
  </si>
  <si>
    <t>リード実績（インサイトセールス）</t>
  </si>
  <si>
    <t>SQL（商談数）</t>
    <rPh sb="4" eb="6">
      <t>ショウダン</t>
    </rPh>
    <rPh sb="6" eb="7">
      <t>スウ</t>
    </rPh>
    <phoneticPr fontId="1"/>
  </si>
  <si>
    <t>CV目標</t>
  </si>
  <si>
    <t>UN</t>
  </si>
  <si>
    <t>前年同月</t>
    <rPh sb="2" eb="4">
      <t>ドウゲツ</t>
    </rPh>
    <phoneticPr fontId="1"/>
  </si>
  <si>
    <t>前月</t>
  </si>
  <si>
    <t>当月</t>
  </si>
  <si>
    <t>前年比</t>
    <rPh sb="0" eb="3">
      <t>ゼンネンヒ</t>
    </rPh>
    <phoneticPr fontId="1"/>
  </si>
  <si>
    <t>前月比</t>
  </si>
  <si>
    <t>当年計</t>
  </si>
  <si>
    <t>当年
目標達成率</t>
    <rPh sb="0" eb="2">
      <t>トウネン</t>
    </rPh>
    <rPh sb="3" eb="8">
      <t>モクヒョウタッセイリツ</t>
    </rPh>
    <phoneticPr fontId="1"/>
  </si>
  <si>
    <t>当月時点
目標達成率</t>
    <phoneticPr fontId="1"/>
  </si>
  <si>
    <t>SCH</t>
  </si>
  <si>
    <t>当月時点
目標達成率</t>
  </si>
  <si>
    <t>MAL</t>
  </si>
  <si>
    <t>MQL</t>
  </si>
  <si>
    <t>MQL率</t>
    <rPh sb="3" eb="4">
      <t>リツ</t>
    </rPh>
    <phoneticPr fontId="1"/>
  </si>
  <si>
    <t>SAL率</t>
  </si>
  <si>
    <t>0%</t>
  </si>
  <si>
    <t>SQL</t>
  </si>
  <si>
    <t>SQL率</t>
  </si>
  <si>
    <t>受注率</t>
  </si>
  <si>
    <t>MED</t>
  </si>
  <si>
    <t>IS</t>
  </si>
  <si>
    <t>メディカル</t>
  </si>
  <si>
    <t>SQL数</t>
  </si>
  <si>
    <t>受注数</t>
  </si>
  <si>
    <t>受注金額（合計）</t>
  </si>
  <si>
    <t>総計</t>
  </si>
  <si>
    <t>MQL数</t>
  </si>
  <si>
    <t>月</t>
  </si>
  <si>
    <t>マーケMQL</t>
  </si>
  <si>
    <t>既製品</t>
  </si>
  <si>
    <t>オリジナル</t>
  </si>
  <si>
    <t>受注金額</t>
  </si>
  <si>
    <t>SQL率10％</t>
  </si>
  <si>
    <t>SQL率5％</t>
  </si>
  <si>
    <t>平均</t>
  </si>
  <si>
    <t>2025目標</t>
  </si>
  <si>
    <t>※2025年営業利益20億目標</t>
  </si>
  <si>
    <t>※2024年営業利益予算18億</t>
  </si>
  <si>
    <t>※伸長率1.11で2025年目標を計算</t>
  </si>
  <si>
    <t>インサイト</t>
  </si>
  <si>
    <t>新規</t>
  </si>
  <si>
    <t>オリジナルユニフォーム</t>
  </si>
  <si>
    <t>総合</t>
  </si>
  <si>
    <t>既存</t>
  </si>
  <si>
    <t>スクール</t>
  </si>
  <si>
    <t>目標数（通期）</t>
    <rPh sb="0" eb="2">
      <t>モクヒョウ</t>
    </rPh>
    <rPh sb="2" eb="3">
      <t>スウ</t>
    </rPh>
    <rPh sb="4" eb="6">
      <t>ツウキ</t>
    </rPh>
    <phoneticPr fontId="1"/>
  </si>
  <si>
    <t>目標達成率（通期）</t>
    <rPh sb="0" eb="5">
      <t>モクヒョウタッセイリツ</t>
    </rPh>
    <rPh sb="6" eb="8">
      <t>ツウキ</t>
    </rPh>
    <phoneticPr fontId="1"/>
  </si>
  <si>
    <t>受注単価</t>
    <rPh sb="0" eb="4">
      <t>ジュチュウタンカ</t>
    </rPh>
    <phoneticPr fontId="1"/>
  </si>
  <si>
    <t>2月</t>
  </si>
  <si>
    <t>3月</t>
    <rPh sb="1" eb="2">
      <t>ガツ</t>
    </rPh>
    <phoneticPr fontId="1"/>
  </si>
  <si>
    <t>6月</t>
  </si>
  <si>
    <t>7月</t>
  </si>
  <si>
    <t>8月</t>
  </si>
  <si>
    <t>9月</t>
  </si>
  <si>
    <t>10月</t>
  </si>
  <si>
    <t>11月</t>
  </si>
  <si>
    <t>12月</t>
  </si>
  <si>
    <t>1月</t>
  </si>
  <si>
    <t>MAL（セッション）</t>
  </si>
  <si>
    <t>MQL（ユニークアカウント）</t>
  </si>
  <si>
    <t>目標達成率</t>
    <rPh sb="0" eb="2">
      <t>モクヒョウ</t>
    </rPh>
    <rPh sb="2" eb="5">
      <t>タッセイリツ</t>
    </rPh>
    <phoneticPr fontId="1"/>
  </si>
  <si>
    <t/>
  </si>
  <si>
    <t>MQL単価｜コラム</t>
  </si>
  <si>
    <t>MQL単価｜メルマガ</t>
  </si>
  <si>
    <t>MQL単価｜WP</t>
  </si>
  <si>
    <t>MQL単価｜事例</t>
  </si>
  <si>
    <t>MQL単価｜広告</t>
  </si>
  <si>
    <t>MQL単価｜Web運用</t>
  </si>
  <si>
    <t>MQL単価｜コンサル</t>
  </si>
  <si>
    <t>MQL単価｜その他</t>
  </si>
  <si>
    <t>SQL単価｜コラム</t>
  </si>
  <si>
    <t>SQL単価｜メルマガ</t>
  </si>
  <si>
    <t>SQL単価｜WP</t>
  </si>
  <si>
    <t>SQL単価｜事例</t>
  </si>
  <si>
    <t>SQL単価｜広告</t>
  </si>
  <si>
    <t>SQL単価｜Web運用</t>
  </si>
  <si>
    <t>SQL単価｜コンサル</t>
  </si>
  <si>
    <t>SQL単価｜その他</t>
  </si>
  <si>
    <t>受注単価｜コラム</t>
  </si>
  <si>
    <t>受注単価｜メルマガ</t>
  </si>
  <si>
    <t>受注単価｜WP</t>
  </si>
  <si>
    <t>受注単価｜事例</t>
  </si>
  <si>
    <t>受注単価｜広告</t>
  </si>
  <si>
    <t>受注単価｜Web運用</t>
  </si>
  <si>
    <t>受注単価｜コンサル</t>
  </si>
  <si>
    <t>受注単価｜その他</t>
  </si>
  <si>
    <t>CV_Organic</t>
  </si>
  <si>
    <t>CV_Paid</t>
  </si>
  <si>
    <t>CV_Email</t>
  </si>
  <si>
    <t>CV_Direct</t>
  </si>
  <si>
    <t>CV_Referral</t>
  </si>
  <si>
    <t>CV_OrganicSocial</t>
  </si>
  <si>
    <t>CV_Unassigned</t>
  </si>
  <si>
    <t>エンゲージメント率</t>
  </si>
  <si>
    <t>目標達成率（月別）</t>
    <rPh sb="0" eb="2">
      <t>モクヒョウ</t>
    </rPh>
    <rPh sb="2" eb="5">
      <t>タッセイリツ</t>
    </rPh>
    <rPh sb="6" eb="8">
      <t>ツキベツ</t>
    </rPh>
    <phoneticPr fontId="1"/>
  </si>
  <si>
    <t>施策実施実績</t>
  </si>
  <si>
    <t>サイト運用</t>
  </si>
  <si>
    <t>コラム</t>
  </si>
  <si>
    <t>WP</t>
  </si>
  <si>
    <t>リスティング実費</t>
  </si>
  <si>
    <t>メルマガ</t>
  </si>
  <si>
    <t>CV目標（昨年実績120％）</t>
    <rPh sb="2" eb="4">
      <t>モクヒョウ</t>
    </rPh>
    <phoneticPr fontId="1"/>
  </si>
  <si>
    <t>CV目標（KWポテンシャル）</t>
  </si>
  <si>
    <t>表示回数</t>
  </si>
  <si>
    <t>クリック数</t>
  </si>
  <si>
    <t>クリック率</t>
  </si>
  <si>
    <t>クリック単価</t>
  </si>
  <si>
    <t>ご利用額</t>
  </si>
  <si>
    <t>獲得件数</t>
  </si>
  <si>
    <t>獲得率</t>
  </si>
  <si>
    <t>獲得単価</t>
  </si>
  <si>
    <t>前月差</t>
  </si>
  <si>
    <t>キャンペーン</t>
  </si>
  <si>
    <t>広告グループ</t>
  </si>
  <si>
    <t>1-1)企業UN_オリジナルユニフォーム</t>
  </si>
  <si>
    <t>001)オリジナルユニフォーム</t>
  </si>
  <si>
    <r>
      <rPr>
        <sz val="9"/>
        <color rgb="FF000000"/>
        <rFont val="游ゴシック"/>
        <family val="2"/>
        <scheme val="minor"/>
      </rPr>
      <t>1-2)企業UN_オフィスファッション</t>
    </r>
    <r>
      <rPr>
        <sz val="9"/>
        <color rgb="FFFF0000"/>
        <rFont val="游ゴシック"/>
        <family val="2"/>
        <scheme val="minor"/>
      </rPr>
      <t>停止</t>
    </r>
  </si>
  <si>
    <t>002)オフィス・ファッション系ユニフォーム_office/</t>
  </si>
  <si>
    <t>1-3)企業UN_飲食・接客</t>
  </si>
  <si>
    <t>003)飲食・接客ユニフォーム_service/</t>
  </si>
  <si>
    <r>
      <rPr>
        <sz val="9"/>
        <color rgb="FF000000"/>
        <rFont val="游ゴシック"/>
        <family val="2"/>
        <scheme val="minor"/>
      </rPr>
      <t>1-4)企業UN_作業服</t>
    </r>
    <r>
      <rPr>
        <sz val="9"/>
        <color rgb="FFFF0000"/>
        <rFont val="游ゴシック"/>
        <family val="2"/>
        <scheme val="minor"/>
      </rPr>
      <t>停止</t>
    </r>
  </si>
  <si>
    <t>004)工場内・建設・運送・インフラ作業服_work/</t>
  </si>
  <si>
    <t>２-1)メイン_学生服#2</t>
  </si>
  <si>
    <t>001)学生服</t>
  </si>
  <si>
    <t>0-1)指名_メディカルウェア</t>
  </si>
  <si>
    <t>001)指名</t>
  </si>
  <si>
    <t>0-2)メディカルウェア</t>
  </si>
  <si>
    <t>001)メディカルウェア</t>
  </si>
  <si>
    <t>3-1)インサイトセールス_セールスプロモーション</t>
  </si>
  <si>
    <t>001)セールスプロモーション</t>
  </si>
  <si>
    <t>3-2)インサイトセールス_コーポレートブランディング</t>
  </si>
  <si>
    <t>002)コーポレートブランディング</t>
  </si>
  <si>
    <t>3-3)インサイトセールス_インナーブランディング</t>
  </si>
  <si>
    <t>003)インナーブランディング</t>
  </si>
  <si>
    <t>3-4)インサイトセールス_OEM・ODM</t>
  </si>
  <si>
    <t>004)OEM・ODM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</si>
</sst>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 * #,##0_ ;_ * \-#,##0_ ;_ * &quot;-&quot;_ ;_ @_ "/>
    <numFmt numFmtId="176" formatCode="0.0%"/>
    <numFmt numFmtId="177" formatCode="&quot;¥&quot;#,##0_);[Red]\(&quot;¥&quot;#,##0\)"/>
    <numFmt numFmtId="178" formatCode="_ * #,##0.0_ ;_ * \-#,##0.0_ ;_ * &quot;-&quot;?_ ;_ @_ "/>
    <numFmt numFmtId="179" formatCode="0.0"/>
    <numFmt numFmtId="180" formatCode="_ * #,##0_ ;_ * \-#,##0_ ;_ * &quot;-&quot;?_ ;_ @_ "/>
    <numFmt numFmtId="181" formatCode="m&quot;月&quot;"/>
    <numFmt numFmtId="182" formatCode="&quot;¥&quot;#,##0;[Red]\-#,##0"/>
  </numFmts>
  <fonts count="2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Consolas, Monaco, Menlo, Courie"/>
    </font>
    <font>
      <sz val="8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rgb="FF000000"/>
      <name val="游ゴシック"/>
      <family val="2"/>
      <scheme val="minor"/>
    </font>
    <font>
      <sz val="9"/>
      <color rgb="FFFF0000"/>
      <name val="游ゴシック"/>
      <family val="2"/>
      <scheme val="minor"/>
    </font>
    <font>
      <sz val="9"/>
      <color theme="1"/>
      <name val="游ゴシック"/>
      <family val="2"/>
      <scheme val="minor"/>
    </font>
    <font>
      <b/>
      <sz val="11"/>
      <color rgb="FFFF0000"/>
      <name val="游ゴシック"/>
      <family val="2"/>
      <charset val="128"/>
      <scheme val="minor"/>
    </font>
    <font>
      <b/>
      <sz val="11"/>
      <color theme="8" tint="0.3999755851924192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E3"/>
        <bgColor indexed="64"/>
      </patternFill>
    </fill>
    <fill>
      <patternFill patternType="solid">
        <fgColor rgb="FFE3FFF9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</cellStyleXfs>
  <cellXfs count="18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0" fillId="4" borderId="0" xfId="0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177" fontId="0" fillId="2" borderId="0" xfId="0" applyNumberFormat="1" applyFill="1">
      <alignment vertical="center"/>
    </xf>
    <xf numFmtId="4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6" borderId="0" xfId="0" applyFill="1" applyAlignment="1">
      <alignment horizontal="right" vertical="center"/>
    </xf>
    <xf numFmtId="176" fontId="0" fillId="6" borderId="0" xfId="0" applyNumberFormat="1" applyFill="1">
      <alignment vertical="center"/>
    </xf>
    <xf numFmtId="41" fontId="0" fillId="6" borderId="0" xfId="0" applyNumberFormat="1" applyFill="1">
      <alignment vertical="center"/>
    </xf>
    <xf numFmtId="0" fontId="0" fillId="3" borderId="0" xfId="0" applyFill="1" applyAlignment="1">
      <alignment horizontal="right" vertical="center"/>
    </xf>
    <xf numFmtId="176" fontId="0" fillId="3" borderId="0" xfId="0" applyNumberFormat="1" applyFill="1">
      <alignment vertical="center"/>
    </xf>
    <xf numFmtId="41" fontId="0" fillId="3" borderId="0" xfId="0" applyNumberFormat="1" applyFill="1">
      <alignment vertical="center"/>
    </xf>
    <xf numFmtId="0" fontId="4" fillId="10" borderId="0" xfId="0" applyFont="1" applyFill="1">
      <alignment vertical="center"/>
    </xf>
    <xf numFmtId="0" fontId="4" fillId="0" borderId="0" xfId="0" applyFont="1">
      <alignment vertical="center"/>
    </xf>
    <xf numFmtId="0" fontId="0" fillId="11" borderId="0" xfId="0" applyFill="1">
      <alignment vertical="center"/>
    </xf>
    <xf numFmtId="177" fontId="0" fillId="2" borderId="0" xfId="0" applyNumberFormat="1" applyFill="1" applyAlignment="1">
      <alignment horizontal="center" vertical="center"/>
    </xf>
    <xf numFmtId="177" fontId="0" fillId="12" borderId="0" xfId="0" applyNumberForma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9" fontId="0" fillId="0" borderId="0" xfId="0" applyNumberFormat="1">
      <alignment vertical="center"/>
    </xf>
    <xf numFmtId="2" fontId="0" fillId="3" borderId="0" xfId="0" applyNumberFormat="1" applyFill="1" applyAlignment="1">
      <alignment horizontal="center" vertical="center"/>
    </xf>
    <xf numFmtId="178" fontId="0" fillId="0" borderId="0" xfId="0" applyNumberFormat="1">
      <alignment vertical="center"/>
    </xf>
    <xf numFmtId="0" fontId="0" fillId="7" borderId="0" xfId="0" applyFill="1">
      <alignment vertical="center"/>
    </xf>
    <xf numFmtId="177" fontId="3" fillId="2" borderId="0" xfId="0" applyNumberFormat="1" applyFont="1" applyFill="1" applyAlignment="1">
      <alignment horizontal="right" vertical="center"/>
    </xf>
    <xf numFmtId="10" fontId="0" fillId="0" borderId="0" xfId="0" applyNumberFormat="1">
      <alignment vertical="center"/>
    </xf>
    <xf numFmtId="179" fontId="0" fillId="6" borderId="0" xfId="0" applyNumberFormat="1" applyFill="1">
      <alignment vertical="center"/>
    </xf>
    <xf numFmtId="1" fontId="0" fillId="6" borderId="0" xfId="0" applyNumberFormat="1" applyFill="1">
      <alignment vertical="center"/>
    </xf>
    <xf numFmtId="10" fontId="0" fillId="3" borderId="0" xfId="0" applyNumberFormat="1" applyFill="1">
      <alignment vertical="center"/>
    </xf>
    <xf numFmtId="10" fontId="0" fillId="6" borderId="0" xfId="0" applyNumberFormat="1" applyFill="1">
      <alignment vertical="center"/>
    </xf>
    <xf numFmtId="178" fontId="0" fillId="3" borderId="0" xfId="0" applyNumberFormat="1" applyFill="1">
      <alignment vertical="center"/>
    </xf>
    <xf numFmtId="0" fontId="8" fillId="2" borderId="0" xfId="0" applyFont="1" applyFill="1">
      <alignment vertical="center"/>
    </xf>
    <xf numFmtId="177" fontId="7" fillId="2" borderId="0" xfId="0" applyNumberFormat="1" applyFont="1" applyFill="1">
      <alignment vertical="center"/>
    </xf>
    <xf numFmtId="177" fontId="7" fillId="2" borderId="0" xfId="0" applyNumberFormat="1" applyFont="1" applyFill="1" applyAlignment="1">
      <alignment vertical="center" wrapText="1"/>
    </xf>
    <xf numFmtId="180" fontId="0" fillId="3" borderId="0" xfId="0" applyNumberFormat="1" applyFill="1">
      <alignment vertical="center"/>
    </xf>
    <xf numFmtId="0" fontId="0" fillId="13" borderId="0" xfId="0" applyFill="1" applyAlignment="1">
      <alignment horizontal="center" vertical="center"/>
    </xf>
    <xf numFmtId="0" fontId="0" fillId="14" borderId="0" xfId="0" applyFill="1">
      <alignment vertical="center"/>
    </xf>
    <xf numFmtId="0" fontId="0" fillId="14" borderId="0" xfId="0" applyFill="1" applyAlignment="1">
      <alignment horizontal="center" vertical="center"/>
    </xf>
    <xf numFmtId="55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9" fillId="0" borderId="0" xfId="0" applyFont="1">
      <alignment vertical="center"/>
    </xf>
    <xf numFmtId="55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41" fontId="0" fillId="15" borderId="1" xfId="0" applyNumberFormat="1" applyFill="1" applyBorder="1" applyAlignment="1">
      <alignment horizontal="center" vertical="center"/>
    </xf>
    <xf numFmtId="55" fontId="10" fillId="0" borderId="0" xfId="0" applyNumberFormat="1" applyFont="1" applyAlignment="1">
      <alignment vertical="top" wrapText="1"/>
    </xf>
    <xf numFmtId="0" fontId="10" fillId="0" borderId="0" xfId="0" applyFont="1" applyAlignment="1">
      <alignment vertical="top" wrapText="1"/>
    </xf>
    <xf numFmtId="55" fontId="10" fillId="15" borderId="0" xfId="0" applyNumberFormat="1" applyFont="1" applyFill="1" applyAlignment="1">
      <alignment vertical="top" wrapText="1"/>
    </xf>
    <xf numFmtId="0" fontId="10" fillId="15" borderId="0" xfId="0" applyFont="1" applyFill="1" applyAlignment="1">
      <alignment vertical="top" wrapText="1"/>
    </xf>
    <xf numFmtId="0" fontId="0" fillId="15" borderId="0" xfId="0" applyFill="1">
      <alignment vertical="center"/>
    </xf>
    <xf numFmtId="41" fontId="0" fillId="15" borderId="0" xfId="0" applyNumberFormat="1" applyFill="1">
      <alignment vertical="center"/>
    </xf>
    <xf numFmtId="55" fontId="10" fillId="15" borderId="2" xfId="0" applyNumberFormat="1" applyFont="1" applyFill="1" applyBorder="1" applyAlignment="1">
      <alignment vertical="top" wrapText="1"/>
    </xf>
    <xf numFmtId="0" fontId="10" fillId="15" borderId="2" xfId="0" applyFont="1" applyFill="1" applyBorder="1" applyAlignment="1">
      <alignment vertical="top" wrapText="1"/>
    </xf>
    <xf numFmtId="0" fontId="0" fillId="15" borderId="2" xfId="0" applyFill="1" applyBorder="1">
      <alignment vertical="center"/>
    </xf>
    <xf numFmtId="41" fontId="0" fillId="15" borderId="2" xfId="0" applyNumberFormat="1" applyFill="1" applyBorder="1">
      <alignment vertical="center"/>
    </xf>
    <xf numFmtId="55" fontId="9" fillId="15" borderId="0" xfId="0" applyNumberFormat="1" applyFont="1" applyFill="1">
      <alignment vertical="center"/>
    </xf>
    <xf numFmtId="0" fontId="9" fillId="15" borderId="0" xfId="0" applyFont="1" applyFill="1">
      <alignment vertical="center"/>
    </xf>
    <xf numFmtId="10" fontId="9" fillId="15" borderId="0" xfId="0" applyNumberFormat="1" applyFont="1" applyFill="1">
      <alignment vertical="center"/>
    </xf>
    <xf numFmtId="41" fontId="9" fillId="15" borderId="0" xfId="0" applyNumberFormat="1" applyFont="1" applyFill="1">
      <alignment vertical="center"/>
    </xf>
    <xf numFmtId="0" fontId="0" fillId="0" borderId="0" xfId="0" applyAlignment="1">
      <alignment horizontal="center" vertical="center"/>
    </xf>
    <xf numFmtId="55" fontId="0" fillId="15" borderId="0" xfId="0" applyNumberFormat="1" applyFill="1">
      <alignment vertical="center"/>
    </xf>
    <xf numFmtId="10" fontId="0" fillId="15" borderId="0" xfId="0" applyNumberFormat="1" applyFill="1">
      <alignment vertical="center"/>
    </xf>
    <xf numFmtId="55" fontId="0" fillId="0" borderId="2" xfId="0" applyNumberFormat="1" applyBorder="1">
      <alignment vertical="center"/>
    </xf>
    <xf numFmtId="0" fontId="0" fillId="0" borderId="2" xfId="0" applyBorder="1">
      <alignment vertical="center"/>
    </xf>
    <xf numFmtId="10" fontId="0" fillId="0" borderId="2" xfId="0" applyNumberFormat="1" applyBorder="1">
      <alignment vertical="center"/>
    </xf>
    <xf numFmtId="41" fontId="0" fillId="0" borderId="2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41" fontId="0" fillId="0" borderId="3" xfId="0" applyNumberFormat="1" applyBorder="1" applyAlignment="1">
      <alignment horizontal="center" vertical="center"/>
    </xf>
    <xf numFmtId="10" fontId="0" fillId="15" borderId="2" xfId="0" applyNumberFormat="1" applyFill="1" applyBorder="1">
      <alignment vertical="center"/>
    </xf>
    <xf numFmtId="41" fontId="0" fillId="3" borderId="0" xfId="0" applyNumberFormat="1" applyFill="1" applyAlignment="1">
      <alignment horizontal="center" vertical="center"/>
    </xf>
    <xf numFmtId="0" fontId="0" fillId="16" borderId="0" xfId="0" applyFill="1">
      <alignment vertical="center"/>
    </xf>
    <xf numFmtId="177" fontId="0" fillId="16" borderId="0" xfId="0" applyNumberFormat="1" applyFill="1">
      <alignment vertical="center"/>
    </xf>
    <xf numFmtId="0" fontId="0" fillId="16" borderId="0" xfId="0" applyFill="1" applyAlignment="1">
      <alignment horizontal="center" vertical="center"/>
    </xf>
    <xf numFmtId="177" fontId="0" fillId="16" borderId="0" xfId="0" applyNumberFormat="1" applyFill="1" applyAlignment="1">
      <alignment horizontal="center" vertical="center"/>
    </xf>
    <xf numFmtId="0" fontId="0" fillId="17" borderId="0" xfId="0" applyFill="1">
      <alignment vertical="center"/>
    </xf>
    <xf numFmtId="177" fontId="0" fillId="17" borderId="0" xfId="0" applyNumberFormat="1" applyFill="1">
      <alignment vertical="center"/>
    </xf>
    <xf numFmtId="0" fontId="0" fillId="17" borderId="0" xfId="0" applyFill="1" applyAlignment="1">
      <alignment horizontal="center" vertical="center"/>
    </xf>
    <xf numFmtId="177" fontId="0" fillId="17" borderId="0" xfId="0" applyNumberFormat="1" applyFill="1" applyAlignment="1">
      <alignment horizontal="center" vertical="center"/>
    </xf>
    <xf numFmtId="0" fontId="8" fillId="17" borderId="0" xfId="0" applyFont="1" applyFill="1">
      <alignment vertical="center"/>
    </xf>
    <xf numFmtId="177" fontId="8" fillId="17" borderId="0" xfId="0" applyNumberFormat="1" applyFont="1" applyFill="1">
      <alignment vertical="center"/>
    </xf>
    <xf numFmtId="0" fontId="8" fillId="17" borderId="0" xfId="0" applyFont="1" applyFill="1" applyAlignment="1">
      <alignment horizontal="center" vertical="center"/>
    </xf>
    <xf numFmtId="177" fontId="8" fillId="17" borderId="0" xfId="0" applyNumberFormat="1" applyFont="1" applyFill="1" applyAlignment="1">
      <alignment horizontal="right" vertical="center"/>
    </xf>
    <xf numFmtId="177" fontId="0" fillId="17" borderId="0" xfId="0" applyNumberFormat="1" applyFill="1" applyAlignment="1">
      <alignment horizontal="right" vertical="center"/>
    </xf>
    <xf numFmtId="177" fontId="0" fillId="16" borderId="0" xfId="0" applyNumberFormat="1" applyFill="1" applyAlignment="1">
      <alignment horizontal="right" vertical="center"/>
    </xf>
    <xf numFmtId="0" fontId="0" fillId="5" borderId="0" xfId="0" applyFill="1" applyAlignment="1">
      <alignment horizontal="left" vertical="center"/>
    </xf>
    <xf numFmtId="177" fontId="8" fillId="5" borderId="0" xfId="0" applyNumberFormat="1" applyFont="1" applyFill="1" applyAlignment="1">
      <alignment horizontal="center" vertical="center"/>
    </xf>
    <xf numFmtId="177" fontId="0" fillId="5" borderId="0" xfId="0" applyNumberFormat="1" applyFill="1" applyAlignment="1">
      <alignment horizontal="right" vertical="center"/>
    </xf>
    <xf numFmtId="177" fontId="0" fillId="5" borderId="0" xfId="0" applyNumberFormat="1" applyFill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177" fontId="0" fillId="5" borderId="0" xfId="0" applyNumberFormat="1" applyFill="1">
      <alignment vertical="center"/>
    </xf>
    <xf numFmtId="177" fontId="8" fillId="5" borderId="0" xfId="0" applyNumberFormat="1" applyFont="1" applyFill="1" applyAlignment="1">
      <alignment horizontal="right" vertical="center"/>
    </xf>
    <xf numFmtId="0" fontId="8" fillId="5" borderId="0" xfId="0" applyFont="1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176" fontId="0" fillId="5" borderId="0" xfId="1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55" fontId="0" fillId="15" borderId="2" xfId="0" applyNumberFormat="1" applyFill="1" applyBorder="1">
      <alignment vertical="center"/>
    </xf>
    <xf numFmtId="55" fontId="13" fillId="15" borderId="0" xfId="0" applyNumberFormat="1" applyFont="1" applyFill="1" applyAlignment="1">
      <alignment vertical="top" wrapText="1"/>
    </xf>
    <xf numFmtId="55" fontId="13" fillId="15" borderId="2" xfId="0" applyNumberFormat="1" applyFont="1" applyFill="1" applyBorder="1" applyAlignment="1">
      <alignment vertical="top" wrapText="1"/>
    </xf>
    <xf numFmtId="10" fontId="0" fillId="0" borderId="0" xfId="1" applyNumberFormat="1" applyFont="1">
      <alignment vertical="center"/>
    </xf>
    <xf numFmtId="177" fontId="8" fillId="17" borderId="0" xfId="0" applyNumberFormat="1" applyFont="1" applyFill="1" applyAlignment="1">
      <alignment horizontal="center" vertical="center"/>
    </xf>
    <xf numFmtId="0" fontId="14" fillId="3" borderId="0" xfId="0" applyFont="1" applyFill="1">
      <alignment vertical="center"/>
    </xf>
    <xf numFmtId="181" fontId="0" fillId="2" borderId="0" xfId="0" applyNumberFormat="1" applyFill="1" applyAlignment="1">
      <alignment horizontal="center" vertical="center"/>
    </xf>
    <xf numFmtId="0" fontId="15" fillId="2" borderId="0" xfId="0" applyFont="1" applyFill="1">
      <alignment vertical="center"/>
    </xf>
    <xf numFmtId="0" fontId="15" fillId="17" borderId="0" xfId="0" applyFont="1" applyFill="1">
      <alignment vertical="center"/>
    </xf>
    <xf numFmtId="0" fontId="15" fillId="0" borderId="0" xfId="0" applyFont="1">
      <alignment vertical="center"/>
    </xf>
    <xf numFmtId="0" fontId="0" fillId="12" borderId="0" xfId="0" applyFill="1" applyAlignment="1">
      <alignment horizontal="center" vertical="center"/>
    </xf>
    <xf numFmtId="3" fontId="0" fillId="17" borderId="0" xfId="0" applyNumberFormat="1" applyFill="1">
      <alignment vertical="center"/>
    </xf>
    <xf numFmtId="0" fontId="6" fillId="2" borderId="0" xfId="0" applyFont="1" applyFill="1">
      <alignment vertical="center"/>
    </xf>
    <xf numFmtId="0" fontId="6" fillId="17" borderId="0" xfId="0" applyFont="1" applyFill="1">
      <alignment vertical="center"/>
    </xf>
    <xf numFmtId="179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1" borderId="0" xfId="0" applyFill="1" applyAlignment="1">
      <alignment horizontal="center" vertical="center"/>
    </xf>
    <xf numFmtId="176" fontId="0" fillId="11" borderId="0" xfId="0" applyNumberFormat="1" applyFill="1" applyAlignment="1">
      <alignment horizontal="center" vertical="center"/>
    </xf>
    <xf numFmtId="0" fontId="16" fillId="17" borderId="0" xfId="0" applyFont="1" applyFill="1">
      <alignment vertical="center"/>
    </xf>
    <xf numFmtId="177" fontId="16" fillId="17" borderId="0" xfId="0" applyNumberFormat="1" applyFont="1" applyFill="1">
      <alignment vertical="center"/>
    </xf>
    <xf numFmtId="177" fontId="16" fillId="17" borderId="0" xfId="0" applyNumberFormat="1" applyFont="1" applyFill="1" applyAlignment="1">
      <alignment horizontal="right" vertical="center"/>
    </xf>
    <xf numFmtId="177" fontId="16" fillId="5" borderId="0" xfId="0" applyNumberFormat="1" applyFont="1" applyFill="1" applyAlignment="1">
      <alignment horizontal="center" vertical="center"/>
    </xf>
    <xf numFmtId="177" fontId="16" fillId="17" borderId="0" xfId="0" applyNumberFormat="1" applyFont="1" applyFill="1" applyAlignment="1">
      <alignment horizontal="center" vertical="center"/>
    </xf>
    <xf numFmtId="0" fontId="17" fillId="0" borderId="0" xfId="0" applyFont="1">
      <alignment vertical="center"/>
    </xf>
    <xf numFmtId="0" fontId="16" fillId="2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177" fontId="16" fillId="2" borderId="0" xfId="0" applyNumberFormat="1" applyFont="1" applyFill="1" applyAlignment="1">
      <alignment horizontal="center" vertical="center"/>
    </xf>
    <xf numFmtId="0" fontId="16" fillId="2" borderId="0" xfId="0" applyFont="1" applyFill="1">
      <alignment vertical="center"/>
    </xf>
    <xf numFmtId="0" fontId="18" fillId="0" borderId="0" xfId="0" applyFont="1">
      <alignment vertical="center"/>
    </xf>
    <xf numFmtId="182" fontId="0" fillId="17" borderId="0" xfId="2" applyNumberFormat="1" applyFont="1" applyFill="1">
      <alignment vertical="center"/>
    </xf>
    <xf numFmtId="182" fontId="0" fillId="17" borderId="0" xfId="2" applyNumberFormat="1" applyFont="1" applyFill="1" applyAlignment="1">
      <alignment horizontal="right" vertical="center"/>
    </xf>
    <xf numFmtId="0" fontId="10" fillId="0" borderId="0" xfId="0" applyFont="1">
      <alignment vertical="center"/>
    </xf>
    <xf numFmtId="0" fontId="2" fillId="6" borderId="0" xfId="0" applyFont="1" applyFill="1" applyAlignment="1">
      <alignment horizontal="center" vertical="center"/>
    </xf>
    <xf numFmtId="176" fontId="0" fillId="6" borderId="0" xfId="1" applyNumberFormat="1" applyFont="1" applyFill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176" fontId="16" fillId="0" borderId="0" xfId="1" applyNumberFormat="1" applyFont="1" applyAlignment="1">
      <alignment horizontal="center" vertical="center"/>
    </xf>
    <xf numFmtId="176" fontId="16" fillId="0" borderId="0" xfId="1" applyNumberFormat="1" applyFont="1">
      <alignment vertical="center"/>
    </xf>
    <xf numFmtId="0" fontId="19" fillId="0" borderId="0" xfId="0" applyFont="1">
      <alignment vertical="center"/>
    </xf>
    <xf numFmtId="176" fontId="16" fillId="0" borderId="0" xfId="1" applyNumberFormat="1" applyFont="1" applyFill="1" applyAlignment="1">
      <alignment horizontal="center" vertical="center"/>
    </xf>
    <xf numFmtId="176" fontId="16" fillId="0" borderId="0" xfId="1" applyNumberFormat="1" applyFont="1" applyFill="1">
      <alignment vertical="center"/>
    </xf>
    <xf numFmtId="0" fontId="21" fillId="0" borderId="0" xfId="0" applyFont="1" applyAlignment="1">
      <alignment horizontal="center" vertical="center"/>
    </xf>
    <xf numFmtId="176" fontId="21" fillId="0" borderId="0" xfId="1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76" fontId="21" fillId="0" borderId="0" xfId="1" applyNumberFormat="1" applyFont="1" applyBorder="1" applyAlignment="1">
      <alignment horizontal="center" vertical="center"/>
    </xf>
    <xf numFmtId="176" fontId="21" fillId="0" borderId="0" xfId="1" applyNumberFormat="1" applyFont="1" applyBorder="1" applyAlignment="1">
      <alignment horizontal="center" vertical="center" wrapText="1"/>
    </xf>
    <xf numFmtId="0" fontId="21" fillId="0" borderId="0" xfId="0" applyFont="1">
      <alignment vertical="center"/>
    </xf>
    <xf numFmtId="176" fontId="21" fillId="0" borderId="0" xfId="1" applyNumberFormat="1" applyFont="1" applyBorder="1">
      <alignment vertical="center"/>
    </xf>
    <xf numFmtId="176" fontId="21" fillId="0" borderId="0" xfId="1" applyNumberFormat="1" applyFont="1" applyFill="1" applyBorder="1">
      <alignment vertical="center"/>
    </xf>
    <xf numFmtId="176" fontId="21" fillId="0" borderId="0" xfId="1" applyNumberFormat="1" applyFont="1" applyBorder="1" applyAlignment="1">
      <alignment vertical="center" wrapText="1"/>
    </xf>
    <xf numFmtId="0" fontId="21" fillId="3" borderId="0" xfId="0" applyFont="1" applyFill="1">
      <alignment vertical="center"/>
    </xf>
    <xf numFmtId="176" fontId="21" fillId="3" borderId="0" xfId="1" applyNumberFormat="1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176" fontId="20" fillId="0" borderId="0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76" fontId="21" fillId="0" borderId="0" xfId="1" applyNumberFormat="1" applyFont="1" applyFill="1" applyBorder="1" applyAlignment="1">
      <alignment horizontal="center" vertical="center" wrapText="1"/>
    </xf>
    <xf numFmtId="0" fontId="21" fillId="0" borderId="5" xfId="0" applyFont="1" applyBorder="1">
      <alignment vertical="center"/>
    </xf>
    <xf numFmtId="0" fontId="20" fillId="0" borderId="5" xfId="0" applyFont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176" fontId="20" fillId="0" borderId="5" xfId="1" applyNumberFormat="1" applyFont="1" applyFill="1" applyBorder="1" applyAlignment="1">
      <alignment horizontal="center" vertical="center" wrapText="1"/>
    </xf>
    <xf numFmtId="176" fontId="20" fillId="3" borderId="6" xfId="1" applyNumberFormat="1" applyFont="1" applyFill="1" applyBorder="1" applyAlignment="1">
      <alignment horizontal="center" vertical="center" wrapText="1"/>
    </xf>
    <xf numFmtId="176" fontId="21" fillId="3" borderId="8" xfId="1" applyNumberFormat="1" applyFont="1" applyFill="1" applyBorder="1" applyAlignment="1">
      <alignment horizontal="center" vertical="center" wrapText="1"/>
    </xf>
    <xf numFmtId="176" fontId="21" fillId="11" borderId="8" xfId="1" applyNumberFormat="1" applyFont="1" applyFill="1" applyBorder="1" applyAlignment="1">
      <alignment horizontal="center" vertical="center"/>
    </xf>
    <xf numFmtId="176" fontId="21" fillId="3" borderId="8" xfId="1" applyNumberFormat="1" applyFont="1" applyFill="1" applyBorder="1" applyAlignment="1">
      <alignment horizontal="center" vertical="center"/>
    </xf>
    <xf numFmtId="176" fontId="21" fillId="0" borderId="10" xfId="1" applyNumberFormat="1" applyFont="1" applyBorder="1">
      <alignment vertical="center"/>
    </xf>
    <xf numFmtId="176" fontId="21" fillId="0" borderId="10" xfId="1" applyNumberFormat="1" applyFont="1" applyBorder="1" applyAlignment="1">
      <alignment horizontal="center" vertical="center"/>
    </xf>
    <xf numFmtId="176" fontId="21" fillId="3" borderId="10" xfId="1" applyNumberFormat="1" applyFont="1" applyFill="1" applyBorder="1" applyAlignment="1">
      <alignment horizontal="center" vertical="center"/>
    </xf>
    <xf numFmtId="176" fontId="21" fillId="0" borderId="10" xfId="1" applyNumberFormat="1" applyFont="1" applyFill="1" applyBorder="1" applyAlignment="1">
      <alignment horizontal="center" vertical="center"/>
    </xf>
    <xf numFmtId="176" fontId="21" fillId="3" borderId="11" xfId="1" applyNumberFormat="1" applyFont="1" applyFill="1" applyBorder="1" applyAlignment="1">
      <alignment horizontal="center" vertical="center"/>
    </xf>
    <xf numFmtId="176" fontId="21" fillId="3" borderId="0" xfId="0" applyNumberFormat="1" applyFont="1" applyFill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76" fontId="21" fillId="3" borderId="10" xfId="0" applyNumberFormat="1" applyFont="1" applyFill="1" applyBorder="1" applyAlignment="1">
      <alignment horizontal="center" vertical="center"/>
    </xf>
  </cellXfs>
  <cellStyles count="3">
    <cellStyle name="パーセント" xfId="1" builtinId="5"/>
    <cellStyle name="桁区切り" xfId="2" builtinId="6"/>
    <cellStyle name="標準" xfId="0" builtinId="0"/>
  </cellStyles>
  <dxfs count="109"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FFFFFFE3"/>
      <color rgb="FFE3FF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89014154638085"/>
          <c:y val="6.3531614541521855E-2"/>
          <c:w val="0.78646377076304741"/>
          <c:h val="0.699884466317762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オリジナルユニフォーム!$A$55</c:f>
              <c:strCache>
                <c:ptCount val="1"/>
                <c:pt idx="0">
                  <c:v>CV（問い合わせ）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オリジナルユニフォーム!$Q$54:$AC$54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オリジナルユニフォーム!$Q$55:$AC$55</c:f>
              <c:numCache>
                <c:formatCode>General</c:formatCode>
                <c:ptCount val="13"/>
                <c:pt idx="0">
                  <c:v>20</c:v>
                </c:pt>
                <c:pt idx="1">
                  <c:v>18</c:v>
                </c:pt>
                <c:pt idx="2">
                  <c:v>8</c:v>
                </c:pt>
                <c:pt idx="3">
                  <c:v>10</c:v>
                </c:pt>
                <c:pt idx="4">
                  <c:v>10</c:v>
                </c:pt>
                <c:pt idx="5">
                  <c:v>12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3</c:v>
                </c:pt>
                <c:pt idx="11">
                  <c:v>25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D0-4868-AC6A-943BD4CFCF3E}"/>
            </c:ext>
          </c:extLst>
        </c:ser>
        <c:ser>
          <c:idx val="1"/>
          <c:order val="1"/>
          <c:tx>
            <c:strRef>
              <c:f>オリジナルユニフォーム!$A$56</c:f>
              <c:strCache>
                <c:ptCount val="1"/>
                <c:pt idx="0">
                  <c:v>CV（サービス資料DL）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オリジナルユニフォーム!$Q$54:$AC$54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オリジナルユニフォーム!$Q$56:$AC$56</c:f>
              <c:numCache>
                <c:formatCode>General</c:formatCode>
                <c:ptCount val="13"/>
                <c:pt idx="0">
                  <c:v>24</c:v>
                </c:pt>
                <c:pt idx="1">
                  <c:v>15</c:v>
                </c:pt>
                <c:pt idx="2">
                  <c:v>20</c:v>
                </c:pt>
                <c:pt idx="3">
                  <c:v>18</c:v>
                </c:pt>
                <c:pt idx="4">
                  <c:v>9</c:v>
                </c:pt>
                <c:pt idx="5">
                  <c:v>10</c:v>
                </c:pt>
                <c:pt idx="6">
                  <c:v>5</c:v>
                </c:pt>
                <c:pt idx="7">
                  <c:v>3</c:v>
                </c:pt>
                <c:pt idx="8">
                  <c:v>2</c:v>
                </c:pt>
                <c:pt idx="9">
                  <c:v>10</c:v>
                </c:pt>
                <c:pt idx="10">
                  <c:v>4</c:v>
                </c:pt>
                <c:pt idx="11">
                  <c:v>7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D0-4868-AC6A-943BD4CFCF3E}"/>
            </c:ext>
          </c:extLst>
        </c:ser>
        <c:ser>
          <c:idx val="2"/>
          <c:order val="2"/>
          <c:tx>
            <c:strRef>
              <c:f>オリジナルユニフォーム!$A$57</c:f>
              <c:strCache>
                <c:ptCount val="1"/>
                <c:pt idx="0">
                  <c:v>CV（WPDL）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オリジナルユニフォーム!$Q$54:$AC$54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オリジナルユニフォーム!$Q$57:$AC$57</c:f>
              <c:numCache>
                <c:formatCode>General</c:formatCode>
                <c:ptCount val="13"/>
                <c:pt idx="0">
                  <c:v>9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7</c:v>
                </c:pt>
                <c:pt idx="10">
                  <c:v>7</c:v>
                </c:pt>
                <c:pt idx="11">
                  <c:v>12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D0-4868-AC6A-943BD4CFC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1264392"/>
        <c:axId val="901266952"/>
      </c:barChart>
      <c:dateAx>
        <c:axId val="901264392"/>
        <c:scaling>
          <c:orientation val="minMax"/>
        </c:scaling>
        <c:delete val="0"/>
        <c:axPos val="b"/>
        <c:numFmt formatCode="m&quot;月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66952"/>
        <c:crosses val="autoZero"/>
        <c:auto val="1"/>
        <c:lblOffset val="100"/>
        <c:baseTimeUnit val="months"/>
      </c:dateAx>
      <c:valAx>
        <c:axId val="90126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64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491091549441722E-2"/>
          <c:y val="0.12008159015416918"/>
          <c:w val="0.8750219343392962"/>
          <c:h val="0.6977095675888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オリジナルユニフォーム!$A$4</c:f>
              <c:strCache>
                <c:ptCount val="1"/>
                <c:pt idx="0">
                  <c:v>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オリジナルユニフォーム!$Q$3:$AC$3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オリジナルユニフォーム!$Q$4:$AC$4</c:f>
              <c:numCache>
                <c:formatCode>General</c:formatCode>
                <c:ptCount val="13"/>
                <c:pt idx="0">
                  <c:v>2553</c:v>
                </c:pt>
                <c:pt idx="1">
                  <c:v>5181</c:v>
                </c:pt>
                <c:pt idx="2">
                  <c:v>2621</c:v>
                </c:pt>
                <c:pt idx="3">
                  <c:v>2797</c:v>
                </c:pt>
                <c:pt idx="4">
                  <c:v>3226</c:v>
                </c:pt>
                <c:pt idx="5">
                  <c:v>2881</c:v>
                </c:pt>
                <c:pt idx="6">
                  <c:v>2908</c:v>
                </c:pt>
                <c:pt idx="7">
                  <c:v>3355</c:v>
                </c:pt>
                <c:pt idx="8">
                  <c:v>3007</c:v>
                </c:pt>
                <c:pt idx="9">
                  <c:v>3021</c:v>
                </c:pt>
                <c:pt idx="10">
                  <c:v>3178</c:v>
                </c:pt>
                <c:pt idx="11">
                  <c:v>2639</c:v>
                </c:pt>
                <c:pt idx="12">
                  <c:v>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E-41C1-BB4A-E355DE10F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747440"/>
        <c:axId val="404749360"/>
      </c:barChart>
      <c:lineChart>
        <c:grouping val="standard"/>
        <c:varyColors val="0"/>
        <c:ser>
          <c:idx val="1"/>
          <c:order val="1"/>
          <c:tx>
            <c:strRef>
              <c:f>オリジナルユニフォーム!$A$5</c:f>
              <c:strCache>
                <c:ptCount val="1"/>
                <c:pt idx="0">
                  <c:v>MQL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オリジナルユニフォーム!$Q$3:$AC$3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オリジナルユニフォーム!$Q$5:$AC$5</c:f>
              <c:numCache>
                <c:formatCode>General</c:formatCode>
                <c:ptCount val="13"/>
                <c:pt idx="0">
                  <c:v>15</c:v>
                </c:pt>
                <c:pt idx="1">
                  <c:v>44</c:v>
                </c:pt>
                <c:pt idx="2">
                  <c:v>29</c:v>
                </c:pt>
                <c:pt idx="3">
                  <c:v>30</c:v>
                </c:pt>
                <c:pt idx="4">
                  <c:v>19</c:v>
                </c:pt>
                <c:pt idx="5">
                  <c:v>23</c:v>
                </c:pt>
                <c:pt idx="6">
                  <c:v>14</c:v>
                </c:pt>
                <c:pt idx="7">
                  <c:v>13</c:v>
                </c:pt>
                <c:pt idx="8">
                  <c:v>13</c:v>
                </c:pt>
                <c:pt idx="9">
                  <c:v>8</c:v>
                </c:pt>
                <c:pt idx="10">
                  <c:v>11</c:v>
                </c:pt>
                <c:pt idx="11">
                  <c:v>44</c:v>
                </c:pt>
                <c:pt idx="12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7E-41C1-BB4A-E355DE10F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746480"/>
        <c:axId val="721349568"/>
      </c:lineChart>
      <c:dateAx>
        <c:axId val="404747440"/>
        <c:scaling>
          <c:orientation val="minMax"/>
        </c:scaling>
        <c:delete val="0"/>
        <c:axPos val="b"/>
        <c:numFmt formatCode="m&quot;月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4749360"/>
        <c:crosses val="autoZero"/>
        <c:auto val="1"/>
        <c:lblOffset val="100"/>
        <c:baseTimeUnit val="months"/>
      </c:dateAx>
      <c:valAx>
        <c:axId val="40474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4747440"/>
        <c:crosses val="autoZero"/>
        <c:crossBetween val="between"/>
      </c:valAx>
      <c:valAx>
        <c:axId val="7213495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9746480"/>
        <c:crosses val="max"/>
        <c:crossBetween val="between"/>
      </c:valAx>
      <c:dateAx>
        <c:axId val="699746480"/>
        <c:scaling>
          <c:orientation val="minMax"/>
        </c:scaling>
        <c:delete val="1"/>
        <c:axPos val="b"/>
        <c:numFmt formatCode="m&quot;月&quot;" sourceLinked="1"/>
        <c:majorTickMark val="out"/>
        <c:minorTickMark val="none"/>
        <c:tickLblPos val="nextTo"/>
        <c:crossAx val="721349568"/>
        <c:crosses val="autoZero"/>
        <c:auto val="1"/>
        <c:lblOffset val="100"/>
        <c:baseTimeUnit val="months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セッションとユニーク</a:t>
            </a:r>
            <a:r>
              <a:rPr lang="en-US" altLang="ja-JP"/>
              <a:t>MQL</a:t>
            </a:r>
            <a:r>
              <a:rPr lang="ja-JP" altLang="en-US"/>
              <a:t>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スクール!$A$4</c:f>
              <c:strCache>
                <c:ptCount val="1"/>
                <c:pt idx="0">
                  <c:v>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スクール!$B$3:$S$3</c:f>
              <c:numCache>
                <c:formatCode>m"月"</c:formatCode>
                <c:ptCount val="6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</c:numCache>
            </c:numRef>
          </c:cat>
          <c:val>
            <c:numRef>
              <c:f>スクール!$B$4:$S$4</c:f>
              <c:numCache>
                <c:formatCode>General</c:formatCode>
                <c:ptCount val="6"/>
                <c:pt idx="0">
                  <c:v>1948</c:v>
                </c:pt>
                <c:pt idx="1">
                  <c:v>1793</c:v>
                </c:pt>
                <c:pt idx="2">
                  <c:v>1571</c:v>
                </c:pt>
                <c:pt idx="3">
                  <c:v>1823</c:v>
                </c:pt>
                <c:pt idx="4">
                  <c:v>1907</c:v>
                </c:pt>
                <c:pt idx="5">
                  <c:v>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8A-49E9-850E-AA4E0EF82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727496"/>
        <c:axId val="113743880"/>
      </c:barChart>
      <c:lineChart>
        <c:grouping val="standard"/>
        <c:varyColors val="0"/>
        <c:ser>
          <c:idx val="1"/>
          <c:order val="1"/>
          <c:tx>
            <c:strRef>
              <c:f>スクール!$A$5</c:f>
              <c:strCache>
                <c:ptCount val="1"/>
                <c:pt idx="0">
                  <c:v>MQL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スクール!$B$3:$S$3</c:f>
              <c:numCache>
                <c:formatCode>m"月"</c:formatCode>
                <c:ptCount val="6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</c:numCache>
            </c:numRef>
          </c:cat>
          <c:val>
            <c:numRef>
              <c:f>スクール!$B$5:$S$5</c:f>
              <c:numCache>
                <c:formatCode>General</c:formatCode>
                <c:ptCount val="6"/>
                <c:pt idx="0">
                  <c:v>8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8A-49E9-850E-AA4E0EF82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27496"/>
        <c:axId val="113743880"/>
      </c:lineChart>
      <c:dateAx>
        <c:axId val="113727496"/>
        <c:scaling>
          <c:orientation val="minMax"/>
        </c:scaling>
        <c:delete val="0"/>
        <c:axPos val="b"/>
        <c:numFmt formatCode="m&quot;月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43880"/>
        <c:crosses val="autoZero"/>
        <c:auto val="1"/>
        <c:lblOffset val="100"/>
        <c:baseTimeUnit val="months"/>
      </c:dateAx>
      <c:valAx>
        <c:axId val="1137438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274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89014154638085"/>
          <c:y val="6.3531614541521855E-2"/>
          <c:w val="0.78646377076304741"/>
          <c:h val="0.699884466317762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スクール!$A$55</c:f>
              <c:strCache>
                <c:ptCount val="1"/>
                <c:pt idx="0">
                  <c:v>CV（問い合わせ）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スクール!$Q$54:$AC$54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スクール!$Q$55:$AC$55</c:f>
              <c:numCache>
                <c:formatCode>General</c:formatCode>
                <c:ptCount val="13"/>
                <c:pt idx="0">
                  <c:v>17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3</c:v>
                </c:pt>
                <c:pt idx="9">
                  <c:v>6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3-46B0-8086-AAFCE4B0FAB3}"/>
            </c:ext>
          </c:extLst>
        </c:ser>
        <c:ser>
          <c:idx val="1"/>
          <c:order val="1"/>
          <c:tx>
            <c:strRef>
              <c:f>スクール!$A$56</c:f>
              <c:strCache>
                <c:ptCount val="1"/>
                <c:pt idx="0">
                  <c:v>CV（サービス資料DL）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スクール!$Q$54:$AC$54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スクール!$Q$56:$AC$56</c:f>
              <c:numCache>
                <c:formatCode>General</c:formatCode>
                <c:ptCount val="13"/>
                <c:pt idx="0">
                  <c:v>7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E3-46B0-8086-AAFCE4B0FAB3}"/>
            </c:ext>
          </c:extLst>
        </c:ser>
        <c:ser>
          <c:idx val="2"/>
          <c:order val="2"/>
          <c:tx>
            <c:strRef>
              <c:f>スクール!$A$57</c:f>
              <c:strCache>
                <c:ptCount val="1"/>
                <c:pt idx="0">
                  <c:v>CV（WPDL）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スクール!$Q$54:$AC$54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スクール!$Q$57:$AC$57</c:f>
              <c:numCache>
                <c:formatCode>General</c:formatCode>
                <c:ptCount val="13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E3-46B0-8086-AAFCE4B0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1264392"/>
        <c:axId val="901266952"/>
      </c:barChart>
      <c:dateAx>
        <c:axId val="901264392"/>
        <c:scaling>
          <c:orientation val="minMax"/>
        </c:scaling>
        <c:delete val="0"/>
        <c:axPos val="b"/>
        <c:numFmt formatCode="m&quot;月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66952"/>
        <c:crosses val="autoZero"/>
        <c:auto val="1"/>
        <c:lblOffset val="100"/>
        <c:baseTimeUnit val="months"/>
      </c:dateAx>
      <c:valAx>
        <c:axId val="90126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64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491091549441722E-2"/>
          <c:y val="0.12008159015416918"/>
          <c:w val="0.8750219343392962"/>
          <c:h val="0.6977095675888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スクール!$A$4</c:f>
              <c:strCache>
                <c:ptCount val="1"/>
                <c:pt idx="0">
                  <c:v>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スクール!$Q$3:$AC$3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スクール!$Q$4:$AC$4</c:f>
              <c:numCache>
                <c:formatCode>General</c:formatCode>
                <c:ptCount val="13"/>
                <c:pt idx="0">
                  <c:v>1823</c:v>
                </c:pt>
                <c:pt idx="1">
                  <c:v>1907</c:v>
                </c:pt>
                <c:pt idx="2">
                  <c:v>1415</c:v>
                </c:pt>
                <c:pt idx="3">
                  <c:v>1474</c:v>
                </c:pt>
                <c:pt idx="4">
                  <c:v>1499</c:v>
                </c:pt>
                <c:pt idx="5">
                  <c:v>1791</c:v>
                </c:pt>
                <c:pt idx="6">
                  <c:v>2637</c:v>
                </c:pt>
                <c:pt idx="7">
                  <c:v>2227</c:v>
                </c:pt>
                <c:pt idx="8">
                  <c:v>3811</c:v>
                </c:pt>
                <c:pt idx="9">
                  <c:v>2465</c:v>
                </c:pt>
                <c:pt idx="10">
                  <c:v>2750</c:v>
                </c:pt>
                <c:pt idx="11">
                  <c:v>2887</c:v>
                </c:pt>
                <c:pt idx="12">
                  <c:v>2821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6-4D7C-9116-8FCC4F39F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747440"/>
        <c:axId val="404749360"/>
      </c:barChart>
      <c:lineChart>
        <c:grouping val="standard"/>
        <c:varyColors val="0"/>
        <c:ser>
          <c:idx val="1"/>
          <c:order val="1"/>
          <c:tx>
            <c:strRef>
              <c:f>スクール!$A$5</c:f>
              <c:strCache>
                <c:ptCount val="1"/>
                <c:pt idx="0">
                  <c:v>MQL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スクール!$Q$3:$AC$3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スクール!$Q$5:$AC$5</c:f>
              <c:numCache>
                <c:formatCode>General</c:formatCode>
                <c:ptCount val="13"/>
                <c:pt idx="0">
                  <c:v>7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7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66-4D7C-9116-8FCC4F39F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746480"/>
        <c:axId val="721349568"/>
      </c:lineChart>
      <c:dateAx>
        <c:axId val="404747440"/>
        <c:scaling>
          <c:orientation val="minMax"/>
        </c:scaling>
        <c:delete val="0"/>
        <c:axPos val="b"/>
        <c:numFmt formatCode="m&quot;月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4749360"/>
        <c:crosses val="autoZero"/>
        <c:auto val="1"/>
        <c:lblOffset val="100"/>
        <c:baseTimeUnit val="months"/>
      </c:dateAx>
      <c:valAx>
        <c:axId val="40474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4747440"/>
        <c:crosses val="autoZero"/>
        <c:crossBetween val="between"/>
      </c:valAx>
      <c:valAx>
        <c:axId val="7213495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9746480"/>
        <c:crosses val="max"/>
        <c:crossBetween val="between"/>
      </c:valAx>
      <c:dateAx>
        <c:axId val="699746480"/>
        <c:scaling>
          <c:orientation val="minMax"/>
        </c:scaling>
        <c:delete val="1"/>
        <c:axPos val="b"/>
        <c:numFmt formatCode="m&quot;月&quot;" sourceLinked="1"/>
        <c:majorTickMark val="out"/>
        <c:minorTickMark val="none"/>
        <c:tickLblPos val="nextTo"/>
        <c:crossAx val="721349568"/>
        <c:crosses val="autoZero"/>
        <c:auto val="1"/>
        <c:lblOffset val="100"/>
        <c:baseTimeUnit val="months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89014154638085"/>
          <c:y val="6.3531614541521855E-2"/>
          <c:w val="0.78646377076304741"/>
          <c:h val="0.699884466317762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メディカル!$A$55</c:f>
              <c:strCache>
                <c:ptCount val="1"/>
                <c:pt idx="0">
                  <c:v>CV（問い合わせ）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メディカル!$Q$54:$AC$54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メディカル!$Q$55:$AC$55</c:f>
              <c:numCache>
                <c:formatCode>General</c:formatCode>
                <c:ptCount val="13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8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1-4519-A3F9-9FACE3FC86DD}"/>
            </c:ext>
          </c:extLst>
        </c:ser>
        <c:ser>
          <c:idx val="1"/>
          <c:order val="1"/>
          <c:tx>
            <c:strRef>
              <c:f>メディカル!$A$56</c:f>
              <c:strCache>
                <c:ptCount val="1"/>
                <c:pt idx="0">
                  <c:v>CV（サービス資料DL）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メディカル!$Q$54:$AC$54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メディカル!$Q$56:$AC$56</c:f>
              <c:numCache>
                <c:formatCode>General</c:formatCode>
                <c:ptCount val="13"/>
                <c:pt idx="0">
                  <c:v>23</c:v>
                </c:pt>
                <c:pt idx="1">
                  <c:v>47</c:v>
                </c:pt>
                <c:pt idx="2">
                  <c:v>22</c:v>
                </c:pt>
                <c:pt idx="3">
                  <c:v>26</c:v>
                </c:pt>
                <c:pt idx="4">
                  <c:v>30</c:v>
                </c:pt>
                <c:pt idx="5">
                  <c:v>8</c:v>
                </c:pt>
                <c:pt idx="6">
                  <c:v>18</c:v>
                </c:pt>
                <c:pt idx="7">
                  <c:v>21</c:v>
                </c:pt>
                <c:pt idx="8">
                  <c:v>27</c:v>
                </c:pt>
                <c:pt idx="9">
                  <c:v>15</c:v>
                </c:pt>
                <c:pt idx="10">
                  <c:v>3</c:v>
                </c:pt>
                <c:pt idx="11">
                  <c:v>14</c:v>
                </c:pt>
                <c:pt idx="1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1-4519-A3F9-9FACE3FC86DD}"/>
            </c:ext>
          </c:extLst>
        </c:ser>
        <c:ser>
          <c:idx val="2"/>
          <c:order val="2"/>
          <c:tx>
            <c:strRef>
              <c:f>メディカル!$A$57</c:f>
              <c:strCache>
                <c:ptCount val="1"/>
                <c:pt idx="0">
                  <c:v>CV（WPDL）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メディカル!$Q$54:$AC$54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メディカル!$Q$57:$AC$57</c:f>
              <c:numCache>
                <c:formatCode>General</c:formatCode>
                <c:ptCount val="13"/>
                <c:pt idx="0">
                  <c:v>34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19</c:v>
                </c:pt>
                <c:pt idx="9">
                  <c:v>0</c:v>
                </c:pt>
                <c:pt idx="10">
                  <c:v>24</c:v>
                </c:pt>
                <c:pt idx="11">
                  <c:v>21</c:v>
                </c:pt>
                <c:pt idx="1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11-4519-A3F9-9FACE3FC8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1264392"/>
        <c:axId val="901266952"/>
      </c:barChart>
      <c:dateAx>
        <c:axId val="901264392"/>
        <c:scaling>
          <c:orientation val="minMax"/>
        </c:scaling>
        <c:delete val="0"/>
        <c:axPos val="b"/>
        <c:numFmt formatCode="m&quot;月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66952"/>
        <c:crosses val="autoZero"/>
        <c:auto val="1"/>
        <c:lblOffset val="100"/>
        <c:baseTimeUnit val="months"/>
      </c:dateAx>
      <c:valAx>
        <c:axId val="90126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64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491091549441722E-2"/>
          <c:y val="0.12008159015416918"/>
          <c:w val="0.8750219343392962"/>
          <c:h val="0.6977095675888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メディカル!$A$4</c:f>
              <c:strCache>
                <c:ptCount val="1"/>
                <c:pt idx="0">
                  <c:v>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メディカル!$Q$3:$AC$3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メディカル!$Q$4:$AC$4</c:f>
              <c:numCache>
                <c:formatCode>General</c:formatCode>
                <c:ptCount val="13"/>
                <c:pt idx="0">
                  <c:v>3298</c:v>
                </c:pt>
                <c:pt idx="1">
                  <c:v>3258</c:v>
                </c:pt>
                <c:pt idx="2">
                  <c:v>2471</c:v>
                </c:pt>
                <c:pt idx="3">
                  <c:v>2992</c:v>
                </c:pt>
                <c:pt idx="4">
                  <c:v>3183</c:v>
                </c:pt>
                <c:pt idx="5">
                  <c:v>2833</c:v>
                </c:pt>
                <c:pt idx="6">
                  <c:v>3119</c:v>
                </c:pt>
                <c:pt idx="7">
                  <c:v>2764</c:v>
                </c:pt>
                <c:pt idx="8">
                  <c:v>3472</c:v>
                </c:pt>
                <c:pt idx="9">
                  <c:v>2188</c:v>
                </c:pt>
                <c:pt idx="10">
                  <c:v>2398</c:v>
                </c:pt>
                <c:pt idx="11">
                  <c:v>2455</c:v>
                </c:pt>
                <c:pt idx="12">
                  <c:v>2648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D-4C33-8153-4E2563F9A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747440"/>
        <c:axId val="404749360"/>
      </c:barChart>
      <c:lineChart>
        <c:grouping val="standard"/>
        <c:varyColors val="0"/>
        <c:ser>
          <c:idx val="1"/>
          <c:order val="1"/>
          <c:tx>
            <c:strRef>
              <c:f>メディカル!$A$5</c:f>
              <c:strCache>
                <c:ptCount val="1"/>
                <c:pt idx="0">
                  <c:v>MQL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メディカル!$Q$3:$AC$3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メディカル!$Q$5:$AC$5</c:f>
              <c:numCache>
                <c:formatCode>General</c:formatCode>
                <c:ptCount val="13"/>
                <c:pt idx="0">
                  <c:v>18</c:v>
                </c:pt>
                <c:pt idx="1">
                  <c:v>45</c:v>
                </c:pt>
                <c:pt idx="2">
                  <c:v>22</c:v>
                </c:pt>
                <c:pt idx="3">
                  <c:v>30</c:v>
                </c:pt>
                <c:pt idx="4">
                  <c:v>32</c:v>
                </c:pt>
                <c:pt idx="5">
                  <c:v>8</c:v>
                </c:pt>
                <c:pt idx="6">
                  <c:v>18</c:v>
                </c:pt>
                <c:pt idx="7">
                  <c:v>44</c:v>
                </c:pt>
                <c:pt idx="8">
                  <c:v>52</c:v>
                </c:pt>
                <c:pt idx="9">
                  <c:v>13</c:v>
                </c:pt>
                <c:pt idx="10">
                  <c:v>31</c:v>
                </c:pt>
                <c:pt idx="11">
                  <c:v>34</c:v>
                </c:pt>
                <c:pt idx="12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5D-4C33-8153-4E2563F9A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746480"/>
        <c:axId val="721349568"/>
      </c:lineChart>
      <c:dateAx>
        <c:axId val="404747440"/>
        <c:scaling>
          <c:orientation val="minMax"/>
        </c:scaling>
        <c:delete val="0"/>
        <c:axPos val="b"/>
        <c:numFmt formatCode="m&quot;月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4749360"/>
        <c:crosses val="autoZero"/>
        <c:auto val="1"/>
        <c:lblOffset val="100"/>
        <c:baseTimeUnit val="months"/>
      </c:dateAx>
      <c:valAx>
        <c:axId val="40474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4747440"/>
        <c:crosses val="autoZero"/>
        <c:crossBetween val="between"/>
      </c:valAx>
      <c:valAx>
        <c:axId val="7213495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9746480"/>
        <c:crosses val="max"/>
        <c:crossBetween val="between"/>
      </c:valAx>
      <c:dateAx>
        <c:axId val="699746480"/>
        <c:scaling>
          <c:orientation val="minMax"/>
        </c:scaling>
        <c:delete val="1"/>
        <c:axPos val="b"/>
        <c:numFmt formatCode="m&quot;月&quot;" sourceLinked="1"/>
        <c:majorTickMark val="out"/>
        <c:minorTickMark val="none"/>
        <c:tickLblPos val="nextTo"/>
        <c:crossAx val="721349568"/>
        <c:crosses val="autoZero"/>
        <c:auto val="1"/>
        <c:lblOffset val="100"/>
        <c:baseTimeUnit val="months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89014154638085"/>
          <c:y val="6.3531614541521855E-2"/>
          <c:w val="0.78646377076304741"/>
          <c:h val="0.699884466317762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インサイトセールス!$A$55</c:f>
              <c:strCache>
                <c:ptCount val="1"/>
                <c:pt idx="0">
                  <c:v>CV（問い合わせ）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インサイトセールス!$Q$54:$AC$54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インサイトセールス!$Q$55:$AC$55</c:f>
              <c:numCache>
                <c:formatCode>General</c:formatCode>
                <c:ptCount val="13"/>
                <c:pt idx="0">
                  <c:v>9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5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1-4B8B-B4A7-5DEE7BFEA48E}"/>
            </c:ext>
          </c:extLst>
        </c:ser>
        <c:ser>
          <c:idx val="1"/>
          <c:order val="1"/>
          <c:tx>
            <c:strRef>
              <c:f>インサイトセールス!$A$56</c:f>
              <c:strCache>
                <c:ptCount val="1"/>
                <c:pt idx="0">
                  <c:v>CV（サービス資料DL）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インサイトセールス!$Q$54:$AC$54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インサイトセールス!$Q$56:$AC$56</c:f>
              <c:numCache>
                <c:formatCode>General</c:formatCode>
                <c:ptCount val="13"/>
                <c:pt idx="0">
                  <c:v>5</c:v>
                </c:pt>
                <c:pt idx="1">
                  <c:v>12</c:v>
                </c:pt>
                <c:pt idx="2">
                  <c:v>23</c:v>
                </c:pt>
                <c:pt idx="3">
                  <c:v>1</c:v>
                </c:pt>
                <c:pt idx="4">
                  <c:v>15</c:v>
                </c:pt>
                <c:pt idx="5">
                  <c:v>9</c:v>
                </c:pt>
                <c:pt idx="6">
                  <c:v>24</c:v>
                </c:pt>
                <c:pt idx="7">
                  <c:v>17</c:v>
                </c:pt>
                <c:pt idx="8">
                  <c:v>19</c:v>
                </c:pt>
                <c:pt idx="9">
                  <c:v>13</c:v>
                </c:pt>
                <c:pt idx="10">
                  <c:v>4</c:v>
                </c:pt>
                <c:pt idx="11">
                  <c:v>8</c:v>
                </c:pt>
                <c:pt idx="1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61-4B8B-B4A7-5DEE7BFEA48E}"/>
            </c:ext>
          </c:extLst>
        </c:ser>
        <c:ser>
          <c:idx val="2"/>
          <c:order val="2"/>
          <c:tx>
            <c:strRef>
              <c:f>インサイトセールス!$A$57</c:f>
              <c:strCache>
                <c:ptCount val="1"/>
                <c:pt idx="0">
                  <c:v>CV（WPDL）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インサイトセールス!$Q$54:$AC$54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インサイトセールス!$Q$57:$AC$57</c:f>
              <c:numCache>
                <c:formatCode>General</c:formatCode>
                <c:ptCount val="13"/>
                <c:pt idx="0">
                  <c:v>35</c:v>
                </c:pt>
                <c:pt idx="1">
                  <c:v>0</c:v>
                </c:pt>
                <c:pt idx="2">
                  <c:v>20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</c:v>
                </c:pt>
                <c:pt idx="9">
                  <c:v>4</c:v>
                </c:pt>
                <c:pt idx="10">
                  <c:v>0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61-4B8B-B4A7-5DEE7BFEA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1264392"/>
        <c:axId val="901266952"/>
      </c:barChart>
      <c:dateAx>
        <c:axId val="901264392"/>
        <c:scaling>
          <c:orientation val="minMax"/>
        </c:scaling>
        <c:delete val="0"/>
        <c:axPos val="b"/>
        <c:numFmt formatCode="m&quot;月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66952"/>
        <c:crosses val="autoZero"/>
        <c:auto val="1"/>
        <c:lblOffset val="100"/>
        <c:baseTimeUnit val="months"/>
      </c:dateAx>
      <c:valAx>
        <c:axId val="90126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64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491091549441722E-2"/>
          <c:y val="0.12008159015416918"/>
          <c:w val="0.8750219343392962"/>
          <c:h val="0.6977095675888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インサイトセールス!$A$4</c:f>
              <c:strCache>
                <c:ptCount val="1"/>
                <c:pt idx="0">
                  <c:v>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インサイトセールス!$Q$3:$AC$3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インサイトセールス!$Q$4:$AC$4</c:f>
              <c:numCache>
                <c:formatCode>General</c:formatCode>
                <c:ptCount val="13"/>
                <c:pt idx="0">
                  <c:v>1028</c:v>
                </c:pt>
                <c:pt idx="1">
                  <c:v>3160</c:v>
                </c:pt>
                <c:pt idx="2">
                  <c:v>1281</c:v>
                </c:pt>
                <c:pt idx="3">
                  <c:v>1652</c:v>
                </c:pt>
                <c:pt idx="4">
                  <c:v>1120</c:v>
                </c:pt>
                <c:pt idx="5">
                  <c:v>1551</c:v>
                </c:pt>
                <c:pt idx="6">
                  <c:v>1613</c:v>
                </c:pt>
                <c:pt idx="7">
                  <c:v>1364</c:v>
                </c:pt>
                <c:pt idx="8">
                  <c:v>1222</c:v>
                </c:pt>
                <c:pt idx="9">
                  <c:v>1317</c:v>
                </c:pt>
                <c:pt idx="10">
                  <c:v>1450</c:v>
                </c:pt>
                <c:pt idx="11">
                  <c:v>1172</c:v>
                </c:pt>
                <c:pt idx="12">
                  <c:v>1452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4-4B59-914D-0BA7E99CA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747440"/>
        <c:axId val="404749360"/>
      </c:barChart>
      <c:lineChart>
        <c:grouping val="standard"/>
        <c:varyColors val="0"/>
        <c:ser>
          <c:idx val="1"/>
          <c:order val="1"/>
          <c:tx>
            <c:strRef>
              <c:f>インサイトセールス!$A$5</c:f>
              <c:strCache>
                <c:ptCount val="1"/>
                <c:pt idx="0">
                  <c:v>MQL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インサイトセールス!$Q$3:$AC$3</c:f>
              <c:numCache>
                <c:formatCode>m"月"</c:formatCode>
                <c:ptCount val="13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インサイトセールス!$Q$5:$AC$5</c:f>
              <c:numCache>
                <c:formatCode>General</c:formatCode>
                <c:ptCount val="13"/>
                <c:pt idx="0">
                  <c:v>12</c:v>
                </c:pt>
                <c:pt idx="1">
                  <c:v>16</c:v>
                </c:pt>
                <c:pt idx="2">
                  <c:v>25</c:v>
                </c:pt>
                <c:pt idx="3">
                  <c:v>5</c:v>
                </c:pt>
                <c:pt idx="4">
                  <c:v>15</c:v>
                </c:pt>
                <c:pt idx="5">
                  <c:v>9</c:v>
                </c:pt>
                <c:pt idx="6">
                  <c:v>24</c:v>
                </c:pt>
                <c:pt idx="7">
                  <c:v>32</c:v>
                </c:pt>
                <c:pt idx="8">
                  <c:v>39</c:v>
                </c:pt>
                <c:pt idx="9">
                  <c:v>13</c:v>
                </c:pt>
                <c:pt idx="10">
                  <c:v>5</c:v>
                </c:pt>
                <c:pt idx="11">
                  <c:v>14</c:v>
                </c:pt>
                <c:pt idx="12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4-4B59-914D-0BA7E99CA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746480"/>
        <c:axId val="721349568"/>
      </c:lineChart>
      <c:dateAx>
        <c:axId val="404747440"/>
        <c:scaling>
          <c:orientation val="minMax"/>
        </c:scaling>
        <c:delete val="0"/>
        <c:axPos val="b"/>
        <c:numFmt formatCode="m&quot;月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4749360"/>
        <c:crosses val="autoZero"/>
        <c:auto val="1"/>
        <c:lblOffset val="100"/>
        <c:baseTimeUnit val="months"/>
      </c:dateAx>
      <c:valAx>
        <c:axId val="40474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4747440"/>
        <c:crosses val="autoZero"/>
        <c:crossBetween val="between"/>
      </c:valAx>
      <c:valAx>
        <c:axId val="7213495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9746480"/>
        <c:crosses val="max"/>
        <c:crossBetween val="between"/>
      </c:valAx>
      <c:dateAx>
        <c:axId val="699746480"/>
        <c:scaling>
          <c:orientation val="minMax"/>
        </c:scaling>
        <c:delete val="1"/>
        <c:axPos val="b"/>
        <c:numFmt formatCode="m&quot;月&quot;" sourceLinked="1"/>
        <c:majorTickMark val="out"/>
        <c:minorTickMark val="none"/>
        <c:tickLblPos val="nextTo"/>
        <c:crossAx val="721349568"/>
        <c:crosses val="autoZero"/>
        <c:auto val="1"/>
        <c:lblOffset val="100"/>
        <c:baseTimeUnit val="months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チャネル構成比</a:t>
            </a:r>
          </a:p>
        </c:rich>
      </c:tx>
      <c:layout>
        <c:manualLayout>
          <c:xMode val="edge"/>
          <c:yMode val="edge"/>
          <c:x val="3.1083333333333327E-2"/>
          <c:y val="3.819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57-466C-BEE5-76705B9907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57-466C-BEE5-76705B9907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57-466C-BEE5-76705B9907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57-466C-BEE5-76705B9907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257-466C-BEE5-76705B9907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257-466C-BEE5-76705B9907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257-466C-BEE5-76705B990735}"/>
              </c:ext>
            </c:extLst>
          </c:dPt>
          <c:dLbls>
            <c:dLbl>
              <c:idx val="0"/>
              <c:layout>
                <c:manualLayout>
                  <c:x val="2.2763342082239721E-2"/>
                  <c:y val="4.336322543015456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57-466C-BEE5-76705B990735}"/>
                </c:ext>
              </c:extLst>
            </c:dLbl>
            <c:dLbl>
              <c:idx val="1"/>
              <c:layout>
                <c:manualLayout>
                  <c:x val="3.5683508311460964E-2"/>
                  <c:y val="-1.13105132691746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57-466C-BEE5-76705B990735}"/>
                </c:ext>
              </c:extLst>
            </c:dLbl>
            <c:dLbl>
              <c:idx val="3"/>
              <c:layout>
                <c:manualLayout>
                  <c:x val="-5.6288276465441824E-4"/>
                  <c:y val="-3.68883056284631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57-466C-BEE5-76705B990735}"/>
                </c:ext>
              </c:extLst>
            </c:dLbl>
            <c:dLbl>
              <c:idx val="4"/>
              <c:layout>
                <c:manualLayout>
                  <c:x val="-7.4209317585301832E-2"/>
                  <c:y val="5.94914698162729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57-466C-BEE5-76705B990735}"/>
                </c:ext>
              </c:extLst>
            </c:dLbl>
            <c:dLbl>
              <c:idx val="6"/>
              <c:layout>
                <c:manualLayout>
                  <c:x val="5.6148950131233596E-2"/>
                  <c:y val="-3.597513852435113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257-466C-BEE5-76705B9907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'オリジナルユニフォーム (関数無)'!$A$66:$A$72</c:f>
              <c:strCache>
                <c:ptCount val="7"/>
                <c:pt idx="0">
                  <c:v>CV_Organic</c:v>
                </c:pt>
                <c:pt idx="1">
                  <c:v>CV_Paid</c:v>
                </c:pt>
                <c:pt idx="2">
                  <c:v>CV_Email</c:v>
                </c:pt>
                <c:pt idx="3">
                  <c:v>CV_Direct</c:v>
                </c:pt>
                <c:pt idx="4">
                  <c:v>CV_Referral</c:v>
                </c:pt>
                <c:pt idx="5">
                  <c:v>CV_OrganicSocial</c:v>
                </c:pt>
                <c:pt idx="6">
                  <c:v>CV_Unassigned</c:v>
                </c:pt>
              </c:strCache>
            </c:strRef>
          </c:cat>
          <c:val>
            <c:numRef>
              <c:f>'オリジナルユニフォーム (関数無)'!$AL$66:$AL$72</c:f>
              <c:numCache>
                <c:formatCode>General</c:formatCode>
                <c:ptCount val="7"/>
                <c:pt idx="0">
                  <c:v>30</c:v>
                </c:pt>
                <c:pt idx="1">
                  <c:v>27</c:v>
                </c:pt>
                <c:pt idx="2">
                  <c:v>9</c:v>
                </c:pt>
                <c:pt idx="3">
                  <c:v>32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7-466C-BEE5-76705B990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CV</a:t>
            </a:r>
            <a:r>
              <a:rPr lang="ja-JP" altLang="en-US"/>
              <a:t>数の月次推移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'オリジナルユニフォーム (関数無)'!$A$75</c:f>
              <c:strCache>
                <c:ptCount val="1"/>
                <c:pt idx="0">
                  <c:v>CV（問い合わせ）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'オリジナルユニフォーム (関数無)'!$B$74:$S$74</c:f>
              <c:strCache>
                <c:ptCount val="12"/>
                <c:pt idx="0">
                  <c:v>9月</c:v>
                </c:pt>
                <c:pt idx="1">
                  <c:v>10月</c:v>
                </c:pt>
                <c:pt idx="2">
                  <c:v>11月</c:v>
                </c:pt>
                <c:pt idx="3">
                  <c:v>12月</c:v>
                </c:pt>
                <c:pt idx="4">
                  <c:v>1月</c:v>
                </c:pt>
                <c:pt idx="5">
                  <c:v>2月</c:v>
                </c:pt>
                <c:pt idx="6">
                  <c:v>3月</c:v>
                </c:pt>
                <c:pt idx="7">
                  <c:v>4月</c:v>
                </c:pt>
                <c:pt idx="8">
                  <c:v>5月</c:v>
                </c:pt>
                <c:pt idx="9">
                  <c:v>6月</c:v>
                </c:pt>
                <c:pt idx="10">
                  <c:v>7月</c:v>
                </c:pt>
                <c:pt idx="11">
                  <c:v>8月</c:v>
                </c:pt>
              </c:strCache>
            </c:strRef>
          </c:cat>
          <c:val>
            <c:numRef>
              <c:f>'オリジナルユニフォーム (関数無)'!$B$75:$S$75</c:f>
              <c:numCache>
                <c:formatCode>General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5</c:v>
                </c:pt>
                <c:pt idx="3">
                  <c:v>4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8</c:v>
                </c:pt>
                <c:pt idx="9">
                  <c:v>20</c:v>
                </c:pt>
                <c:pt idx="10">
                  <c:v>18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9-4EB8-AF72-BDEA206F886F}"/>
            </c:ext>
          </c:extLst>
        </c:ser>
        <c:ser>
          <c:idx val="1"/>
          <c:order val="1"/>
          <c:tx>
            <c:strRef>
              <c:f>'オリジナルユニフォーム (関数無)'!$A$76</c:f>
              <c:strCache>
                <c:ptCount val="1"/>
                <c:pt idx="0">
                  <c:v>CV（サービス資料DL）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'オリジナルユニフォーム (関数無)'!$B$74:$S$74</c:f>
              <c:strCache>
                <c:ptCount val="12"/>
                <c:pt idx="0">
                  <c:v>9月</c:v>
                </c:pt>
                <c:pt idx="1">
                  <c:v>10月</c:v>
                </c:pt>
                <c:pt idx="2">
                  <c:v>11月</c:v>
                </c:pt>
                <c:pt idx="3">
                  <c:v>12月</c:v>
                </c:pt>
                <c:pt idx="4">
                  <c:v>1月</c:v>
                </c:pt>
                <c:pt idx="5">
                  <c:v>2月</c:v>
                </c:pt>
                <c:pt idx="6">
                  <c:v>3月</c:v>
                </c:pt>
                <c:pt idx="7">
                  <c:v>4月</c:v>
                </c:pt>
                <c:pt idx="8">
                  <c:v>5月</c:v>
                </c:pt>
                <c:pt idx="9">
                  <c:v>6月</c:v>
                </c:pt>
                <c:pt idx="10">
                  <c:v>7月</c:v>
                </c:pt>
                <c:pt idx="11">
                  <c:v>8月</c:v>
                </c:pt>
              </c:strCache>
            </c:strRef>
          </c:cat>
          <c:val>
            <c:numRef>
              <c:f>'オリジナルユニフォーム (関数無)'!$B$76:$S$76</c:f>
              <c:numCache>
                <c:formatCode>General</c:formatCode>
                <c:ptCount val="12"/>
                <c:pt idx="0">
                  <c:v>8</c:v>
                </c:pt>
                <c:pt idx="1">
                  <c:v>0</c:v>
                </c:pt>
                <c:pt idx="2">
                  <c:v>13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8</c:v>
                </c:pt>
                <c:pt idx="7">
                  <c:v>7</c:v>
                </c:pt>
                <c:pt idx="8">
                  <c:v>8</c:v>
                </c:pt>
                <c:pt idx="9">
                  <c:v>24</c:v>
                </c:pt>
                <c:pt idx="10">
                  <c:v>15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C9-4EB8-AF72-BDEA206F886F}"/>
            </c:ext>
          </c:extLst>
        </c:ser>
        <c:ser>
          <c:idx val="2"/>
          <c:order val="2"/>
          <c:tx>
            <c:strRef>
              <c:f>'オリジナルユニフォーム (関数無)'!$A$77</c:f>
              <c:strCache>
                <c:ptCount val="1"/>
                <c:pt idx="0">
                  <c:v>CV（WPDL）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'オリジナルユニフォーム (関数無)'!$B$74:$S$74</c:f>
              <c:strCache>
                <c:ptCount val="12"/>
                <c:pt idx="0">
                  <c:v>9月</c:v>
                </c:pt>
                <c:pt idx="1">
                  <c:v>10月</c:v>
                </c:pt>
                <c:pt idx="2">
                  <c:v>11月</c:v>
                </c:pt>
                <c:pt idx="3">
                  <c:v>12月</c:v>
                </c:pt>
                <c:pt idx="4">
                  <c:v>1月</c:v>
                </c:pt>
                <c:pt idx="5">
                  <c:v>2月</c:v>
                </c:pt>
                <c:pt idx="6">
                  <c:v>3月</c:v>
                </c:pt>
                <c:pt idx="7">
                  <c:v>4月</c:v>
                </c:pt>
                <c:pt idx="8">
                  <c:v>5月</c:v>
                </c:pt>
                <c:pt idx="9">
                  <c:v>6月</c:v>
                </c:pt>
                <c:pt idx="10">
                  <c:v>7月</c:v>
                </c:pt>
                <c:pt idx="11">
                  <c:v>8月</c:v>
                </c:pt>
              </c:strCache>
            </c:strRef>
          </c:cat>
          <c:val>
            <c:numRef>
              <c:f>'オリジナルユニフォーム (関数無)'!$B$77:$S$77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11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5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C9-4EB8-AF72-BDEA206F8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1264392"/>
        <c:axId val="901266952"/>
      </c:barChart>
      <c:catAx>
        <c:axId val="901264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66952"/>
        <c:crosses val="autoZero"/>
        <c:auto val="1"/>
        <c:lblAlgn val="ctr"/>
        <c:lblOffset val="100"/>
        <c:noMultiLvlLbl val="0"/>
      </c:catAx>
      <c:valAx>
        <c:axId val="90126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64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セッションとユニーク</a:t>
            </a:r>
            <a:r>
              <a:rPr lang="en-US" altLang="ja-JP"/>
              <a:t>MQL</a:t>
            </a:r>
            <a:r>
              <a:rPr lang="ja-JP" altLang="en-US"/>
              <a:t>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'オリジナルユニフォーム (関数無)'!$A$4</c:f>
              <c:strCache>
                <c:ptCount val="1"/>
                <c:pt idx="0">
                  <c:v>MAL（セッション）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'オリジナルユニフォーム (関数無)'!$B$3:$S$3</c:f>
              <c:strCache>
                <c:ptCount val="12"/>
                <c:pt idx="0">
                  <c:v>9月</c:v>
                </c:pt>
                <c:pt idx="1">
                  <c:v>10月</c:v>
                </c:pt>
                <c:pt idx="2">
                  <c:v>11月</c:v>
                </c:pt>
                <c:pt idx="3">
                  <c:v>12月</c:v>
                </c:pt>
                <c:pt idx="4">
                  <c:v>1月</c:v>
                </c:pt>
                <c:pt idx="5">
                  <c:v>2月</c:v>
                </c:pt>
                <c:pt idx="6">
                  <c:v>3月</c:v>
                </c:pt>
                <c:pt idx="7">
                  <c:v>4月</c:v>
                </c:pt>
                <c:pt idx="8">
                  <c:v>5月</c:v>
                </c:pt>
                <c:pt idx="9">
                  <c:v>6月</c:v>
                </c:pt>
                <c:pt idx="10">
                  <c:v>7月</c:v>
                </c:pt>
                <c:pt idx="11">
                  <c:v>8月</c:v>
                </c:pt>
              </c:strCache>
            </c:strRef>
          </c:cat>
          <c:val>
            <c:numRef>
              <c:f>'オリジナルユニフォーム (関数無)'!$B$4:$S$4</c:f>
              <c:numCache>
                <c:formatCode>General</c:formatCode>
                <c:ptCount val="12"/>
                <c:pt idx="0">
                  <c:v>129</c:v>
                </c:pt>
                <c:pt idx="1">
                  <c:v>911</c:v>
                </c:pt>
                <c:pt idx="2">
                  <c:v>2080</c:v>
                </c:pt>
                <c:pt idx="3">
                  <c:v>1487</c:v>
                </c:pt>
                <c:pt idx="4">
                  <c:v>3187</c:v>
                </c:pt>
                <c:pt idx="5">
                  <c:v>1772</c:v>
                </c:pt>
                <c:pt idx="6">
                  <c:v>2488</c:v>
                </c:pt>
                <c:pt idx="7">
                  <c:v>1959</c:v>
                </c:pt>
                <c:pt idx="8">
                  <c:v>2159</c:v>
                </c:pt>
                <c:pt idx="9">
                  <c:v>2553</c:v>
                </c:pt>
                <c:pt idx="10">
                  <c:v>5181</c:v>
                </c:pt>
                <c:pt idx="11">
                  <c:v>2621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3-4C49-8585-D4969889A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708552"/>
        <c:axId val="1228644359"/>
      </c:barChart>
      <c:lineChart>
        <c:grouping val="standard"/>
        <c:varyColors val="0"/>
        <c:ser>
          <c:idx val="1"/>
          <c:order val="1"/>
          <c:tx>
            <c:strRef>
              <c:f>'オリジナルユニフォーム (関数無)'!$A$5</c:f>
              <c:strCache>
                <c:ptCount val="1"/>
                <c:pt idx="0">
                  <c:v>MQL（ユニークアカウント）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'オリジナルユニフォーム (関数無)'!$B$3:$S$3</c:f>
              <c:strCache>
                <c:ptCount val="12"/>
                <c:pt idx="0">
                  <c:v>9月</c:v>
                </c:pt>
                <c:pt idx="1">
                  <c:v>10月</c:v>
                </c:pt>
                <c:pt idx="2">
                  <c:v>11月</c:v>
                </c:pt>
                <c:pt idx="3">
                  <c:v>12月</c:v>
                </c:pt>
                <c:pt idx="4">
                  <c:v>1月</c:v>
                </c:pt>
                <c:pt idx="5">
                  <c:v>2月</c:v>
                </c:pt>
                <c:pt idx="6">
                  <c:v>3月</c:v>
                </c:pt>
                <c:pt idx="7">
                  <c:v>4月</c:v>
                </c:pt>
                <c:pt idx="8">
                  <c:v>5月</c:v>
                </c:pt>
                <c:pt idx="9">
                  <c:v>6月</c:v>
                </c:pt>
                <c:pt idx="10">
                  <c:v>7月</c:v>
                </c:pt>
                <c:pt idx="11">
                  <c:v>8月</c:v>
                </c:pt>
              </c:strCache>
            </c:strRef>
          </c:cat>
          <c:val>
            <c:numRef>
              <c:f>'オリジナルユニフォーム (関数無)'!$B$5:$S$5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25</c:v>
                </c:pt>
                <c:pt idx="3">
                  <c:v>10</c:v>
                </c:pt>
                <c:pt idx="4">
                  <c:v>16</c:v>
                </c:pt>
                <c:pt idx="5">
                  <c:v>18</c:v>
                </c:pt>
                <c:pt idx="6">
                  <c:v>33</c:v>
                </c:pt>
                <c:pt idx="7">
                  <c:v>20</c:v>
                </c:pt>
                <c:pt idx="8">
                  <c:v>13</c:v>
                </c:pt>
                <c:pt idx="9">
                  <c:v>15</c:v>
                </c:pt>
                <c:pt idx="10">
                  <c:v>44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43-4C49-8585-D4969889A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08552"/>
        <c:axId val="1228644359"/>
      </c:lineChart>
      <c:catAx>
        <c:axId val="113708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44359"/>
        <c:crosses val="autoZero"/>
        <c:auto val="1"/>
        <c:lblAlgn val="ctr"/>
        <c:lblOffset val="100"/>
        <c:noMultiLvlLbl val="0"/>
      </c:catAx>
      <c:valAx>
        <c:axId val="12286443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085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チャネル構成比</a:t>
            </a:r>
          </a:p>
        </c:rich>
      </c:tx>
      <c:layout>
        <c:manualLayout>
          <c:xMode val="edge"/>
          <c:yMode val="edge"/>
          <c:x val="3.7333333333333329E-2"/>
          <c:y val="5.2083333333333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33-43D6-AA3E-AA0993C4E0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33-43D6-AA3E-AA0993C4E0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33-43D6-AA3E-AA0993C4E0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33-43D6-AA3E-AA0993C4E0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33-43D6-AA3E-AA0993C4E0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33-43D6-AA3E-AA0993C4E05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E33-43D6-AA3E-AA0993C4E053}"/>
              </c:ext>
            </c:extLst>
          </c:dPt>
          <c:dLbls>
            <c:dLbl>
              <c:idx val="0"/>
              <c:layout>
                <c:manualLayout>
                  <c:x val="3.0620188101487315E-2"/>
                  <c:y val="-2.268081073199183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33-43D6-AA3E-AA0993C4E053}"/>
                </c:ext>
              </c:extLst>
            </c:dLbl>
            <c:dLbl>
              <c:idx val="1"/>
              <c:layout>
                <c:manualLayout>
                  <c:x val="1.1516185476815398E-2"/>
                  <c:y val="-1.193059200933216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33-43D6-AA3E-AA0993C4E053}"/>
                </c:ext>
              </c:extLst>
            </c:dLbl>
            <c:dLbl>
              <c:idx val="3"/>
              <c:layout>
                <c:manualLayout>
                  <c:x val="-6.1544510061242341E-2"/>
                  <c:y val="-5.35972586759988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33-43D6-AA3E-AA0993C4E053}"/>
                </c:ext>
              </c:extLst>
            </c:dLbl>
            <c:dLbl>
              <c:idx val="4"/>
              <c:layout>
                <c:manualLayout>
                  <c:x val="-3.3006671041119859E-2"/>
                  <c:y val="0.105863225430154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33-43D6-AA3E-AA0993C4E053}"/>
                </c:ext>
              </c:extLst>
            </c:dLbl>
            <c:dLbl>
              <c:idx val="5"/>
              <c:layout>
                <c:manualLayout>
                  <c:x val="-0.11989271653543312"/>
                  <c:y val="-1.861402741324001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E33-43D6-AA3E-AA0993C4E053}"/>
                </c:ext>
              </c:extLst>
            </c:dLbl>
            <c:dLbl>
              <c:idx val="6"/>
              <c:layout>
                <c:manualLayout>
                  <c:x val="7.2815616797900259E-2"/>
                  <c:y val="-4.29195829687955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E33-43D6-AA3E-AA0993C4E0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'スクール (関数無)'!$A$42:$A$48</c:f>
              <c:strCache>
                <c:ptCount val="7"/>
                <c:pt idx="0">
                  <c:v>CV_Organic</c:v>
                </c:pt>
                <c:pt idx="1">
                  <c:v>CV_Paid</c:v>
                </c:pt>
                <c:pt idx="2">
                  <c:v>CV_Email</c:v>
                </c:pt>
                <c:pt idx="3">
                  <c:v>CV_Direct</c:v>
                </c:pt>
                <c:pt idx="4">
                  <c:v>CV_Referral</c:v>
                </c:pt>
                <c:pt idx="5">
                  <c:v>CV_OrganicSocial</c:v>
                </c:pt>
                <c:pt idx="6">
                  <c:v>CV_Unassigned</c:v>
                </c:pt>
              </c:strCache>
            </c:strRef>
          </c:cat>
          <c:val>
            <c:numRef>
              <c:f>'スクール (関数無)'!$AL$42:$AL$48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E33-43D6-AA3E-AA0993C4E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CV</a:t>
            </a:r>
            <a:r>
              <a:rPr lang="ja-JP" altLang="en-US"/>
              <a:t>の月次推移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'スクール (関数無)'!$A$51</c:f>
              <c:strCache>
                <c:ptCount val="1"/>
                <c:pt idx="0">
                  <c:v>CV（問い合わせ）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'スクール (関数無)'!$B$50:$S$50</c:f>
              <c:strCache>
                <c:ptCount val="13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  <c:pt idx="12">
                  <c:v>8月</c:v>
                </c:pt>
              </c:strCache>
            </c:strRef>
          </c:cat>
          <c:val>
            <c:numRef>
              <c:f>'スクール (関数無)'!$B$51:$S$51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8</c:v>
                </c:pt>
                <c:pt idx="5">
                  <c:v>1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6</c:v>
                </c:pt>
                <c:pt idx="10">
                  <c:v>17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1-4E2F-B625-C1655EFB1413}"/>
            </c:ext>
          </c:extLst>
        </c:ser>
        <c:ser>
          <c:idx val="1"/>
          <c:order val="1"/>
          <c:tx>
            <c:strRef>
              <c:f>'スクール (関数無)'!$A$52</c:f>
              <c:strCache>
                <c:ptCount val="1"/>
                <c:pt idx="0">
                  <c:v>CV（サービス資料DL）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'スクール (関数無)'!$B$50:$S$50</c:f>
              <c:strCache>
                <c:ptCount val="13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  <c:pt idx="12">
                  <c:v>8月</c:v>
                </c:pt>
              </c:strCache>
            </c:strRef>
          </c:cat>
          <c:val>
            <c:numRef>
              <c:f>'スクール (関数無)'!$B$52:$S$52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7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1-4E2F-B625-C1655EFB1413}"/>
            </c:ext>
          </c:extLst>
        </c:ser>
        <c:ser>
          <c:idx val="2"/>
          <c:order val="2"/>
          <c:tx>
            <c:strRef>
              <c:f>'スクール (関数無)'!$A$53</c:f>
              <c:strCache>
                <c:ptCount val="1"/>
                <c:pt idx="0">
                  <c:v>CV（WPDL）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'スクール (関数無)'!$B$50:$S$50</c:f>
              <c:strCache>
                <c:ptCount val="13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  <c:pt idx="12">
                  <c:v>8月</c:v>
                </c:pt>
              </c:strCache>
            </c:strRef>
          </c:cat>
          <c:val>
            <c:numRef>
              <c:f>'スクール (関数無)'!$B$53:$S$53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6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1-4E2F-B625-C1655EFB1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0324871"/>
        <c:axId val="1583564807"/>
      </c:barChart>
      <c:catAx>
        <c:axId val="1580324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564807"/>
        <c:crosses val="autoZero"/>
        <c:auto val="1"/>
        <c:lblAlgn val="ctr"/>
        <c:lblOffset val="100"/>
        <c:noMultiLvlLbl val="0"/>
      </c:catAx>
      <c:valAx>
        <c:axId val="1583564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3248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セッションとユニーク</a:t>
            </a:r>
            <a:r>
              <a:rPr lang="en-US" altLang="ja-JP"/>
              <a:t>MQL</a:t>
            </a:r>
            <a:r>
              <a:rPr lang="ja-JP" altLang="en-US"/>
              <a:t>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'スクール (関数無)'!$A$4</c:f>
              <c:strCache>
                <c:ptCount val="1"/>
                <c:pt idx="0">
                  <c:v>MAL（セッション）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'スクール (関数無)'!$B$3:$S$3</c:f>
              <c:strCache>
                <c:ptCount val="13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  <c:pt idx="12">
                  <c:v>8月</c:v>
                </c:pt>
              </c:strCache>
            </c:strRef>
          </c:cat>
          <c:val>
            <c:numRef>
              <c:f>'スクール (関数無)'!$B$4:$S$4</c:f>
              <c:numCache>
                <c:formatCode>General</c:formatCode>
                <c:ptCount val="13"/>
                <c:pt idx="0">
                  <c:v>59</c:v>
                </c:pt>
                <c:pt idx="1">
                  <c:v>597</c:v>
                </c:pt>
                <c:pt idx="2">
                  <c:v>1167</c:v>
                </c:pt>
                <c:pt idx="3">
                  <c:v>1136</c:v>
                </c:pt>
                <c:pt idx="4">
                  <c:v>1191</c:v>
                </c:pt>
                <c:pt idx="5">
                  <c:v>1553</c:v>
                </c:pt>
                <c:pt idx="6">
                  <c:v>1856</c:v>
                </c:pt>
                <c:pt idx="7">
                  <c:v>1948</c:v>
                </c:pt>
                <c:pt idx="8">
                  <c:v>1793</c:v>
                </c:pt>
                <c:pt idx="9">
                  <c:v>1571</c:v>
                </c:pt>
                <c:pt idx="10">
                  <c:v>1823</c:v>
                </c:pt>
                <c:pt idx="11">
                  <c:v>1907</c:v>
                </c:pt>
                <c:pt idx="12">
                  <c:v>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2-49CE-9F73-737C9B4B3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727496"/>
        <c:axId val="113743880"/>
      </c:barChart>
      <c:lineChart>
        <c:grouping val="standard"/>
        <c:varyColors val="0"/>
        <c:ser>
          <c:idx val="1"/>
          <c:order val="1"/>
          <c:tx>
            <c:strRef>
              <c:f>'スクール (関数無)'!$A$5</c:f>
              <c:strCache>
                <c:ptCount val="1"/>
                <c:pt idx="0">
                  <c:v>MQL（ユニークアカウント）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'スクール (関数無)'!$B$3:$S$3</c:f>
              <c:strCache>
                <c:ptCount val="13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  <c:pt idx="12">
                  <c:v>8月</c:v>
                </c:pt>
              </c:strCache>
            </c:strRef>
          </c:cat>
          <c:val>
            <c:numRef>
              <c:f>'スクール (関数無)'!$B$5:$S$5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8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0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C2-49CE-9F73-737C9B4B3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27496"/>
        <c:axId val="113743880"/>
      </c:lineChart>
      <c:catAx>
        <c:axId val="113727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43880"/>
        <c:crosses val="autoZero"/>
        <c:auto val="1"/>
        <c:lblAlgn val="ctr"/>
        <c:lblOffset val="100"/>
        <c:noMultiLvlLbl val="0"/>
      </c:catAx>
      <c:valAx>
        <c:axId val="1137438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274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チャネル構成比</a:t>
            </a:r>
          </a:p>
        </c:rich>
      </c:tx>
      <c:layout>
        <c:manualLayout>
          <c:xMode val="edge"/>
          <c:yMode val="edge"/>
          <c:x val="3.3166666666666664E-2"/>
          <c:y val="5.902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80-4661-845B-15C9962175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80-4661-845B-15C9962175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80-4661-845B-15C9962175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80-4661-845B-15C9962175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80-4661-845B-15C9962175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480-4661-845B-15C9962175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480-4661-845B-15C9962175FB}"/>
              </c:ext>
            </c:extLst>
          </c:dPt>
          <c:dLbls>
            <c:dLbl>
              <c:idx val="0"/>
              <c:layout>
                <c:manualLayout>
                  <c:x val="3.9972878390201222E-2"/>
                  <c:y val="3.37248468941382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80-4661-845B-15C9962175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'メディカル (関数無)'!$A$42:$A$48</c:f>
              <c:strCache>
                <c:ptCount val="7"/>
                <c:pt idx="0">
                  <c:v>CV_Organic</c:v>
                </c:pt>
                <c:pt idx="1">
                  <c:v>CV_Paid</c:v>
                </c:pt>
                <c:pt idx="2">
                  <c:v>CV_Email</c:v>
                </c:pt>
                <c:pt idx="3">
                  <c:v>CV_Direct</c:v>
                </c:pt>
                <c:pt idx="4">
                  <c:v>CV_Referral</c:v>
                </c:pt>
                <c:pt idx="5">
                  <c:v>CV_OrganicSocial</c:v>
                </c:pt>
                <c:pt idx="6">
                  <c:v>CV_Unassigned</c:v>
                </c:pt>
              </c:strCache>
            </c:strRef>
          </c:cat>
          <c:val>
            <c:numRef>
              <c:f>'メディカル (関数無)'!$AL$42:$AL$48</c:f>
              <c:numCache>
                <c:formatCode>General</c:formatCode>
                <c:ptCount val="7"/>
                <c:pt idx="0">
                  <c:v>254</c:v>
                </c:pt>
                <c:pt idx="1">
                  <c:v>42</c:v>
                </c:pt>
                <c:pt idx="2">
                  <c:v>4</c:v>
                </c:pt>
                <c:pt idx="3">
                  <c:v>44</c:v>
                </c:pt>
                <c:pt idx="4">
                  <c:v>13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480-4661-845B-15C996217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セッションとユニーク</a:t>
            </a:r>
            <a:r>
              <a:rPr lang="en-US" altLang="ja-JP"/>
              <a:t>MQL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'メディカル (関数無)'!$A$4</c:f>
              <c:strCache>
                <c:ptCount val="1"/>
                <c:pt idx="0">
                  <c:v>MAL（セッション）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'メディカル (関数無)'!$B$3:$S$3</c:f>
              <c:strCache>
                <c:ptCount val="16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  <c:pt idx="12">
                  <c:v>5月</c:v>
                </c:pt>
                <c:pt idx="13">
                  <c:v>6月</c:v>
                </c:pt>
                <c:pt idx="14">
                  <c:v>7月</c:v>
                </c:pt>
                <c:pt idx="15">
                  <c:v>8月</c:v>
                </c:pt>
              </c:strCache>
            </c:strRef>
          </c:cat>
          <c:val>
            <c:numRef>
              <c:f>'メディカル (関数無)'!$B$4:$S$4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1175</c:v>
                </c:pt>
                <c:pt idx="4">
                  <c:v>1635</c:v>
                </c:pt>
                <c:pt idx="5">
                  <c:v>2788</c:v>
                </c:pt>
                <c:pt idx="6">
                  <c:v>2811</c:v>
                </c:pt>
                <c:pt idx="7">
                  <c:v>2712</c:v>
                </c:pt>
                <c:pt idx="8">
                  <c:v>2292</c:v>
                </c:pt>
                <c:pt idx="9">
                  <c:v>2167</c:v>
                </c:pt>
                <c:pt idx="10">
                  <c:v>2279</c:v>
                </c:pt>
                <c:pt idx="11">
                  <c:v>2674</c:v>
                </c:pt>
                <c:pt idx="12">
                  <c:v>3250</c:v>
                </c:pt>
                <c:pt idx="13">
                  <c:v>3298</c:v>
                </c:pt>
                <c:pt idx="14">
                  <c:v>3258</c:v>
                </c:pt>
                <c:pt idx="15">
                  <c:v>2471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B-4022-95AD-5572BA9B7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3827592"/>
        <c:axId val="613851144"/>
      </c:barChart>
      <c:lineChart>
        <c:grouping val="standard"/>
        <c:varyColors val="0"/>
        <c:ser>
          <c:idx val="1"/>
          <c:order val="1"/>
          <c:tx>
            <c:strRef>
              <c:f>'メディカル (関数無)'!$A$5</c:f>
              <c:strCache>
                <c:ptCount val="1"/>
                <c:pt idx="0">
                  <c:v>MQL（ユニークアカウント）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'メディカル (関数無)'!$B$3:$S$3</c:f>
              <c:strCache>
                <c:ptCount val="16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  <c:pt idx="12">
                  <c:v>5月</c:v>
                </c:pt>
                <c:pt idx="13">
                  <c:v>6月</c:v>
                </c:pt>
                <c:pt idx="14">
                  <c:v>7月</c:v>
                </c:pt>
                <c:pt idx="15">
                  <c:v>8月</c:v>
                </c:pt>
              </c:strCache>
            </c:strRef>
          </c:cat>
          <c:val>
            <c:numRef>
              <c:f>'メディカル (関数無)'!$B$5:$S$5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27</c:v>
                </c:pt>
                <c:pt idx="4">
                  <c:v>20</c:v>
                </c:pt>
                <c:pt idx="5">
                  <c:v>19</c:v>
                </c:pt>
                <c:pt idx="6">
                  <c:v>26</c:v>
                </c:pt>
                <c:pt idx="7">
                  <c:v>17</c:v>
                </c:pt>
                <c:pt idx="8">
                  <c:v>18</c:v>
                </c:pt>
                <c:pt idx="9">
                  <c:v>6</c:v>
                </c:pt>
                <c:pt idx="10">
                  <c:v>20</c:v>
                </c:pt>
                <c:pt idx="11">
                  <c:v>26</c:v>
                </c:pt>
                <c:pt idx="12">
                  <c:v>27</c:v>
                </c:pt>
                <c:pt idx="13">
                  <c:v>18</c:v>
                </c:pt>
                <c:pt idx="14">
                  <c:v>45</c:v>
                </c:pt>
                <c:pt idx="1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4B-4022-95AD-5572BA9B7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827592"/>
        <c:axId val="613851144"/>
      </c:lineChart>
      <c:catAx>
        <c:axId val="613827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851144"/>
        <c:crosses val="autoZero"/>
        <c:auto val="1"/>
        <c:lblAlgn val="ctr"/>
        <c:lblOffset val="100"/>
        <c:noMultiLvlLbl val="0"/>
      </c:catAx>
      <c:valAx>
        <c:axId val="6138511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827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CV</a:t>
            </a:r>
            <a:r>
              <a:rPr lang="ja-JP" altLang="en-US"/>
              <a:t>の月次推移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'メディカル (関数無)'!$A$51</c:f>
              <c:strCache>
                <c:ptCount val="1"/>
                <c:pt idx="0">
                  <c:v>CV（問い合わせ）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'メディカル (関数無)'!$B$50:$S$50</c:f>
              <c:strCache>
                <c:ptCount val="16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  <c:pt idx="12">
                  <c:v>5月</c:v>
                </c:pt>
                <c:pt idx="13">
                  <c:v>6月</c:v>
                </c:pt>
                <c:pt idx="14">
                  <c:v>7月</c:v>
                </c:pt>
                <c:pt idx="15">
                  <c:v>8月</c:v>
                </c:pt>
              </c:strCache>
            </c:strRef>
          </c:cat>
          <c:val>
            <c:numRef>
              <c:f>'メディカル (関数無)'!$B$51:$S$51</c:f>
              <c:numCache>
                <c:formatCode>General</c:formatCode>
                <c:ptCount val="1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4</c:v>
                </c:pt>
                <c:pt idx="12">
                  <c:v>7</c:v>
                </c:pt>
                <c:pt idx="13">
                  <c:v>8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8-4AA5-BBF5-2F72D0F6CC28}"/>
            </c:ext>
          </c:extLst>
        </c:ser>
        <c:ser>
          <c:idx val="1"/>
          <c:order val="1"/>
          <c:tx>
            <c:strRef>
              <c:f>'メディカル (関数無)'!$A$52</c:f>
              <c:strCache>
                <c:ptCount val="1"/>
                <c:pt idx="0">
                  <c:v>CV（サービス資料DL）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'メディカル (関数無)'!$B$50:$S$50</c:f>
              <c:strCache>
                <c:ptCount val="16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  <c:pt idx="12">
                  <c:v>5月</c:v>
                </c:pt>
                <c:pt idx="13">
                  <c:v>6月</c:v>
                </c:pt>
                <c:pt idx="14">
                  <c:v>7月</c:v>
                </c:pt>
                <c:pt idx="15">
                  <c:v>8月</c:v>
                </c:pt>
              </c:strCache>
            </c:strRef>
          </c:cat>
          <c:val>
            <c:numRef>
              <c:f>'メディカル (関数無)'!$B$52:$S$52</c:f>
              <c:numCache>
                <c:formatCode>General</c:formatCode>
                <c:ptCount val="1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5</c:v>
                </c:pt>
                <c:pt idx="5">
                  <c:v>21</c:v>
                </c:pt>
                <c:pt idx="6">
                  <c:v>15</c:v>
                </c:pt>
                <c:pt idx="7">
                  <c:v>8</c:v>
                </c:pt>
                <c:pt idx="8">
                  <c:v>15</c:v>
                </c:pt>
                <c:pt idx="9">
                  <c:v>10</c:v>
                </c:pt>
                <c:pt idx="10">
                  <c:v>495</c:v>
                </c:pt>
                <c:pt idx="11">
                  <c:v>295</c:v>
                </c:pt>
                <c:pt idx="12">
                  <c:v>14</c:v>
                </c:pt>
                <c:pt idx="13">
                  <c:v>23</c:v>
                </c:pt>
                <c:pt idx="14">
                  <c:v>47</c:v>
                </c:pt>
                <c:pt idx="1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8-4AA5-BBF5-2F72D0F6CC28}"/>
            </c:ext>
          </c:extLst>
        </c:ser>
        <c:ser>
          <c:idx val="2"/>
          <c:order val="2"/>
          <c:tx>
            <c:strRef>
              <c:f>'メディカル (関数無)'!$A$53</c:f>
              <c:strCache>
                <c:ptCount val="1"/>
                <c:pt idx="0">
                  <c:v>CV（WPDL）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'メディカル (関数無)'!$B$50:$S$50</c:f>
              <c:strCache>
                <c:ptCount val="16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  <c:pt idx="12">
                  <c:v>5月</c:v>
                </c:pt>
                <c:pt idx="13">
                  <c:v>6月</c:v>
                </c:pt>
                <c:pt idx="14">
                  <c:v>7月</c:v>
                </c:pt>
                <c:pt idx="15">
                  <c:v>8月</c:v>
                </c:pt>
              </c:strCache>
            </c:strRef>
          </c:cat>
          <c:val>
            <c:numRef>
              <c:f>'メディカル (関数無)'!$B$53:$S$53</c:f>
              <c:numCache>
                <c:formatCode>General</c:formatCode>
                <c:ptCount val="16"/>
                <c:pt idx="0">
                  <c:v>19</c:v>
                </c:pt>
                <c:pt idx="1">
                  <c:v>20</c:v>
                </c:pt>
                <c:pt idx="2">
                  <c:v>35</c:v>
                </c:pt>
                <c:pt idx="3">
                  <c:v>12</c:v>
                </c:pt>
                <c:pt idx="4">
                  <c:v>30</c:v>
                </c:pt>
                <c:pt idx="5">
                  <c:v>42</c:v>
                </c:pt>
                <c:pt idx="6">
                  <c:v>37</c:v>
                </c:pt>
                <c:pt idx="7">
                  <c:v>24</c:v>
                </c:pt>
                <c:pt idx="8">
                  <c:v>23</c:v>
                </c:pt>
                <c:pt idx="9">
                  <c:v>12</c:v>
                </c:pt>
                <c:pt idx="10">
                  <c:v>31</c:v>
                </c:pt>
                <c:pt idx="11">
                  <c:v>35</c:v>
                </c:pt>
                <c:pt idx="12">
                  <c:v>44</c:v>
                </c:pt>
                <c:pt idx="13">
                  <c:v>34</c:v>
                </c:pt>
                <c:pt idx="14">
                  <c:v>2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8-4AA5-BBF5-2F72D0F6C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0305031"/>
        <c:axId val="1210307079"/>
      </c:barChart>
      <c:catAx>
        <c:axId val="1210305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307079"/>
        <c:crosses val="autoZero"/>
        <c:auto val="1"/>
        <c:lblAlgn val="ctr"/>
        <c:lblOffset val="100"/>
        <c:noMultiLvlLbl val="0"/>
      </c:catAx>
      <c:valAx>
        <c:axId val="1210307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3050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チャネル構成比</a:t>
            </a:r>
          </a:p>
        </c:rich>
      </c:tx>
      <c:layout>
        <c:manualLayout>
          <c:xMode val="edge"/>
          <c:yMode val="edge"/>
          <c:x val="1.2531328320802004E-3"/>
          <c:y val="3.082851637764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A2-46E6-8748-39109E48D9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A2-46E6-8748-39109E48D9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A2-46E6-8748-39109E48D9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A2-46E6-8748-39109E48D9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DA2-46E6-8748-39109E48D9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A2-46E6-8748-39109E48D9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DA2-46E6-8748-39109E48D98A}"/>
              </c:ext>
            </c:extLst>
          </c:dPt>
          <c:dLbls>
            <c:dLbl>
              <c:idx val="0"/>
              <c:layout>
                <c:manualLayout>
                  <c:x val="5.0125313283207927E-2"/>
                  <c:y val="-9.248554913294797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A2-46E6-8748-39109E48D98A}"/>
                </c:ext>
              </c:extLst>
            </c:dLbl>
            <c:dLbl>
              <c:idx val="3"/>
              <c:layout>
                <c:manualLayout>
                  <c:x val="-4.583333333333333E-2"/>
                  <c:y val="3.009259259259267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A2-46E6-8748-39109E48D98A}"/>
                </c:ext>
              </c:extLst>
            </c:dLbl>
            <c:dLbl>
              <c:idx val="4"/>
              <c:layout>
                <c:manualLayout>
                  <c:x val="-0.15952268519198387"/>
                  <c:y val="2.13866481891257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A2-46E6-8748-39109E48D98A}"/>
                </c:ext>
              </c:extLst>
            </c:dLbl>
            <c:dLbl>
              <c:idx val="5"/>
              <c:layout>
                <c:manualLayout>
                  <c:x val="-0.12179958235779224"/>
                  <c:y val="-3.641466781970172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A2-46E6-8748-39109E48D98A}"/>
                </c:ext>
              </c:extLst>
            </c:dLbl>
            <c:dLbl>
              <c:idx val="6"/>
              <c:layout>
                <c:manualLayout>
                  <c:x val="-9.1895346103001452E-17"/>
                  <c:y val="-0.11184510674671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A2-46E6-8748-39109E48D9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'インサイトセールス (関数無)'!$A$42:$A$48</c:f>
              <c:strCache>
                <c:ptCount val="7"/>
                <c:pt idx="0">
                  <c:v>CV_Organic</c:v>
                </c:pt>
                <c:pt idx="1">
                  <c:v>CV_Paid</c:v>
                </c:pt>
                <c:pt idx="2">
                  <c:v>CV_Email</c:v>
                </c:pt>
                <c:pt idx="3">
                  <c:v>CV_Direct</c:v>
                </c:pt>
                <c:pt idx="4">
                  <c:v>CV_Referral</c:v>
                </c:pt>
                <c:pt idx="5">
                  <c:v>CV_OrganicSocial</c:v>
                </c:pt>
                <c:pt idx="6">
                  <c:v>CV_Unassigned</c:v>
                </c:pt>
              </c:strCache>
            </c:strRef>
          </c:cat>
          <c:val>
            <c:numRef>
              <c:f>'インサイトセールス (関数無)'!$AL$42:$AL$48</c:f>
              <c:numCache>
                <c:formatCode>General</c:formatCode>
                <c:ptCount val="7"/>
                <c:pt idx="0">
                  <c:v>7</c:v>
                </c:pt>
                <c:pt idx="1">
                  <c:v>14</c:v>
                </c:pt>
                <c:pt idx="2">
                  <c:v>83</c:v>
                </c:pt>
                <c:pt idx="3">
                  <c:v>23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A2-46E6-8748-39109E48D9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CV</a:t>
            </a:r>
            <a:r>
              <a:rPr lang="ja-JP" altLang="en-US"/>
              <a:t>数の月次推移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'インサイトセールス (関数無)'!$A$51</c:f>
              <c:strCache>
                <c:ptCount val="1"/>
                <c:pt idx="0">
                  <c:v>CV（問い合わせ）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'インサイトセールス (関数無)'!$B$50:$S$50</c:f>
              <c:strCache>
                <c:ptCount val="15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  <c:pt idx="12">
                  <c:v>6月</c:v>
                </c:pt>
                <c:pt idx="13">
                  <c:v>7月</c:v>
                </c:pt>
                <c:pt idx="14">
                  <c:v>8月</c:v>
                </c:pt>
              </c:strCache>
            </c:strRef>
          </c:cat>
          <c:val>
            <c:numRef>
              <c:f>'インサイトセールス (関数無)'!$B$51:$S$51</c:f>
              <c:numCache>
                <c:formatCode>General</c:formatCode>
                <c:ptCount val="15"/>
                <c:pt idx="0">
                  <c:v>5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  <c:pt idx="10">
                  <c:v>1</c:v>
                </c:pt>
                <c:pt idx="11">
                  <c:v>3</c:v>
                </c:pt>
                <c:pt idx="12">
                  <c:v>9</c:v>
                </c:pt>
                <c:pt idx="13">
                  <c:v>4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5-43DB-83B6-CAEAD844E026}"/>
            </c:ext>
          </c:extLst>
        </c:ser>
        <c:ser>
          <c:idx val="1"/>
          <c:order val="1"/>
          <c:tx>
            <c:strRef>
              <c:f>'インサイトセールス (関数無)'!$A$52</c:f>
              <c:strCache>
                <c:ptCount val="1"/>
                <c:pt idx="0">
                  <c:v>CV（サービス資料DL）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'インサイトセールス (関数無)'!$B$50:$S$50</c:f>
              <c:strCache>
                <c:ptCount val="15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  <c:pt idx="12">
                  <c:v>6月</c:v>
                </c:pt>
                <c:pt idx="13">
                  <c:v>7月</c:v>
                </c:pt>
                <c:pt idx="14">
                  <c:v>8月</c:v>
                </c:pt>
              </c:strCache>
            </c:strRef>
          </c:cat>
          <c:val>
            <c:numRef>
              <c:f>'インサイトセールス (関数無)'!$B$52:$S$52</c:f>
              <c:numCache>
                <c:formatCode>General</c:formatCode>
                <c:ptCount val="15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7</c:v>
                </c:pt>
                <c:pt idx="8">
                  <c:v>6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5</c:v>
                </c:pt>
                <c:pt idx="13">
                  <c:v>12</c:v>
                </c:pt>
                <c:pt idx="1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95-43DB-83B6-CAEAD844E026}"/>
            </c:ext>
          </c:extLst>
        </c:ser>
        <c:ser>
          <c:idx val="2"/>
          <c:order val="2"/>
          <c:tx>
            <c:strRef>
              <c:f>'インサイトセールス (関数無)'!$A$53</c:f>
              <c:strCache>
                <c:ptCount val="1"/>
                <c:pt idx="0">
                  <c:v>CV（WPDL）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'インサイトセールス (関数無)'!$B$50:$S$50</c:f>
              <c:strCache>
                <c:ptCount val="15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  <c:pt idx="12">
                  <c:v>6月</c:v>
                </c:pt>
                <c:pt idx="13">
                  <c:v>7月</c:v>
                </c:pt>
                <c:pt idx="14">
                  <c:v>8月</c:v>
                </c:pt>
              </c:strCache>
            </c:strRef>
          </c:cat>
          <c:val>
            <c:numRef>
              <c:f>'インサイトセールス (関数無)'!$B$53:$S$53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83</c:v>
                </c:pt>
                <c:pt idx="9">
                  <c:v>2</c:v>
                </c:pt>
                <c:pt idx="10">
                  <c:v>5</c:v>
                </c:pt>
                <c:pt idx="11">
                  <c:v>4</c:v>
                </c:pt>
                <c:pt idx="12">
                  <c:v>35</c:v>
                </c:pt>
                <c:pt idx="13">
                  <c:v>0</c:v>
                </c:pt>
                <c:pt idx="1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95-43DB-83B6-CAEAD844E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5992328"/>
        <c:axId val="1216008712"/>
      </c:barChart>
      <c:catAx>
        <c:axId val="121599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08712"/>
        <c:crosses val="autoZero"/>
        <c:auto val="1"/>
        <c:lblAlgn val="ctr"/>
        <c:lblOffset val="100"/>
        <c:noMultiLvlLbl val="0"/>
      </c:catAx>
      <c:valAx>
        <c:axId val="121600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9923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セッションとユニーク</a:t>
            </a:r>
            <a:r>
              <a:rPr lang="en-US" altLang="ja-JP"/>
              <a:t>MQL</a:t>
            </a:r>
            <a:r>
              <a:rPr lang="ja-JP" altLang="en-US"/>
              <a:t>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'インサイトセールス (関数無)'!$A$4</c:f>
              <c:strCache>
                <c:ptCount val="1"/>
                <c:pt idx="0">
                  <c:v>MAL（セッション）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'インサイトセールス (関数無)'!$B$3:$S$3</c:f>
              <c:strCache>
                <c:ptCount val="15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  <c:pt idx="12">
                  <c:v>6月</c:v>
                </c:pt>
                <c:pt idx="13">
                  <c:v>7月</c:v>
                </c:pt>
                <c:pt idx="14">
                  <c:v>8月</c:v>
                </c:pt>
              </c:strCache>
            </c:strRef>
          </c:cat>
          <c:val>
            <c:numRef>
              <c:f>'インサイトセールス (関数無)'!$B$4:$S$4</c:f>
              <c:numCache>
                <c:formatCode>General</c:formatCode>
                <c:ptCount val="15"/>
                <c:pt idx="0">
                  <c:v>537</c:v>
                </c:pt>
                <c:pt idx="1">
                  <c:v>371</c:v>
                </c:pt>
                <c:pt idx="2">
                  <c:v>923</c:v>
                </c:pt>
                <c:pt idx="3">
                  <c:v>712</c:v>
                </c:pt>
                <c:pt idx="4">
                  <c:v>755</c:v>
                </c:pt>
                <c:pt idx="5">
                  <c:v>4615</c:v>
                </c:pt>
                <c:pt idx="6">
                  <c:v>1022</c:v>
                </c:pt>
                <c:pt idx="7">
                  <c:v>759</c:v>
                </c:pt>
                <c:pt idx="8">
                  <c:v>1100</c:v>
                </c:pt>
                <c:pt idx="9">
                  <c:v>764</c:v>
                </c:pt>
                <c:pt idx="10">
                  <c:v>1778</c:v>
                </c:pt>
                <c:pt idx="11">
                  <c:v>972</c:v>
                </c:pt>
                <c:pt idx="12">
                  <c:v>1028</c:v>
                </c:pt>
                <c:pt idx="13">
                  <c:v>3160</c:v>
                </c:pt>
                <c:pt idx="14">
                  <c:v>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9-489C-992E-1634A06A6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8798471"/>
        <c:axId val="1348800519"/>
      </c:barChart>
      <c:lineChart>
        <c:grouping val="standard"/>
        <c:varyColors val="0"/>
        <c:ser>
          <c:idx val="1"/>
          <c:order val="1"/>
          <c:tx>
            <c:strRef>
              <c:f>'インサイトセールス (関数無)'!$A$5</c:f>
              <c:strCache>
                <c:ptCount val="1"/>
                <c:pt idx="0">
                  <c:v>MQL（ユニークアカウント）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'インサイトセールス (関数無)'!$B$3:$S$3</c:f>
              <c:strCache>
                <c:ptCount val="15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  <c:pt idx="12">
                  <c:v>6月</c:v>
                </c:pt>
                <c:pt idx="13">
                  <c:v>7月</c:v>
                </c:pt>
                <c:pt idx="14">
                  <c:v>8月</c:v>
                </c:pt>
              </c:strCache>
            </c:strRef>
          </c:cat>
          <c:val>
            <c:numRef>
              <c:f>'インサイトセールス (関数無)'!$B$5:$S$5</c:f>
              <c:numCache>
                <c:formatCode>General</c:formatCode>
                <c:ptCount val="15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9</c:v>
                </c:pt>
                <c:pt idx="6">
                  <c:v>17</c:v>
                </c:pt>
                <c:pt idx="7">
                  <c:v>7</c:v>
                </c:pt>
                <c:pt idx="8">
                  <c:v>69</c:v>
                </c:pt>
                <c:pt idx="9">
                  <c:v>4</c:v>
                </c:pt>
                <c:pt idx="10">
                  <c:v>6</c:v>
                </c:pt>
                <c:pt idx="11">
                  <c:v>5</c:v>
                </c:pt>
                <c:pt idx="12">
                  <c:v>12</c:v>
                </c:pt>
                <c:pt idx="13">
                  <c:v>16</c:v>
                </c:pt>
                <c:pt idx="1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F9-489C-992E-1634A06A6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798471"/>
        <c:axId val="1348800519"/>
      </c:lineChart>
      <c:catAx>
        <c:axId val="1348798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00519"/>
        <c:crosses val="autoZero"/>
        <c:auto val="1"/>
        <c:lblAlgn val="ctr"/>
        <c:lblOffset val="100"/>
        <c:noMultiLvlLbl val="0"/>
      </c:catAx>
      <c:valAx>
        <c:axId val="134880051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7984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583640</xdr:colOff>
      <xdr:row>59</xdr:row>
      <xdr:rowOff>161178</xdr:rowOff>
    </xdr:from>
    <xdr:to>
      <xdr:col>31</xdr:col>
      <xdr:colOff>739588</xdr:colOff>
      <xdr:row>80</xdr:row>
      <xdr:rowOff>127000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9FF8895-5056-3DD0-37AF-C44C6BDF546F}"/>
            </a:ext>
            <a:ext uri="{147F2762-F138-4A5C-976F-8EAC2B608ADB}">
              <a16:predDERef xmlns:a16="http://schemas.microsoft.com/office/drawing/2014/main" pred="{B49FF225-4903-2BCF-86AF-CFB887AFB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0</xdr:row>
      <xdr:rowOff>-1990725</xdr:rowOff>
    </xdr:from>
    <xdr:to>
      <xdr:col>11</xdr:col>
      <xdr:colOff>19050</xdr:colOff>
      <xdr:row>0</xdr:row>
      <xdr:rowOff>-1990725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4ED91760-230F-F221-0287-8271C41D6563}"/>
            </a:ext>
            <a:ext uri="{147F2762-F138-4A5C-976F-8EAC2B608ADB}">
              <a16:predDERef xmlns:a16="http://schemas.microsoft.com/office/drawing/2014/main" pred="{C5062075-BDB3-C23B-58CE-8D0975AB6814}"/>
            </a:ext>
          </a:extLst>
        </xdr:cNvPr>
        <xdr:cNvSpPr/>
      </xdr:nvSpPr>
      <xdr:spPr>
        <a:xfrm>
          <a:off x="4762500" y="-1990725"/>
          <a:ext cx="0" cy="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神吉、予実管理表を触っています。</a:t>
          </a:r>
        </a:p>
      </xdr:txBody>
    </xdr:sp>
    <xdr:clientData/>
  </xdr:twoCellAnchor>
  <xdr:twoCellAnchor>
    <xdr:from>
      <xdr:col>15</xdr:col>
      <xdr:colOff>226218</xdr:colOff>
      <xdr:row>59</xdr:row>
      <xdr:rowOff>139700</xdr:rowOff>
    </xdr:from>
    <xdr:to>
      <xdr:col>24</xdr:col>
      <xdr:colOff>431798</xdr:colOff>
      <xdr:row>80</xdr:row>
      <xdr:rowOff>91109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D7C25B2-997E-7AC9-CACB-846F297C9F88}"/>
            </a:ext>
            <a:ext uri="{147F2762-F138-4A5C-976F-8EAC2B608ADB}">
              <a16:predDERef xmlns:a16="http://schemas.microsoft.com/office/drawing/2014/main" pred="{4ED91760-230F-F221-0287-8271C41D6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62</xdr:row>
      <xdr:rowOff>95250</xdr:rowOff>
    </xdr:from>
    <xdr:to>
      <xdr:col>47</xdr:col>
      <xdr:colOff>190500</xdr:colOff>
      <xdr:row>85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F1A0ED7-90D6-7E22-142D-567970587C24}"/>
            </a:ext>
            <a:ext uri="{147F2762-F138-4A5C-976F-8EAC2B608ADB}">
              <a16:predDERef xmlns:a16="http://schemas.microsoft.com/office/drawing/2014/main" pred="{26BD9C22-5230-AC8D-B007-3F827CD79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776944</xdr:colOff>
      <xdr:row>61</xdr:row>
      <xdr:rowOff>48466</xdr:rowOff>
    </xdr:from>
    <xdr:to>
      <xdr:col>30</xdr:col>
      <xdr:colOff>580841</xdr:colOff>
      <xdr:row>83</xdr:row>
      <xdr:rowOff>105710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C619EE0-011B-49ED-8162-D516B185ACE4}"/>
            </a:ext>
            <a:ext uri="{147F2762-F138-4A5C-976F-8EAC2B608ADB}">
              <a16:predDERef xmlns:a16="http://schemas.microsoft.com/office/drawing/2014/main" pred="{6F1A0ED7-90D6-7E22-142D-567970587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658021</xdr:colOff>
      <xdr:row>61</xdr:row>
      <xdr:rowOff>26988</xdr:rowOff>
    </xdr:from>
    <xdr:to>
      <xdr:col>22</xdr:col>
      <xdr:colOff>654471</xdr:colOff>
      <xdr:row>81</xdr:row>
      <xdr:rowOff>182158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BB13FFE-5CA5-49BA-9AED-19555C3FDE96}"/>
            </a:ext>
            <a:ext uri="{147F2762-F138-4A5C-976F-8EAC2B608ADB}">
              <a16:predDERef xmlns:a16="http://schemas.microsoft.com/office/drawing/2014/main" pred="{7C619EE0-011B-49ED-8162-D516B185A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498803</xdr:colOff>
      <xdr:row>60</xdr:row>
      <xdr:rowOff>19985</xdr:rowOff>
    </xdr:from>
    <xdr:to>
      <xdr:col>30</xdr:col>
      <xdr:colOff>662969</xdr:colOff>
      <xdr:row>82</xdr:row>
      <xdr:rowOff>24188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5BFB814-A9A6-414A-98EF-8D9D5397A4E9}"/>
            </a:ext>
            <a:ext uri="{147F2762-F138-4A5C-976F-8EAC2B608ADB}">
              <a16:predDERef xmlns:a16="http://schemas.microsoft.com/office/drawing/2014/main" pred="{B49FF225-4903-2BCF-86AF-CFB887AFB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268942</xdr:colOff>
      <xdr:row>60</xdr:row>
      <xdr:rowOff>14382</xdr:rowOff>
    </xdr:from>
    <xdr:to>
      <xdr:col>22</xdr:col>
      <xdr:colOff>389030</xdr:colOff>
      <xdr:row>80</xdr:row>
      <xdr:rowOff>100822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127C56E-53F0-432E-891A-6DDDA7428DB3}"/>
            </a:ext>
            <a:ext uri="{147F2762-F138-4A5C-976F-8EAC2B608ADB}">
              <a16:predDERef xmlns:a16="http://schemas.microsoft.com/office/drawing/2014/main" pred="{35BFB814-A9A6-414A-98EF-8D9D5397A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377686</xdr:colOff>
      <xdr:row>60</xdr:row>
      <xdr:rowOff>59579</xdr:rowOff>
    </xdr:from>
    <xdr:to>
      <xdr:col>28</xdr:col>
      <xdr:colOff>742764</xdr:colOff>
      <xdr:row>82</xdr:row>
      <xdr:rowOff>73961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6EBEF8B1-C36A-479E-9A0F-85BED1CBD7D5}"/>
            </a:ext>
            <a:ext uri="{147F2762-F138-4A5C-976F-8EAC2B608ADB}">
              <a16:predDERef xmlns:a16="http://schemas.microsoft.com/office/drawing/2014/main" pred="{B49FF225-4903-2BCF-86AF-CFB887AFB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309563</xdr:colOff>
      <xdr:row>60</xdr:row>
      <xdr:rowOff>47626</xdr:rowOff>
    </xdr:from>
    <xdr:to>
      <xdr:col>21</xdr:col>
      <xdr:colOff>267913</xdr:colOff>
      <xdr:row>80</xdr:row>
      <xdr:rowOff>151996</xdr:rowOff>
    </xdr:to>
    <xdr:graphicFrame macro="">
      <xdr:nvGraphicFramePr>
        <xdr:cNvPr id="7" name="グラフ 5">
          <a:extLst>
            <a:ext uri="{FF2B5EF4-FFF2-40B4-BE49-F238E27FC236}">
              <a16:creationId xmlns:a16="http://schemas.microsoft.com/office/drawing/2014/main" id="{67C2DAFB-B2D7-4827-A72E-7CA5D07B45BD}"/>
            </a:ext>
            <a:ext uri="{147F2762-F138-4A5C-976F-8EAC2B608ADB}">
              <a16:predDERef xmlns:a16="http://schemas.microsoft.com/office/drawing/2014/main" pred="{6EBEF8B1-C36A-479E-9A0F-85BED1CBD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657225</xdr:colOff>
      <xdr:row>91</xdr:row>
      <xdr:rowOff>190500</xdr:rowOff>
    </xdr:from>
    <xdr:to>
      <xdr:col>20</xdr:col>
      <xdr:colOff>581025</xdr:colOff>
      <xdr:row>105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5F2711B-F432-4AF4-BA2F-FE374AFE0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457200</xdr:colOff>
      <xdr:row>94</xdr:row>
      <xdr:rowOff>57150</xdr:rowOff>
    </xdr:from>
    <xdr:to>
      <xdr:col>38</xdr:col>
      <xdr:colOff>238125</xdr:colOff>
      <xdr:row>115</xdr:row>
      <xdr:rowOff>85725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A91E8F6-B36E-4D43-9219-941BBC26C306}"/>
            </a:ext>
            <a:ext uri="{147F2762-F138-4A5C-976F-8EAC2B608ADB}">
              <a16:predDERef xmlns:a16="http://schemas.microsoft.com/office/drawing/2014/main" pred="{55F2711B-F432-4AF4-BA2F-FE374AFE0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600075</xdr:colOff>
      <xdr:row>119</xdr:row>
      <xdr:rowOff>142875</xdr:rowOff>
    </xdr:from>
    <xdr:to>
      <xdr:col>69</xdr:col>
      <xdr:colOff>447675</xdr:colOff>
      <xdr:row>144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4404046-01AC-461E-AD73-B33333F48CAB}"/>
            </a:ext>
            <a:ext uri="{147F2762-F138-4A5C-976F-8EAC2B608ADB}">
              <a16:predDERef xmlns:a16="http://schemas.microsoft.com/office/drawing/2014/main" pred="{8A91E8F6-B36E-4D43-9219-941BBC26C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19050</xdr:colOff>
      <xdr:row>0</xdr:row>
      <xdr:rowOff>-1990725</xdr:rowOff>
    </xdr:from>
    <xdr:to>
      <xdr:col>11</xdr:col>
      <xdr:colOff>19050</xdr:colOff>
      <xdr:row>0</xdr:row>
      <xdr:rowOff>-1990725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F87D5CB2-9897-4675-AAAD-57CB24110AEE}"/>
            </a:ext>
            <a:ext uri="{147F2762-F138-4A5C-976F-8EAC2B608ADB}">
              <a16:predDERef xmlns:a16="http://schemas.microsoft.com/office/drawing/2014/main" pred="{C5062075-BDB3-C23B-58CE-8D0975AB6814}"/>
            </a:ext>
          </a:extLst>
        </xdr:cNvPr>
        <xdr:cNvSpPr/>
      </xdr:nvSpPr>
      <xdr:spPr>
        <a:xfrm>
          <a:off x="4762500" y="-1987550"/>
          <a:ext cx="0" cy="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神吉、予実管理表を触っています。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409575</xdr:colOff>
      <xdr:row>72</xdr:row>
      <xdr:rowOff>123825</xdr:rowOff>
    </xdr:from>
    <xdr:to>
      <xdr:col>15</xdr:col>
      <xdr:colOff>561975</xdr:colOff>
      <xdr:row>86</xdr:row>
      <xdr:rowOff>66675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B0E1768-E4F8-4E66-B81B-6A6D0965B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257175</xdr:colOff>
      <xdr:row>72</xdr:row>
      <xdr:rowOff>114300</xdr:rowOff>
    </xdr:from>
    <xdr:to>
      <xdr:col>40</xdr:col>
      <xdr:colOff>190500</xdr:colOff>
      <xdr:row>95</xdr:row>
      <xdr:rowOff>152400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E348303-C01D-4EC5-A1CC-93C41C485E57}"/>
            </a:ext>
            <a:ext uri="{147F2762-F138-4A5C-976F-8EAC2B608ADB}">
              <a16:predDERef xmlns:a16="http://schemas.microsoft.com/office/drawing/2014/main" pred="{5B0E1768-E4F8-4E66-B81B-6A6D0965B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371475</xdr:colOff>
      <xdr:row>72</xdr:row>
      <xdr:rowOff>95250</xdr:rowOff>
    </xdr:from>
    <xdr:to>
      <xdr:col>53</xdr:col>
      <xdr:colOff>190500</xdr:colOff>
      <xdr:row>95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031328F-0348-4D10-B41A-209FF03AE8A1}"/>
            </a:ext>
            <a:ext uri="{147F2762-F138-4A5C-976F-8EAC2B608ADB}">
              <a16:predDERef xmlns:a16="http://schemas.microsoft.com/office/drawing/2014/main" pred="{3E348303-C01D-4EC5-A1CC-93C41C485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428625</xdr:colOff>
      <xdr:row>68</xdr:row>
      <xdr:rowOff>28575</xdr:rowOff>
    </xdr:from>
    <xdr:to>
      <xdr:col>15</xdr:col>
      <xdr:colOff>219075</xdr:colOff>
      <xdr:row>81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31A5468-1173-4EDD-A6EA-F0E7B80B7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123825</xdr:colOff>
      <xdr:row>67</xdr:row>
      <xdr:rowOff>76200</xdr:rowOff>
    </xdr:from>
    <xdr:to>
      <xdr:col>46</xdr:col>
      <xdr:colOff>819150</xdr:colOff>
      <xdr:row>84</xdr:row>
      <xdr:rowOff>142875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BF36E6A-FAEB-4D20-B02E-AEF83369C7F1}"/>
            </a:ext>
            <a:ext uri="{147F2762-F138-4A5C-976F-8EAC2B608ADB}">
              <a16:predDERef xmlns:a16="http://schemas.microsoft.com/office/drawing/2014/main" pred="{231A5468-1173-4EDD-A6EA-F0E7B80B7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352425</xdr:colOff>
      <xdr:row>67</xdr:row>
      <xdr:rowOff>85725</xdr:rowOff>
    </xdr:from>
    <xdr:to>
      <xdr:col>23</xdr:col>
      <xdr:colOff>628650</xdr:colOff>
      <xdr:row>84</xdr:row>
      <xdr:rowOff>142875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E970789-3DF8-4150-BBA0-5AFDA6666F07}"/>
            </a:ext>
            <a:ext uri="{147F2762-F138-4A5C-976F-8EAC2B608ADB}">
              <a16:predDERef xmlns:a16="http://schemas.microsoft.com/office/drawing/2014/main" pred="{9BF36E6A-FAEB-4D20-B02E-AEF83369C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70</xdr:row>
      <xdr:rowOff>76200</xdr:rowOff>
    </xdr:from>
    <xdr:to>
      <xdr:col>21</xdr:col>
      <xdr:colOff>419100</xdr:colOff>
      <xdr:row>86</xdr:row>
      <xdr:rowOff>114300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88F4CC5-F899-4922-8500-270A80937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638175</xdr:colOff>
      <xdr:row>70</xdr:row>
      <xdr:rowOff>95250</xdr:rowOff>
    </xdr:from>
    <xdr:to>
      <xdr:col>44</xdr:col>
      <xdr:colOff>857250</xdr:colOff>
      <xdr:row>92</xdr:row>
      <xdr:rowOff>76200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B5CE240-A980-43E1-B665-CAF24A072709}"/>
            </a:ext>
            <a:ext uri="{147F2762-F138-4A5C-976F-8EAC2B608ADB}">
              <a16:predDERef xmlns:a16="http://schemas.microsoft.com/office/drawing/2014/main" pred="{B88F4CC5-F899-4922-8500-270A80937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238125</xdr:colOff>
      <xdr:row>70</xdr:row>
      <xdr:rowOff>85725</xdr:rowOff>
    </xdr:from>
    <xdr:to>
      <xdr:col>56</xdr:col>
      <xdr:colOff>466725</xdr:colOff>
      <xdr:row>92</xdr:row>
      <xdr:rowOff>47625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2ED4C92-814B-42EE-BA3D-9C0B33D5074B}"/>
            </a:ext>
            <a:ext uri="{147F2762-F138-4A5C-976F-8EAC2B608ADB}">
              <a16:predDERef xmlns:a16="http://schemas.microsoft.com/office/drawing/2014/main" pred="{0B5CE240-A980-43E1-B665-CAF24A072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573167\Box\&#12510;&#12540;&#12465;&#12486;&#12451;&#12531;&#12464;&#12464;&#12523;&#12540;&#12503;\&#12487;&#12472;&#12479;&#12523;&#12510;&#12540;&#12465;&#12486;&#12451;&#12531;&#12464;Div\&#12510;&#12540;&#12465;&#12486;&#12451;&#12531;&#12464;&#26412;&#37096;\&#31038;&#20869;&#12489;&#12461;&#12517;&#12513;&#12531;&#12488;\&#12510;&#12540;&#12465;&#12486;&#12451;&#12531;&#12464;&#26412;&#37096;&#65372;UN&#65372;&#23455;&#32318;.xlsm" TargetMode="External"/><Relationship Id="rId1" Type="http://schemas.openxmlformats.org/officeDocument/2006/relationships/externalLinkPath" Target="&#12510;&#12540;&#12465;&#12486;&#12451;&#12531;&#12464;&#26412;&#37096;&#65372;UN&#65372;&#23455;&#32318;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573167\Box\&#12510;&#12540;&#12465;&#12486;&#12451;&#12531;&#12464;&#12464;&#12523;&#12540;&#12503;\&#12487;&#12472;&#12479;&#12523;&#12510;&#12540;&#12465;&#12486;&#12451;&#12531;&#12464;Div\&#12510;&#12540;&#12465;&#12486;&#12451;&#12531;&#12464;&#26412;&#37096;\&#31038;&#20869;&#12489;&#12461;&#12517;&#12513;&#12531;&#12488;\&#12510;&#12540;&#12465;&#12486;&#12451;&#12531;&#12464;&#26412;&#37096;&#65372;&#12467;&#12531;&#12486;&#12531;&#12484;&#21046;&#20316;&#65372;&#26412;&#25968;&#31649;&#29702;.xlsx" TargetMode="External"/><Relationship Id="rId1" Type="http://schemas.openxmlformats.org/officeDocument/2006/relationships/externalLinkPath" Target="&#12510;&#12540;&#12465;&#12486;&#12451;&#12531;&#12464;&#26412;&#37096;&#65372;&#12467;&#12531;&#12486;&#12531;&#12484;&#21046;&#20316;&#65372;&#26412;&#25968;&#31649;&#29702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573167\Box\&#12510;&#12540;&#12465;&#12486;&#12451;&#12531;&#12464;&#12464;&#12523;&#12540;&#12503;\&#12487;&#12472;&#12479;&#12523;&#12510;&#12540;&#12465;&#12486;&#12451;&#12531;&#12464;Div\&#12510;&#12540;&#12465;&#12486;&#12451;&#12531;&#12464;&#26412;&#37096;\&#31038;&#20869;&#12489;&#12461;&#12517;&#12513;&#12531;&#12488;\&#12510;&#12540;&#12465;&#12486;&#12451;&#12531;&#12464;&#26412;&#37096;&#65372;SCH&#65372;&#23455;&#32318;.xlsm" TargetMode="External"/><Relationship Id="rId1" Type="http://schemas.openxmlformats.org/officeDocument/2006/relationships/externalLinkPath" Target="&#12510;&#12540;&#12465;&#12486;&#12451;&#12531;&#12464;&#26412;&#37096;&#65372;SCH&#65372;&#23455;&#32318;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573167\Box\&#12510;&#12540;&#12465;&#12486;&#12451;&#12531;&#12464;&#12464;&#12523;&#12540;&#12503;\&#12487;&#12472;&#12479;&#12523;&#12510;&#12540;&#12465;&#12486;&#12451;&#12531;&#12464;Div\&#12510;&#12540;&#12465;&#12486;&#12451;&#12531;&#12464;&#26412;&#37096;\&#31038;&#20869;&#12489;&#12461;&#12517;&#12513;&#12531;&#12488;\&#12510;&#12540;&#12465;&#12486;&#12451;&#12531;&#12464;&#26412;&#37096;&#65372;MED&#65372;&#23455;&#32318;.xlsm" TargetMode="External"/><Relationship Id="rId1" Type="http://schemas.openxmlformats.org/officeDocument/2006/relationships/externalLinkPath" Target="&#12510;&#12540;&#12465;&#12486;&#12451;&#12531;&#12464;&#26412;&#37096;&#65372;MED&#65372;&#23455;&#32318;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573167\Box\&#12510;&#12540;&#12465;&#12486;&#12451;&#12531;&#12464;&#12464;&#12523;&#12540;&#12503;\&#12487;&#12472;&#12479;&#12523;&#12510;&#12540;&#12465;&#12486;&#12451;&#12531;&#12464;Div\&#12510;&#12540;&#12465;&#12486;&#12451;&#12531;&#12464;&#26412;&#37096;\&#31038;&#20869;&#12489;&#12461;&#12517;&#12513;&#12531;&#12488;\&#12510;&#12540;&#12465;&#12486;&#12451;&#12531;&#12464;&#26412;&#37096;&#65372;IS&#65372;&#23455;&#32318;.xlsm" TargetMode="External"/><Relationship Id="rId1" Type="http://schemas.openxmlformats.org/officeDocument/2006/relationships/externalLinkPath" Target="&#12510;&#12540;&#12465;&#12486;&#12451;&#12531;&#12464;&#26412;&#37096;&#65372;IS&#65372;&#23455;&#3231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流入チャネル別集計"/>
      <sheetName val="流入チャネル別顧客一覧_7月以降完全ユニークではない"/>
      <sheetName val="流入チャネル別顧客一覧（6月末まで）"/>
      <sheetName val="Sheet1"/>
      <sheetName val="rawdata_案件判定データ"/>
      <sheetName val="UN｜CVレポート"/>
    </sheetNames>
    <sheetDataSet>
      <sheetData sheetId="0"/>
      <sheetData sheetId="1">
        <row r="1">
          <cell r="C1" t="str">
            <v>回答日時</v>
          </cell>
          <cell r="H1" t="str">
            <v>流入チャネル</v>
          </cell>
          <cell r="R1" t="str">
            <v>SAL（商談した）</v>
          </cell>
          <cell r="S1" t="str">
            <v>SQL（案件化した）</v>
          </cell>
          <cell r="T1" t="str">
            <v>受注</v>
          </cell>
        </row>
        <row r="2">
          <cell r="C2">
            <v>45552.459027777775</v>
          </cell>
          <cell r="H2" t="str">
            <v>link</v>
          </cell>
        </row>
        <row r="3">
          <cell r="C3">
            <v>45558.752083333333</v>
          </cell>
          <cell r="H3" t="str">
            <v>link</v>
          </cell>
        </row>
        <row r="4">
          <cell r="C4">
            <v>45565.73541666667</v>
          </cell>
          <cell r="H4" t="str">
            <v>direct</v>
          </cell>
        </row>
        <row r="5">
          <cell r="C5">
            <v>45566.593055555553</v>
          </cell>
          <cell r="H5" t="str">
            <v>direct</v>
          </cell>
          <cell r="R5">
            <v>45566</v>
          </cell>
          <cell r="S5">
            <v>45597</v>
          </cell>
        </row>
        <row r="6">
          <cell r="C6">
            <v>45574.494444444441</v>
          </cell>
          <cell r="H6" t="str">
            <v>organic</v>
          </cell>
        </row>
        <row r="7">
          <cell r="C7">
            <v>45575.306250000001</v>
          </cell>
          <cell r="H7" t="str">
            <v>link</v>
          </cell>
        </row>
        <row r="8">
          <cell r="C8">
            <v>45575.67291666667</v>
          </cell>
          <cell r="H8" t="str">
            <v>link</v>
          </cell>
        </row>
        <row r="9">
          <cell r="C9">
            <v>45593.417361111111</v>
          </cell>
          <cell r="H9" t="str">
            <v>link</v>
          </cell>
          <cell r="R9">
            <v>45593</v>
          </cell>
          <cell r="S9">
            <v>45594</v>
          </cell>
        </row>
        <row r="10">
          <cell r="C10">
            <v>45594.60833333333</v>
          </cell>
          <cell r="H10" t="str">
            <v>column</v>
          </cell>
        </row>
        <row r="11">
          <cell r="C11">
            <v>45595.786111111112</v>
          </cell>
          <cell r="H11" t="str">
            <v>link</v>
          </cell>
        </row>
        <row r="12">
          <cell r="C12">
            <v>45597.724999999999</v>
          </cell>
          <cell r="H12" t="str">
            <v>listing</v>
          </cell>
        </row>
        <row r="13">
          <cell r="C13">
            <v>45601.619444444441</v>
          </cell>
          <cell r="H13" t="str">
            <v>direct</v>
          </cell>
        </row>
        <row r="14">
          <cell r="C14">
            <v>45601.701388888891</v>
          </cell>
          <cell r="H14" t="str">
            <v>direct</v>
          </cell>
        </row>
        <row r="15">
          <cell r="C15">
            <v>45602.648611111108</v>
          </cell>
          <cell r="H15" t="str">
            <v>listing</v>
          </cell>
        </row>
        <row r="16">
          <cell r="C16">
            <v>45602.65902777778</v>
          </cell>
          <cell r="H16" t="str">
            <v>organic</v>
          </cell>
          <cell r="R16">
            <v>45602</v>
          </cell>
          <cell r="S16">
            <v>45609</v>
          </cell>
        </row>
        <row r="17">
          <cell r="C17">
            <v>45602.663888888892</v>
          </cell>
          <cell r="H17" t="str">
            <v>listing</v>
          </cell>
        </row>
        <row r="18">
          <cell r="C18">
            <v>45602.741666666669</v>
          </cell>
          <cell r="H18" t="str">
            <v>listing</v>
          </cell>
          <cell r="R18">
            <v>45602</v>
          </cell>
          <cell r="S18">
            <v>45603</v>
          </cell>
        </row>
        <row r="19">
          <cell r="C19">
            <v>45603.396527777775</v>
          </cell>
          <cell r="H19" t="str">
            <v>direct</v>
          </cell>
          <cell r="R19">
            <v>45602</v>
          </cell>
          <cell r="S19">
            <v>45604</v>
          </cell>
          <cell r="T19">
            <v>45688</v>
          </cell>
        </row>
        <row r="20">
          <cell r="C20">
            <v>45603.719444444447</v>
          </cell>
          <cell r="H20" t="str">
            <v>link</v>
          </cell>
        </row>
        <row r="21">
          <cell r="C21">
            <v>45607.436805555553</v>
          </cell>
          <cell r="H21" t="str">
            <v>column</v>
          </cell>
        </row>
        <row r="22">
          <cell r="C22">
            <v>45607.495138888888</v>
          </cell>
          <cell r="H22" t="str">
            <v>link</v>
          </cell>
        </row>
        <row r="23">
          <cell r="C23">
            <v>45608.551388888889</v>
          </cell>
          <cell r="H23" t="str">
            <v>direct</v>
          </cell>
        </row>
        <row r="24">
          <cell r="C24">
            <v>45609.430555555555</v>
          </cell>
          <cell r="H24" t="str">
            <v>listing</v>
          </cell>
        </row>
        <row r="25">
          <cell r="C25">
            <v>45609.659722222219</v>
          </cell>
          <cell r="H25" t="str">
            <v>link</v>
          </cell>
        </row>
        <row r="26">
          <cell r="C26">
            <v>45609.947916666664</v>
          </cell>
          <cell r="H26" t="str">
            <v>column</v>
          </cell>
          <cell r="R26">
            <v>45609</v>
          </cell>
          <cell r="S26">
            <v>45610</v>
          </cell>
        </row>
        <row r="27">
          <cell r="C27">
            <v>45610.529166666667</v>
          </cell>
          <cell r="H27" t="str">
            <v>listing</v>
          </cell>
        </row>
        <row r="28">
          <cell r="C28">
            <v>45611.640972222223</v>
          </cell>
          <cell r="H28" t="str">
            <v>listing</v>
          </cell>
        </row>
        <row r="29">
          <cell r="C29">
            <v>45614.20208333333</v>
          </cell>
          <cell r="H29" t="str">
            <v>direct</v>
          </cell>
        </row>
        <row r="30">
          <cell r="C30">
            <v>45615.455555555556</v>
          </cell>
          <cell r="H30" t="str">
            <v>mail</v>
          </cell>
          <cell r="R30">
            <v>45839</v>
          </cell>
          <cell r="S30">
            <v>45870</v>
          </cell>
        </row>
        <row r="31">
          <cell r="C31">
            <v>45615.651388888888</v>
          </cell>
          <cell r="H31" t="str">
            <v>mail</v>
          </cell>
        </row>
        <row r="32">
          <cell r="C32">
            <v>45616.61041666667</v>
          </cell>
          <cell r="H32" t="str">
            <v>organic</v>
          </cell>
        </row>
        <row r="33">
          <cell r="C33">
            <v>45623.416666666664</v>
          </cell>
          <cell r="H33" t="str">
            <v>direct</v>
          </cell>
        </row>
        <row r="34">
          <cell r="C34">
            <v>45623.495833333334</v>
          </cell>
          <cell r="H34" t="str">
            <v>organic</v>
          </cell>
        </row>
        <row r="35">
          <cell r="C35">
            <v>45623.617361111108</v>
          </cell>
          <cell r="H35" t="str">
            <v>link</v>
          </cell>
        </row>
        <row r="36">
          <cell r="C36">
            <v>45625.432638888888</v>
          </cell>
          <cell r="H36" t="str">
            <v>listing</v>
          </cell>
        </row>
        <row r="37">
          <cell r="C37">
            <v>45636.399305555555</v>
          </cell>
          <cell r="H37" t="str">
            <v>organic</v>
          </cell>
        </row>
        <row r="38">
          <cell r="C38">
            <v>45638.375694444447</v>
          </cell>
          <cell r="H38" t="str">
            <v>organic</v>
          </cell>
        </row>
        <row r="39">
          <cell r="C39">
            <v>45638.496527777781</v>
          </cell>
          <cell r="H39" t="str">
            <v>column</v>
          </cell>
        </row>
        <row r="40">
          <cell r="C40">
            <v>45642.424305555556</v>
          </cell>
          <cell r="H40" t="str">
            <v>direct</v>
          </cell>
          <cell r="R40">
            <v>45627</v>
          </cell>
          <cell r="S40">
            <v>45627</v>
          </cell>
        </row>
        <row r="41">
          <cell r="C41">
            <v>45642.803472222222</v>
          </cell>
          <cell r="H41" t="str">
            <v>link</v>
          </cell>
        </row>
        <row r="42">
          <cell r="C42">
            <v>45642.804166666669</v>
          </cell>
          <cell r="H42" t="str">
            <v>link</v>
          </cell>
        </row>
        <row r="43">
          <cell r="C43">
            <v>45649.547222222223</v>
          </cell>
          <cell r="H43" t="str">
            <v>listing</v>
          </cell>
        </row>
        <row r="44">
          <cell r="C44">
            <v>45649.707638888889</v>
          </cell>
          <cell r="H44" t="str">
            <v>link</v>
          </cell>
        </row>
        <row r="45">
          <cell r="C45">
            <v>45651.704861111109</v>
          </cell>
          <cell r="H45" t="str">
            <v>organic</v>
          </cell>
        </row>
        <row r="46">
          <cell r="C46">
            <v>45653.421527777777</v>
          </cell>
          <cell r="H46" t="str">
            <v>direct</v>
          </cell>
          <cell r="R46">
            <v>45653</v>
          </cell>
          <cell r="S46">
            <v>45663</v>
          </cell>
          <cell r="T46">
            <v>45917</v>
          </cell>
        </row>
        <row r="47">
          <cell r="C47">
            <v>45663.580555555556</v>
          </cell>
          <cell r="H47" t="str">
            <v>link</v>
          </cell>
        </row>
        <row r="48">
          <cell r="C48">
            <v>45664.438194444447</v>
          </cell>
          <cell r="H48" t="str">
            <v>mail</v>
          </cell>
        </row>
        <row r="49">
          <cell r="C49">
            <v>45666.761805555558</v>
          </cell>
          <cell r="H49" t="str">
            <v>listing</v>
          </cell>
          <cell r="R49">
            <v>45666</v>
          </cell>
          <cell r="S49">
            <v>45689</v>
          </cell>
        </row>
        <row r="50">
          <cell r="C50">
            <v>45667.436805555553</v>
          </cell>
          <cell r="H50" t="str">
            <v>direct</v>
          </cell>
        </row>
        <row r="51">
          <cell r="C51">
            <v>45667.584722222222</v>
          </cell>
          <cell r="H51" t="str">
            <v>organic</v>
          </cell>
        </row>
        <row r="52">
          <cell r="C52">
            <v>45671.395138888889</v>
          </cell>
          <cell r="H52" t="str">
            <v>link</v>
          </cell>
        </row>
        <row r="53">
          <cell r="C53">
            <v>45671.402083333334</v>
          </cell>
          <cell r="H53" t="str">
            <v>organic</v>
          </cell>
        </row>
        <row r="54">
          <cell r="C54">
            <v>45671.509722222225</v>
          </cell>
          <cell r="H54" t="str">
            <v>listing</v>
          </cell>
        </row>
        <row r="55">
          <cell r="C55">
            <v>45673.762499999997</v>
          </cell>
          <cell r="H55" t="str">
            <v>listing</v>
          </cell>
        </row>
        <row r="56">
          <cell r="C56">
            <v>45677.636805555558</v>
          </cell>
          <cell r="H56" t="str">
            <v>direct</v>
          </cell>
        </row>
        <row r="57">
          <cell r="C57">
            <v>45677.90625</v>
          </cell>
          <cell r="H57" t="str">
            <v>link</v>
          </cell>
        </row>
        <row r="58">
          <cell r="C58">
            <v>45678.381944444445</v>
          </cell>
          <cell r="H58" t="str">
            <v>mail</v>
          </cell>
        </row>
        <row r="59">
          <cell r="C59">
            <v>45681.386111111111</v>
          </cell>
          <cell r="H59" t="str">
            <v>organic</v>
          </cell>
          <cell r="R59">
            <v>45681</v>
          </cell>
          <cell r="S59">
            <v>45682</v>
          </cell>
        </row>
        <row r="60">
          <cell r="C60">
            <v>45681.574305555558</v>
          </cell>
          <cell r="H60" t="str">
            <v>others</v>
          </cell>
        </row>
        <row r="61">
          <cell r="C61">
            <v>45681.594444444447</v>
          </cell>
          <cell r="H61" t="str">
            <v>listing</v>
          </cell>
          <cell r="R61">
            <v>45681</v>
          </cell>
          <cell r="S61">
            <v>45717</v>
          </cell>
        </row>
        <row r="62">
          <cell r="C62">
            <v>45684.747916666667</v>
          </cell>
          <cell r="H62" t="str">
            <v>listing</v>
          </cell>
        </row>
        <row r="63">
          <cell r="C63">
            <v>45690.593055555553</v>
          </cell>
          <cell r="H63" t="str">
            <v>direct</v>
          </cell>
        </row>
        <row r="64">
          <cell r="C64">
            <v>45691.425000000003</v>
          </cell>
          <cell r="H64" t="str">
            <v>mail</v>
          </cell>
          <cell r="R64">
            <v>45691</v>
          </cell>
          <cell r="S64">
            <v>46137</v>
          </cell>
        </row>
        <row r="65">
          <cell r="C65">
            <v>45691.440972222219</v>
          </cell>
          <cell r="H65" t="str">
            <v>mail</v>
          </cell>
          <cell r="R65">
            <v>45691</v>
          </cell>
          <cell r="S65">
            <v>45764</v>
          </cell>
        </row>
        <row r="66">
          <cell r="C66">
            <v>45693.643750000003</v>
          </cell>
          <cell r="H66" t="str">
            <v>link</v>
          </cell>
        </row>
        <row r="67">
          <cell r="C67">
            <v>45697.667361111111</v>
          </cell>
          <cell r="H67" t="str">
            <v>link</v>
          </cell>
        </row>
        <row r="68">
          <cell r="C68">
            <v>45698.726388888892</v>
          </cell>
          <cell r="H68" t="str">
            <v>listing</v>
          </cell>
        </row>
        <row r="69">
          <cell r="C69">
            <v>45700.686111111114</v>
          </cell>
          <cell r="H69" t="str">
            <v>listing</v>
          </cell>
        </row>
        <row r="70">
          <cell r="C70">
            <v>45701.554166666669</v>
          </cell>
          <cell r="H70" t="str">
            <v>direct</v>
          </cell>
        </row>
        <row r="71">
          <cell r="C71">
            <v>45701.637499999997</v>
          </cell>
          <cell r="H71" t="str">
            <v>link</v>
          </cell>
        </row>
        <row r="72">
          <cell r="C72">
            <v>45702.621527777781</v>
          </cell>
          <cell r="H72" t="str">
            <v>listing</v>
          </cell>
        </row>
        <row r="73">
          <cell r="C73">
            <v>45702.645138888889</v>
          </cell>
          <cell r="H73" t="str">
            <v>column</v>
          </cell>
          <cell r="R73">
            <v>45702</v>
          </cell>
          <cell r="S73">
            <v>45737</v>
          </cell>
        </row>
        <row r="74">
          <cell r="C74">
            <v>45706.452777777777</v>
          </cell>
          <cell r="H74" t="str">
            <v>organic</v>
          </cell>
        </row>
        <row r="75">
          <cell r="C75">
            <v>45708.772222222222</v>
          </cell>
          <cell r="H75" t="str">
            <v>organic</v>
          </cell>
          <cell r="R75">
            <v>45708</v>
          </cell>
          <cell r="S75">
            <v>45717</v>
          </cell>
        </row>
        <row r="76">
          <cell r="C76">
            <v>45713.731944444444</v>
          </cell>
          <cell r="H76" t="str">
            <v>link</v>
          </cell>
        </row>
        <row r="77">
          <cell r="C77">
            <v>45714.60833333333</v>
          </cell>
          <cell r="H77" t="str">
            <v>direct</v>
          </cell>
        </row>
        <row r="78">
          <cell r="C78">
            <v>45714.627083333333</v>
          </cell>
          <cell r="H78" t="str">
            <v>link</v>
          </cell>
          <cell r="R78">
            <v>45689</v>
          </cell>
          <cell r="S78">
            <v>45689</v>
          </cell>
        </row>
        <row r="79">
          <cell r="C79">
            <v>45716.454861111109</v>
          </cell>
          <cell r="H79" t="str">
            <v>organic</v>
          </cell>
        </row>
        <row r="80">
          <cell r="C80">
            <v>45716.688888888886</v>
          </cell>
          <cell r="H80" t="str">
            <v>link</v>
          </cell>
          <cell r="R80">
            <v>45716</v>
          </cell>
        </row>
        <row r="81">
          <cell r="C81">
            <v>45717.401388888888</v>
          </cell>
          <cell r="H81" t="str">
            <v>organic</v>
          </cell>
          <cell r="R81">
            <v>45717.401388888888</v>
          </cell>
          <cell r="S81">
            <v>45747</v>
          </cell>
          <cell r="T81">
            <v>45807</v>
          </cell>
        </row>
        <row r="82">
          <cell r="C82">
            <v>45720.538194444445</v>
          </cell>
          <cell r="H82" t="str">
            <v>link</v>
          </cell>
          <cell r="R82">
            <v>45720.538194444445</v>
          </cell>
          <cell r="S82">
            <v>46082</v>
          </cell>
        </row>
        <row r="83">
          <cell r="C83">
            <v>45721.4</v>
          </cell>
          <cell r="H83" t="str">
            <v>listing</v>
          </cell>
        </row>
        <row r="84">
          <cell r="C84">
            <v>45722.552777777775</v>
          </cell>
          <cell r="H84" t="str">
            <v>direct</v>
          </cell>
        </row>
        <row r="85">
          <cell r="C85">
            <v>45722.8</v>
          </cell>
          <cell r="H85" t="str">
            <v>listing</v>
          </cell>
        </row>
        <row r="86">
          <cell r="C86">
            <v>45722.838888888888</v>
          </cell>
          <cell r="H86" t="str">
            <v>others</v>
          </cell>
        </row>
        <row r="87">
          <cell r="C87">
            <v>45728.554166666669</v>
          </cell>
          <cell r="H87" t="str">
            <v>link</v>
          </cell>
        </row>
        <row r="88">
          <cell r="C88">
            <v>45729.474999999999</v>
          </cell>
          <cell r="H88" t="str">
            <v>organic</v>
          </cell>
          <cell r="R88">
            <v>45729.474999999999</v>
          </cell>
          <cell r="S88">
            <v>45740</v>
          </cell>
        </row>
        <row r="89">
          <cell r="C89">
            <v>45730.484722222223</v>
          </cell>
          <cell r="H89" t="str">
            <v>organic</v>
          </cell>
        </row>
        <row r="90">
          <cell r="C90">
            <v>45730.676388888889</v>
          </cell>
          <cell r="H90" t="str">
            <v>listing</v>
          </cell>
        </row>
        <row r="91">
          <cell r="C91">
            <v>45733.663194444445</v>
          </cell>
          <cell r="H91" t="str">
            <v>others</v>
          </cell>
        </row>
        <row r="92">
          <cell r="C92">
            <v>45734.582638888889</v>
          </cell>
          <cell r="H92" t="str">
            <v>column</v>
          </cell>
        </row>
        <row r="93">
          <cell r="C93">
            <v>45735.395833333336</v>
          </cell>
          <cell r="H93" t="str">
            <v>organic</v>
          </cell>
        </row>
        <row r="94">
          <cell r="C94">
            <v>45735.563194444447</v>
          </cell>
          <cell r="H94" t="str">
            <v>link</v>
          </cell>
        </row>
        <row r="95">
          <cell r="C95">
            <v>45740.742361111108</v>
          </cell>
          <cell r="H95" t="str">
            <v>link</v>
          </cell>
        </row>
        <row r="96">
          <cell r="C96">
            <v>45740.864583333336</v>
          </cell>
          <cell r="H96" t="str">
            <v>link</v>
          </cell>
          <cell r="R96">
            <v>45740.864583333336</v>
          </cell>
          <cell r="S96">
            <v>45749</v>
          </cell>
        </row>
        <row r="97">
          <cell r="C97">
            <v>45741.665972222225</v>
          </cell>
          <cell r="H97" t="str">
            <v>listing</v>
          </cell>
        </row>
        <row r="98">
          <cell r="C98">
            <v>45743.372916666667</v>
          </cell>
          <cell r="H98" t="str">
            <v>direct</v>
          </cell>
          <cell r="R98">
            <v>45743.372916666667</v>
          </cell>
          <cell r="S98">
            <v>45761</v>
          </cell>
        </row>
        <row r="99">
          <cell r="C99">
            <v>45743.392361111109</v>
          </cell>
          <cell r="H99" t="str">
            <v>mail</v>
          </cell>
        </row>
        <row r="100">
          <cell r="C100">
            <v>45748.65902777778</v>
          </cell>
          <cell r="H100" t="str">
            <v>direct</v>
          </cell>
        </row>
        <row r="101">
          <cell r="C101">
            <v>45749.54791666667</v>
          </cell>
          <cell r="H101" t="str">
            <v>listing</v>
          </cell>
        </row>
        <row r="102">
          <cell r="C102">
            <v>45749.563194444447</v>
          </cell>
          <cell r="H102" t="str">
            <v>listing</v>
          </cell>
        </row>
        <row r="103">
          <cell r="C103">
            <v>45749.571527777778</v>
          </cell>
          <cell r="H103" t="str">
            <v>listing</v>
          </cell>
          <cell r="R103">
            <v>45749.571527777778</v>
          </cell>
          <cell r="S103">
            <v>45748</v>
          </cell>
        </row>
        <row r="104">
          <cell r="C104">
            <v>45749.732638888891</v>
          </cell>
          <cell r="H104" t="str">
            <v>listing</v>
          </cell>
        </row>
        <row r="105">
          <cell r="C105">
            <v>45750.649305555555</v>
          </cell>
          <cell r="H105" t="str">
            <v>link</v>
          </cell>
          <cell r="R105">
            <v>45750.649305555555</v>
          </cell>
          <cell r="S105">
            <v>45758</v>
          </cell>
        </row>
        <row r="106">
          <cell r="C106">
            <v>45757.501388888886</v>
          </cell>
          <cell r="H106" t="str">
            <v>direct</v>
          </cell>
        </row>
        <row r="107">
          <cell r="C107">
            <v>45758.564583333333</v>
          </cell>
          <cell r="H107" t="str">
            <v>listing</v>
          </cell>
        </row>
        <row r="108">
          <cell r="C108">
            <v>45758.635416666664</v>
          </cell>
          <cell r="H108" t="str">
            <v>link</v>
          </cell>
          <cell r="R108">
            <v>45758.635416666664</v>
          </cell>
          <cell r="S108">
            <v>45765</v>
          </cell>
          <cell r="T108">
            <v>46023</v>
          </cell>
        </row>
        <row r="109">
          <cell r="C109">
            <v>45762.424305555556</v>
          </cell>
          <cell r="H109" t="str">
            <v>direct</v>
          </cell>
        </row>
        <row r="110">
          <cell r="C110">
            <v>45762.68472222222</v>
          </cell>
          <cell r="H110" t="str">
            <v>direct</v>
          </cell>
        </row>
        <row r="111">
          <cell r="C111">
            <v>45763.477777777778</v>
          </cell>
          <cell r="H111" t="str">
            <v>organic</v>
          </cell>
        </row>
        <row r="112">
          <cell r="C112">
            <v>45763.935416666667</v>
          </cell>
          <cell r="H112" t="str">
            <v>organic</v>
          </cell>
        </row>
        <row r="113">
          <cell r="C113">
            <v>45764.40902777778</v>
          </cell>
          <cell r="H113" t="str">
            <v>listing</v>
          </cell>
        </row>
        <row r="114">
          <cell r="C114">
            <v>45764.806944444441</v>
          </cell>
          <cell r="H114" t="str">
            <v>mail</v>
          </cell>
          <cell r="R114">
            <v>45764.806944444441</v>
          </cell>
          <cell r="S114">
            <v>45839</v>
          </cell>
        </row>
        <row r="115">
          <cell r="C115">
            <v>45765.621527777781</v>
          </cell>
          <cell r="H115" t="str">
            <v>listing</v>
          </cell>
        </row>
        <row r="116">
          <cell r="C116">
            <v>45768.52847222222</v>
          </cell>
          <cell r="H116" t="str">
            <v>link</v>
          </cell>
        </row>
        <row r="117">
          <cell r="C117">
            <v>45769.453472222223</v>
          </cell>
          <cell r="H117" t="str">
            <v>column</v>
          </cell>
        </row>
        <row r="118">
          <cell r="C118">
            <v>45770.572222222225</v>
          </cell>
          <cell r="H118" t="str">
            <v>direct</v>
          </cell>
        </row>
        <row r="119">
          <cell r="C119">
            <v>45771.48333333333</v>
          </cell>
          <cell r="H119" t="str">
            <v>listing</v>
          </cell>
        </row>
        <row r="120">
          <cell r="C120">
            <v>45778.938888888886</v>
          </cell>
          <cell r="H120" t="str">
            <v>others</v>
          </cell>
        </row>
        <row r="121">
          <cell r="C121">
            <v>45779.341666666667</v>
          </cell>
          <cell r="H121" t="str">
            <v>listing</v>
          </cell>
          <cell r="R121">
            <v>45779.341666666667</v>
          </cell>
          <cell r="S121">
            <v>45803</v>
          </cell>
        </row>
        <row r="122">
          <cell r="C122">
            <v>45779.436111111114</v>
          </cell>
          <cell r="H122" t="str">
            <v>listing</v>
          </cell>
          <cell r="R122">
            <v>45779.436111111114</v>
          </cell>
          <cell r="S122">
            <v>45791</v>
          </cell>
          <cell r="T122">
            <v>45962</v>
          </cell>
        </row>
        <row r="123">
          <cell r="C123">
            <v>45786.463888888888</v>
          </cell>
          <cell r="H123" t="str">
            <v>listing</v>
          </cell>
        </row>
        <row r="124">
          <cell r="C124">
            <v>45786.479861111111</v>
          </cell>
          <cell r="H124" t="str">
            <v>link</v>
          </cell>
        </row>
        <row r="125">
          <cell r="C125">
            <v>45787.504861111112</v>
          </cell>
          <cell r="H125" t="str">
            <v>link</v>
          </cell>
        </row>
        <row r="126">
          <cell r="C126">
            <v>45789.537499999999</v>
          </cell>
          <cell r="H126" t="str">
            <v>organic</v>
          </cell>
        </row>
        <row r="127">
          <cell r="C127">
            <v>45790.672222222223</v>
          </cell>
          <cell r="H127" t="str">
            <v>link</v>
          </cell>
        </row>
        <row r="128">
          <cell r="C128">
            <v>45793.740277777775</v>
          </cell>
          <cell r="H128" t="str">
            <v>direct</v>
          </cell>
        </row>
        <row r="129">
          <cell r="C129">
            <v>45796.598611111112</v>
          </cell>
          <cell r="H129" t="str">
            <v>link</v>
          </cell>
        </row>
        <row r="130">
          <cell r="C130">
            <v>45798.42083333333</v>
          </cell>
          <cell r="H130" t="str">
            <v>others</v>
          </cell>
          <cell r="R130">
            <v>45798.42083333333</v>
          </cell>
          <cell r="S130">
            <v>45811</v>
          </cell>
        </row>
        <row r="131">
          <cell r="C131">
            <v>45799.554861111108</v>
          </cell>
          <cell r="H131" t="str">
            <v>listing</v>
          </cell>
        </row>
        <row r="132">
          <cell r="C132">
            <v>45799.663888888892</v>
          </cell>
          <cell r="H132" t="str">
            <v>link</v>
          </cell>
          <cell r="R132">
            <v>45799.663888888892</v>
          </cell>
          <cell r="S132">
            <v>45778</v>
          </cell>
        </row>
        <row r="133">
          <cell r="C133">
            <v>45800.482638888891</v>
          </cell>
          <cell r="H133" t="str">
            <v>column</v>
          </cell>
        </row>
        <row r="134">
          <cell r="C134">
            <v>45810.443749999999</v>
          </cell>
          <cell r="H134" t="str">
            <v>listing</v>
          </cell>
        </row>
        <row r="135">
          <cell r="C135">
            <v>45811.657638888886</v>
          </cell>
          <cell r="H135" t="str">
            <v>listing</v>
          </cell>
        </row>
        <row r="136">
          <cell r="C136">
            <v>45812.500694444447</v>
          </cell>
          <cell r="H136" t="str">
            <v>listing</v>
          </cell>
        </row>
        <row r="137">
          <cell r="C137">
            <v>45813.289583333331</v>
          </cell>
          <cell r="H137" t="str">
            <v>listing</v>
          </cell>
          <cell r="R137">
            <v>45833</v>
          </cell>
          <cell r="S137">
            <v>45833</v>
          </cell>
          <cell r="T137">
            <v>45901</v>
          </cell>
        </row>
        <row r="138">
          <cell r="C138">
            <v>45814.459027777775</v>
          </cell>
          <cell r="H138" t="str">
            <v>link</v>
          </cell>
        </row>
        <row r="139">
          <cell r="C139">
            <v>45814.461111111108</v>
          </cell>
          <cell r="H139" t="str">
            <v>link</v>
          </cell>
        </row>
        <row r="140">
          <cell r="C140">
            <v>45814.675000000003</v>
          </cell>
          <cell r="H140" t="str">
            <v>case</v>
          </cell>
        </row>
        <row r="141">
          <cell r="C141">
            <v>45816.375</v>
          </cell>
          <cell r="H141" t="str">
            <v>link</v>
          </cell>
          <cell r="R141">
            <v>45833</v>
          </cell>
          <cell r="S141">
            <v>45809</v>
          </cell>
        </row>
        <row r="142">
          <cell r="C142">
            <v>45816.929861111108</v>
          </cell>
          <cell r="H142" t="str">
            <v>link</v>
          </cell>
        </row>
        <row r="143">
          <cell r="C143">
            <v>45819.536805555559</v>
          </cell>
          <cell r="H143" t="str">
            <v>listing</v>
          </cell>
        </row>
        <row r="144">
          <cell r="C144">
            <v>45821.441666666666</v>
          </cell>
          <cell r="H144" t="str">
            <v>listing</v>
          </cell>
        </row>
        <row r="145">
          <cell r="C145">
            <v>45824.613194444442</v>
          </cell>
          <cell r="H145" t="str">
            <v>direct</v>
          </cell>
          <cell r="R145">
            <v>45833</v>
          </cell>
          <cell r="S145">
            <v>45842</v>
          </cell>
        </row>
        <row r="146">
          <cell r="C146">
            <v>45825.546527777777</v>
          </cell>
          <cell r="H146" t="str">
            <v>listing</v>
          </cell>
        </row>
        <row r="147">
          <cell r="C147">
            <v>45826.597916666666</v>
          </cell>
          <cell r="H147" t="str">
            <v>direct</v>
          </cell>
        </row>
        <row r="148">
          <cell r="C148">
            <v>45828.61041666667</v>
          </cell>
          <cell r="H148" t="str">
            <v>organic</v>
          </cell>
        </row>
        <row r="149">
          <cell r="C149">
            <v>45832.549305555556</v>
          </cell>
          <cell r="H149" t="str">
            <v>direct</v>
          </cell>
        </row>
        <row r="150">
          <cell r="C150">
            <v>45832.563194444447</v>
          </cell>
          <cell r="H150" t="str">
            <v>direct</v>
          </cell>
        </row>
        <row r="151">
          <cell r="C151">
            <v>45840.708333333336</v>
          </cell>
          <cell r="H151" t="str">
            <v>検索連動型広告</v>
          </cell>
        </row>
        <row r="152">
          <cell r="C152">
            <v>45841.875</v>
          </cell>
          <cell r="H152" t="str">
            <v>検索連動型広告</v>
          </cell>
        </row>
        <row r="153">
          <cell r="C153">
            <v>45843.333333333336</v>
          </cell>
          <cell r="H153" t="str">
            <v>オーガニック検索</v>
          </cell>
        </row>
        <row r="154">
          <cell r="C154">
            <v>45845.458333333336</v>
          </cell>
          <cell r="H154" t="str">
            <v>リファーラル</v>
          </cell>
        </row>
        <row r="155">
          <cell r="C155">
            <v>45849.5</v>
          </cell>
          <cell r="H155" t="str">
            <v>検索連動型広告</v>
          </cell>
        </row>
        <row r="156">
          <cell r="C156">
            <v>45849.541666666664</v>
          </cell>
          <cell r="H156" t="str">
            <v>オーガニック検索</v>
          </cell>
          <cell r="R156">
            <v>45870</v>
          </cell>
          <cell r="S156">
            <v>45901</v>
          </cell>
          <cell r="T156">
            <v>46023</v>
          </cell>
        </row>
        <row r="157">
          <cell r="C157">
            <v>45852.375</v>
          </cell>
          <cell r="H157" t="str">
            <v>直接トラフィック</v>
          </cell>
          <cell r="R157">
            <v>45852.375</v>
          </cell>
        </row>
        <row r="158">
          <cell r="C158">
            <v>45853.416666666664</v>
          </cell>
          <cell r="H158" t="str">
            <v>オーガニック検索</v>
          </cell>
          <cell r="R158">
            <v>45839</v>
          </cell>
          <cell r="S158">
            <v>45901</v>
          </cell>
        </row>
        <row r="159">
          <cell r="C159">
            <v>45853.541666666664</v>
          </cell>
          <cell r="H159" t="str">
            <v>listing</v>
          </cell>
        </row>
        <row r="160">
          <cell r="C160">
            <v>45853.625</v>
          </cell>
          <cell r="H160" t="str">
            <v>他のキャンペーン</v>
          </cell>
        </row>
        <row r="161">
          <cell r="C161">
            <v>45854.416666666664</v>
          </cell>
          <cell r="H161" t="str">
            <v>直接トラフィック</v>
          </cell>
          <cell r="R161">
            <v>45854.416666666664</v>
          </cell>
          <cell r="S161">
            <v>45870</v>
          </cell>
        </row>
        <row r="162">
          <cell r="C162">
            <v>45854.875</v>
          </cell>
          <cell r="H162" t="str">
            <v>直接トラフィック</v>
          </cell>
          <cell r="R162">
            <v>45854.875</v>
          </cell>
          <cell r="S162">
            <v>45870</v>
          </cell>
        </row>
        <row r="163">
          <cell r="C163">
            <v>45855.375</v>
          </cell>
          <cell r="H163" t="str">
            <v>他のキャンペーン</v>
          </cell>
        </row>
        <row r="164">
          <cell r="C164">
            <v>45855.958333333336</v>
          </cell>
          <cell r="H164" t="str">
            <v>他のキャンペーン</v>
          </cell>
          <cell r="R164">
            <v>45809</v>
          </cell>
          <cell r="S164">
            <v>45809</v>
          </cell>
        </row>
        <row r="165">
          <cell r="C165">
            <v>45855.958333333336</v>
          </cell>
          <cell r="H165" t="str">
            <v>直接トラフィック</v>
          </cell>
        </row>
        <row r="166">
          <cell r="C166">
            <v>45855.958333333336</v>
          </cell>
          <cell r="H166" t="str">
            <v>オーガニック検索</v>
          </cell>
        </row>
        <row r="167">
          <cell r="C167">
            <v>45856.375</v>
          </cell>
          <cell r="H167" t="str">
            <v>リファーラル</v>
          </cell>
          <cell r="R167">
            <v>45962</v>
          </cell>
        </row>
        <row r="168">
          <cell r="C168">
            <v>45856.416666666664</v>
          </cell>
          <cell r="H168" t="str">
            <v>オーガニック検索</v>
          </cell>
        </row>
        <row r="169">
          <cell r="C169">
            <v>45856.416666666664</v>
          </cell>
          <cell r="H169" t="str">
            <v>直接トラフィック</v>
          </cell>
        </row>
        <row r="170">
          <cell r="C170">
            <v>45856.541666666664</v>
          </cell>
          <cell r="H170" t="str">
            <v>オーガニック検索</v>
          </cell>
        </row>
        <row r="171">
          <cell r="C171">
            <v>45856.708333333336</v>
          </cell>
          <cell r="H171" t="str">
            <v>直接トラフィック</v>
          </cell>
          <cell r="R171">
            <v>45870</v>
          </cell>
          <cell r="S171">
            <v>45870</v>
          </cell>
        </row>
        <row r="172">
          <cell r="C172">
            <v>45857.541666666664</v>
          </cell>
          <cell r="H172" t="str">
            <v>オーガニック検索</v>
          </cell>
        </row>
        <row r="173">
          <cell r="C173">
            <v>45857.916666666664</v>
          </cell>
          <cell r="H173" t="str">
            <v>オーガニック検索</v>
          </cell>
        </row>
        <row r="174">
          <cell r="C174">
            <v>45858.75</v>
          </cell>
          <cell r="H174" t="str">
            <v>直接トラフィック</v>
          </cell>
        </row>
        <row r="175">
          <cell r="C175">
            <v>45860.25</v>
          </cell>
          <cell r="H175" t="str">
            <v>直接トラフィック</v>
          </cell>
        </row>
        <row r="176">
          <cell r="C176">
            <v>45860.375</v>
          </cell>
          <cell r="H176" t="str">
            <v>直接トラフィック</v>
          </cell>
        </row>
        <row r="177">
          <cell r="C177">
            <v>45860.416666666664</v>
          </cell>
          <cell r="H177" t="str">
            <v>直接トラフィック</v>
          </cell>
        </row>
        <row r="178">
          <cell r="C178">
            <v>45860.541666666664</v>
          </cell>
          <cell r="H178" t="str">
            <v>検索連動型広告</v>
          </cell>
        </row>
        <row r="179">
          <cell r="C179">
            <v>45861.666666666664</v>
          </cell>
          <cell r="H179" t="str">
            <v>直接トラフィック</v>
          </cell>
        </row>
        <row r="180">
          <cell r="C180">
            <v>45861.708333333336</v>
          </cell>
          <cell r="H180" t="str">
            <v>listing</v>
          </cell>
          <cell r="R180">
            <v>45861.708333333336</v>
          </cell>
          <cell r="S180">
            <v>45839</v>
          </cell>
        </row>
        <row r="181">
          <cell r="C181">
            <v>45862.75</v>
          </cell>
          <cell r="H181" t="str">
            <v>オーガニック検索</v>
          </cell>
        </row>
        <row r="182">
          <cell r="C182">
            <v>45863.375</v>
          </cell>
          <cell r="H182" t="str">
            <v>直接トラフィック</v>
          </cell>
        </row>
        <row r="183">
          <cell r="C183">
            <v>45863.5</v>
          </cell>
          <cell r="H183" t="str">
            <v>オーガニック検索</v>
          </cell>
        </row>
        <row r="184">
          <cell r="C184">
            <v>45864.541666666664</v>
          </cell>
          <cell r="H184" t="str">
            <v>直接トラフィック</v>
          </cell>
        </row>
        <row r="185">
          <cell r="C185">
            <v>45866.333333333336</v>
          </cell>
          <cell r="H185" t="str">
            <v>直接トラフィック</v>
          </cell>
        </row>
        <row r="186">
          <cell r="C186">
            <v>45866.375</v>
          </cell>
          <cell r="H186" t="str">
            <v>直接トラフィック</v>
          </cell>
        </row>
        <row r="187">
          <cell r="C187">
            <v>45866.458333333336</v>
          </cell>
          <cell r="H187" t="str">
            <v>他のキャンペーン</v>
          </cell>
          <cell r="R187">
            <v>45866.458333333336</v>
          </cell>
          <cell r="S187">
            <v>45870</v>
          </cell>
        </row>
        <row r="188">
          <cell r="C188">
            <v>45866.666666666664</v>
          </cell>
          <cell r="H188" t="str">
            <v>オーガニック検索</v>
          </cell>
        </row>
        <row r="189">
          <cell r="C189">
            <v>45866.708333333336</v>
          </cell>
          <cell r="H189" t="str">
            <v>オーガニック検索</v>
          </cell>
        </row>
        <row r="190">
          <cell r="C190">
            <v>45867.416666666664</v>
          </cell>
          <cell r="H190" t="str">
            <v>リファーラル</v>
          </cell>
        </row>
        <row r="191">
          <cell r="C191">
            <v>45867.585416666669</v>
          </cell>
          <cell r="H191" t="str">
            <v>listing</v>
          </cell>
        </row>
        <row r="192">
          <cell r="C192">
            <v>45867.609722222223</v>
          </cell>
          <cell r="H192" t="str">
            <v>listing</v>
          </cell>
          <cell r="R192">
            <v>45839</v>
          </cell>
          <cell r="S192">
            <v>45901</v>
          </cell>
        </row>
        <row r="193">
          <cell r="C193">
            <v>45869.365972222222</v>
          </cell>
          <cell r="H193" t="str">
            <v>Eメールマーケティング</v>
          </cell>
        </row>
        <row r="194">
          <cell r="C194">
            <v>45869.376388888886</v>
          </cell>
          <cell r="H194" t="str">
            <v>オーガニック検索</v>
          </cell>
          <cell r="R194">
            <v>45839</v>
          </cell>
          <cell r="S194">
            <v>45870</v>
          </cell>
        </row>
        <row r="195">
          <cell r="C195">
            <v>45869.650694444441</v>
          </cell>
          <cell r="H195" t="str">
            <v>オーガニック検索</v>
          </cell>
        </row>
        <row r="196">
          <cell r="C196">
            <v>45874.465277777781</v>
          </cell>
          <cell r="H196" t="str">
            <v>listing</v>
          </cell>
        </row>
        <row r="197">
          <cell r="C197">
            <v>45875.70416666667</v>
          </cell>
          <cell r="H197" t="str">
            <v>直接トラフィック</v>
          </cell>
        </row>
        <row r="198">
          <cell r="C198">
            <v>45876.809027777781</v>
          </cell>
          <cell r="H198" t="str">
            <v>直接トラフィック</v>
          </cell>
        </row>
        <row r="199">
          <cell r="C199">
            <v>45877.335416666669</v>
          </cell>
          <cell r="H199" t="str">
            <v>listing</v>
          </cell>
        </row>
        <row r="200">
          <cell r="C200">
            <v>45877.369444444441</v>
          </cell>
          <cell r="H200" t="str">
            <v>直接トラフィック</v>
          </cell>
        </row>
        <row r="201">
          <cell r="C201">
            <v>45877.614583333336</v>
          </cell>
          <cell r="H201" t="str">
            <v>直接トラフィック</v>
          </cell>
        </row>
        <row r="202">
          <cell r="C202">
            <v>45877.691666666666</v>
          </cell>
          <cell r="H202" t="str">
            <v>listing</v>
          </cell>
        </row>
        <row r="203">
          <cell r="C203">
            <v>45879.806944444441</v>
          </cell>
          <cell r="H203" t="str">
            <v>オーガニック検索</v>
          </cell>
        </row>
        <row r="204">
          <cell r="C204">
            <v>45880.946527777778</v>
          </cell>
          <cell r="H204" t="str">
            <v>オーガニック検索</v>
          </cell>
        </row>
        <row r="205">
          <cell r="C205">
            <v>45881.504861111112</v>
          </cell>
          <cell r="H205" t="str">
            <v>オーガニック検索</v>
          </cell>
        </row>
        <row r="206">
          <cell r="C206">
            <v>45887.481249999997</v>
          </cell>
          <cell r="H206" t="str">
            <v>listing</v>
          </cell>
        </row>
        <row r="207">
          <cell r="C207">
            <v>45888.479861111111</v>
          </cell>
          <cell r="H207" t="str">
            <v>listing</v>
          </cell>
        </row>
        <row r="208">
          <cell r="C208">
            <v>45888.647916666669</v>
          </cell>
          <cell r="H208" t="str">
            <v>オーガニック検索</v>
          </cell>
          <cell r="R208">
            <v>45895</v>
          </cell>
          <cell r="S208">
            <v>45870</v>
          </cell>
        </row>
        <row r="209">
          <cell r="C209">
            <v>45889.491666666669</v>
          </cell>
          <cell r="H209" t="str">
            <v>オーガニック検索</v>
          </cell>
          <cell r="R209">
            <v>45870</v>
          </cell>
          <cell r="S209">
            <v>45901</v>
          </cell>
        </row>
        <row r="210">
          <cell r="C210">
            <v>45889.568749999999</v>
          </cell>
          <cell r="H210" t="str">
            <v>listing</v>
          </cell>
        </row>
        <row r="211">
          <cell r="C211">
            <v>45890.586805555555</v>
          </cell>
          <cell r="H211" t="str">
            <v>listing</v>
          </cell>
        </row>
        <row r="212">
          <cell r="C212">
            <v>45891.582638888889</v>
          </cell>
          <cell r="H212" t="str">
            <v>listing</v>
          </cell>
        </row>
        <row r="213">
          <cell r="C213">
            <v>45891.762499999997</v>
          </cell>
          <cell r="H213" t="str">
            <v>直接トラフィック</v>
          </cell>
        </row>
        <row r="214">
          <cell r="C214">
            <v>45892.431250000001</v>
          </cell>
          <cell r="H214" t="str">
            <v>オーガニック検索</v>
          </cell>
        </row>
        <row r="215">
          <cell r="C215">
            <v>45894.369444444441</v>
          </cell>
          <cell r="H215" t="str">
            <v>オーガニック検索</v>
          </cell>
        </row>
        <row r="216">
          <cell r="C216">
            <v>45894.527083333334</v>
          </cell>
          <cell r="H216" t="str">
            <v>直接トラフィック</v>
          </cell>
        </row>
        <row r="217">
          <cell r="C217">
            <v>45894.754861111112</v>
          </cell>
          <cell r="H217" t="str">
            <v>直接トラフィック</v>
          </cell>
        </row>
        <row r="218">
          <cell r="C218">
            <v>45895.282638888886</v>
          </cell>
          <cell r="H218" t="str">
            <v>オーガニック検索</v>
          </cell>
        </row>
        <row r="219">
          <cell r="C219">
            <v>45895.518750000003</v>
          </cell>
          <cell r="H219" t="str">
            <v>直接トラフィック</v>
          </cell>
        </row>
        <row r="220">
          <cell r="C220">
            <v>45896.587500000001</v>
          </cell>
          <cell r="H220" t="str">
            <v>オーガニック検索</v>
          </cell>
        </row>
        <row r="221">
          <cell r="C221">
            <v>45897.503472222219</v>
          </cell>
          <cell r="H221" t="str">
            <v>mail</v>
          </cell>
        </row>
        <row r="222">
          <cell r="C222">
            <v>45897.503472222219</v>
          </cell>
          <cell r="H222" t="str">
            <v>オーガニック検索</v>
          </cell>
        </row>
        <row r="223">
          <cell r="C223">
            <v>45897.540277777778</v>
          </cell>
          <cell r="H223" t="str">
            <v>オフラインソース</v>
          </cell>
        </row>
        <row r="224">
          <cell r="C224">
            <v>45897.540277777778</v>
          </cell>
          <cell r="H224" t="str">
            <v>オフラインソース</v>
          </cell>
          <cell r="R224">
            <v>45901</v>
          </cell>
          <cell r="S224">
            <v>45901</v>
          </cell>
        </row>
        <row r="225">
          <cell r="C225">
            <v>45897.554166666669</v>
          </cell>
          <cell r="H225" t="str">
            <v>オフラインソース</v>
          </cell>
        </row>
        <row r="226">
          <cell r="C226">
            <v>45897.554166666669</v>
          </cell>
          <cell r="H226" t="str">
            <v>オフラインソース</v>
          </cell>
        </row>
        <row r="227">
          <cell r="C227">
            <v>45898.65902777778</v>
          </cell>
          <cell r="H227" t="str">
            <v>検索連動型広告</v>
          </cell>
        </row>
        <row r="228">
          <cell r="C228">
            <v>45900.395138888889</v>
          </cell>
          <cell r="H228" t="str">
            <v>オーガニック検索</v>
          </cell>
        </row>
        <row r="229">
          <cell r="C229">
            <v>45901.549305555556</v>
          </cell>
          <cell r="H229" t="str">
            <v>オーガニック検索</v>
          </cell>
        </row>
        <row r="230">
          <cell r="C230">
            <v>45902.408333333333</v>
          </cell>
          <cell r="H230" t="str">
            <v>オーガニック検索</v>
          </cell>
        </row>
        <row r="231">
          <cell r="C231">
            <v>45902.623611111114</v>
          </cell>
          <cell r="H231" t="str">
            <v>オーガニック検索</v>
          </cell>
        </row>
        <row r="232">
          <cell r="C232">
            <v>45903.427777777775</v>
          </cell>
          <cell r="H232" t="str">
            <v>リファーラル</v>
          </cell>
          <cell r="R232">
            <v>45901</v>
          </cell>
          <cell r="S232">
            <v>45988</v>
          </cell>
        </row>
        <row r="233">
          <cell r="C233">
            <v>45903.428472222222</v>
          </cell>
          <cell r="H233" t="str">
            <v>直接トラフィック</v>
          </cell>
        </row>
        <row r="234">
          <cell r="C234">
            <v>45904.899305555555</v>
          </cell>
          <cell r="H234" t="str">
            <v>オーガニック検索</v>
          </cell>
        </row>
        <row r="235">
          <cell r="C235">
            <v>45908.4375</v>
          </cell>
          <cell r="H235" t="str">
            <v>リファーラル</v>
          </cell>
          <cell r="R235">
            <v>45901</v>
          </cell>
          <cell r="S235">
            <v>45901</v>
          </cell>
        </row>
        <row r="236">
          <cell r="C236">
            <v>45908.552083333336</v>
          </cell>
          <cell r="H236" t="str">
            <v>直接トラフィック</v>
          </cell>
        </row>
        <row r="237">
          <cell r="C237">
            <v>45908.722222222219</v>
          </cell>
          <cell r="H237" t="str">
            <v>オーガニック検索</v>
          </cell>
        </row>
        <row r="238">
          <cell r="C238">
            <v>45909.37222222222</v>
          </cell>
          <cell r="H238" t="str">
            <v>オーガニック検索</v>
          </cell>
        </row>
        <row r="239">
          <cell r="C239">
            <v>45909.431944444441</v>
          </cell>
          <cell r="H239" t="str">
            <v>オーガニック検索</v>
          </cell>
        </row>
        <row r="240">
          <cell r="C240">
            <v>45910.561805555553</v>
          </cell>
          <cell r="H240" t="str">
            <v>オーガニック検索</v>
          </cell>
          <cell r="R240">
            <v>45901</v>
          </cell>
          <cell r="S240">
            <v>45931</v>
          </cell>
        </row>
        <row r="241">
          <cell r="C241">
            <v>45910.57708333333</v>
          </cell>
          <cell r="H241" t="str">
            <v>検索連動型広告</v>
          </cell>
        </row>
        <row r="242">
          <cell r="C242">
            <v>45911.605555555558</v>
          </cell>
          <cell r="H242" t="str">
            <v>オーガニック検索</v>
          </cell>
        </row>
        <row r="243">
          <cell r="C243">
            <v>45913.685416666667</v>
          </cell>
          <cell r="H243" t="str">
            <v>リファーラル</v>
          </cell>
        </row>
        <row r="244">
          <cell r="C244">
            <v>45916.679166666669</v>
          </cell>
          <cell r="H244" t="str">
            <v>検索連動型広告</v>
          </cell>
        </row>
        <row r="245">
          <cell r="C245">
            <v>45917.393750000003</v>
          </cell>
          <cell r="H245" t="str">
            <v>直接トラフィック</v>
          </cell>
          <cell r="R245">
            <v>45901</v>
          </cell>
          <cell r="S245">
            <v>45901</v>
          </cell>
        </row>
        <row r="246">
          <cell r="C246">
            <v>45917.497916666667</v>
          </cell>
          <cell r="H246" t="str">
            <v>他のキャンペーン</v>
          </cell>
        </row>
        <row r="247">
          <cell r="C247">
            <v>45917.793749999997</v>
          </cell>
          <cell r="H247" t="str">
            <v>リファーラル</v>
          </cell>
        </row>
        <row r="248">
          <cell r="C248">
            <v>45919.374305555553</v>
          </cell>
          <cell r="H248" t="str">
            <v>直接トラフィック</v>
          </cell>
        </row>
        <row r="249">
          <cell r="C249">
            <v>45922.448611111111</v>
          </cell>
          <cell r="H249" t="str">
            <v>直接トラフィック</v>
          </cell>
        </row>
        <row r="250">
          <cell r="C250">
            <v>45922.481249999997</v>
          </cell>
          <cell r="H250" t="str">
            <v>検索連動型広告</v>
          </cell>
        </row>
        <row r="251">
          <cell r="C251">
            <v>45922.694444444445</v>
          </cell>
          <cell r="H251" t="str">
            <v>検索連動型広告</v>
          </cell>
        </row>
        <row r="252">
          <cell r="C252">
            <v>45923.504166666666</v>
          </cell>
          <cell r="H252" t="str">
            <v>他のキャンペーン</v>
          </cell>
        </row>
        <row r="253">
          <cell r="C253">
            <v>45924.359722222223</v>
          </cell>
          <cell r="H253" t="str">
            <v>リファーラル</v>
          </cell>
        </row>
        <row r="254">
          <cell r="C254">
            <v>45924.815972222219</v>
          </cell>
          <cell r="H254" t="str">
            <v>他のキャンペーン</v>
          </cell>
          <cell r="R254">
            <v>45901</v>
          </cell>
          <cell r="S254">
            <v>45901</v>
          </cell>
        </row>
        <row r="255">
          <cell r="C255">
            <v>45925.570138888892</v>
          </cell>
          <cell r="H255" t="str">
            <v>検索連動型広告</v>
          </cell>
        </row>
        <row r="256">
          <cell r="C256">
            <v>45925.78402777778</v>
          </cell>
          <cell r="H256" t="str">
            <v>オーガニック検索</v>
          </cell>
        </row>
        <row r="257">
          <cell r="C257">
            <v>45927.823611111111</v>
          </cell>
          <cell r="H257" t="str">
            <v>リファーラル</v>
          </cell>
        </row>
        <row r="258">
          <cell r="C258">
            <v>45930.776388888888</v>
          </cell>
          <cell r="H258" t="str">
            <v>オーガニック検索</v>
          </cell>
        </row>
        <row r="259">
          <cell r="C259">
            <v>45931.5</v>
          </cell>
          <cell r="H259" t="str">
            <v>直接トラフィック</v>
          </cell>
        </row>
        <row r="260">
          <cell r="C260">
            <v>45933.458333333336</v>
          </cell>
          <cell r="H260" t="str">
            <v>検索連動型広告</v>
          </cell>
        </row>
        <row r="261">
          <cell r="C261">
            <v>45937.583333333336</v>
          </cell>
          <cell r="H261" t="str">
            <v>オーガニック検索</v>
          </cell>
        </row>
        <row r="262">
          <cell r="C262">
            <v>45937.625</v>
          </cell>
          <cell r="H262" t="str">
            <v>AIリファーラル</v>
          </cell>
        </row>
        <row r="263">
          <cell r="C263">
            <v>45938.458333333336</v>
          </cell>
          <cell r="H263" t="str">
            <v>検索連動型広告</v>
          </cell>
          <cell r="R263">
            <v>45931</v>
          </cell>
          <cell r="S263">
            <v>45931</v>
          </cell>
        </row>
        <row r="264">
          <cell r="C264">
            <v>45940.416666666664</v>
          </cell>
          <cell r="H264" t="str">
            <v>検索連動型広告</v>
          </cell>
        </row>
        <row r="265">
          <cell r="C265">
            <v>45940.708333333336</v>
          </cell>
          <cell r="H265" t="str">
            <v>オーガニック検索</v>
          </cell>
        </row>
        <row r="266">
          <cell r="C266">
            <v>45943.375</v>
          </cell>
          <cell r="H266" t="str">
            <v>オーガニック検索</v>
          </cell>
          <cell r="R266">
            <v>45931</v>
          </cell>
        </row>
        <row r="267">
          <cell r="C267">
            <v>45945.625</v>
          </cell>
          <cell r="H267" t="str">
            <v>他のキャンペーン</v>
          </cell>
        </row>
        <row r="268">
          <cell r="C268">
            <v>45946.75</v>
          </cell>
          <cell r="H268" t="str">
            <v>他のキャンペーン</v>
          </cell>
        </row>
        <row r="269">
          <cell r="C269">
            <v>45947.458333333336</v>
          </cell>
          <cell r="H269" t="str">
            <v>オーガニック検索</v>
          </cell>
        </row>
        <row r="270">
          <cell r="C270">
            <v>45951.541666666664</v>
          </cell>
          <cell r="H270" t="str">
            <v>リファーラル</v>
          </cell>
        </row>
        <row r="271">
          <cell r="C271">
            <v>45951.638888888891</v>
          </cell>
          <cell r="H271" t="str">
            <v>オーガニック検索</v>
          </cell>
        </row>
        <row r="272">
          <cell r="C272">
            <v>45954.655555555553</v>
          </cell>
          <cell r="H272" t="str">
            <v>検索連動型広告</v>
          </cell>
        </row>
        <row r="273">
          <cell r="C273">
            <v>45957.63958333333</v>
          </cell>
          <cell r="H273" t="str">
            <v>検索連動型広告</v>
          </cell>
        </row>
        <row r="274">
          <cell r="C274">
            <v>45958.490972222222</v>
          </cell>
          <cell r="H274" t="str">
            <v>検索連動型広告</v>
          </cell>
        </row>
        <row r="275">
          <cell r="C275">
            <v>45959.411805555559</v>
          </cell>
          <cell r="H275" t="str">
            <v>他のキャンペーン</v>
          </cell>
        </row>
        <row r="276">
          <cell r="C276">
            <v>45959.759722222225</v>
          </cell>
          <cell r="H276" t="str">
            <v>直接トラフィック</v>
          </cell>
        </row>
        <row r="277">
          <cell r="C277">
            <v>45960.647916666669</v>
          </cell>
          <cell r="H277" t="str">
            <v>他のキャンペーン</v>
          </cell>
          <cell r="R277">
            <v>45960</v>
          </cell>
          <cell r="S277">
            <v>45972</v>
          </cell>
        </row>
        <row r="278">
          <cell r="C278">
            <v>45962.538888888892</v>
          </cell>
          <cell r="H278" t="str">
            <v>オーガニック検索</v>
          </cell>
        </row>
        <row r="279">
          <cell r="C279">
            <v>45965.688888888886</v>
          </cell>
          <cell r="H279" t="str">
            <v>リファーラル</v>
          </cell>
        </row>
        <row r="280">
          <cell r="C280">
            <v>45969.831250000003</v>
          </cell>
          <cell r="H280" t="str">
            <v>他のキャンペーン</v>
          </cell>
        </row>
        <row r="281">
          <cell r="C281">
            <v>45971.390972222223</v>
          </cell>
          <cell r="H281" t="str">
            <v>直接トラフィック</v>
          </cell>
        </row>
        <row r="282">
          <cell r="C282">
            <v>45971.475694444445</v>
          </cell>
          <cell r="H282" t="str">
            <v>検索連動型広告</v>
          </cell>
        </row>
        <row r="283">
          <cell r="C283">
            <v>45972.817361111112</v>
          </cell>
          <cell r="H283" t="str">
            <v>直接トラフィック</v>
          </cell>
        </row>
        <row r="284">
          <cell r="C284">
            <v>45973.648611111108</v>
          </cell>
          <cell r="H284" t="str">
            <v>オーガニック検索</v>
          </cell>
        </row>
        <row r="285">
          <cell r="C285">
            <v>45974.571527777778</v>
          </cell>
          <cell r="H285" t="str">
            <v>直接トラフィック</v>
          </cell>
        </row>
        <row r="286">
          <cell r="C286">
            <v>45974.645138888889</v>
          </cell>
          <cell r="H286" t="str">
            <v>直接トラフィック</v>
          </cell>
          <cell r="R286">
            <v>45986</v>
          </cell>
          <cell r="S286">
            <v>45986</v>
          </cell>
        </row>
        <row r="287">
          <cell r="C287">
            <v>45974.7</v>
          </cell>
          <cell r="H287" t="str">
            <v>直接トラフィック</v>
          </cell>
        </row>
        <row r="288">
          <cell r="C288">
            <v>45975.286111111112</v>
          </cell>
          <cell r="H288" t="str">
            <v>リファーラル</v>
          </cell>
        </row>
        <row r="289">
          <cell r="C289">
            <v>45978.677777777775</v>
          </cell>
          <cell r="H289" t="str">
            <v>検索連動型広告</v>
          </cell>
        </row>
        <row r="290">
          <cell r="C290">
            <v>45978.690972222219</v>
          </cell>
          <cell r="H290" t="str">
            <v>オーガニック検索</v>
          </cell>
        </row>
        <row r="291">
          <cell r="C291">
            <v>45978.813194444447</v>
          </cell>
          <cell r="H291" t="str">
            <v>直接トラフィック</v>
          </cell>
        </row>
        <row r="292">
          <cell r="C292">
            <v>45980.604861111111</v>
          </cell>
          <cell r="H292" t="str">
            <v>直接トラフィック</v>
          </cell>
          <cell r="R292">
            <v>45986</v>
          </cell>
          <cell r="S292">
            <v>45986</v>
          </cell>
        </row>
        <row r="293">
          <cell r="C293">
            <v>45980.76666666667</v>
          </cell>
          <cell r="H293" t="str">
            <v>検索連動型広告</v>
          </cell>
        </row>
        <row r="294">
          <cell r="C294">
            <v>45987.464583333334</v>
          </cell>
          <cell r="H294" t="str">
            <v>検索連動型広告</v>
          </cell>
        </row>
        <row r="295">
          <cell r="C295">
            <v>45988.388888888891</v>
          </cell>
          <cell r="H295" t="str">
            <v>検索連動型広告</v>
          </cell>
        </row>
        <row r="296">
          <cell r="C296">
            <v>45988.51666666667</v>
          </cell>
          <cell r="H296" t="str">
            <v>オーガニック検索</v>
          </cell>
        </row>
        <row r="297">
          <cell r="C297">
            <v>45988.578472222223</v>
          </cell>
          <cell r="H297" t="str">
            <v>オーガニック検索</v>
          </cell>
        </row>
        <row r="298">
          <cell r="C298">
            <v>45988.63958333333</v>
          </cell>
          <cell r="H298" t="str">
            <v>検索連動型広告</v>
          </cell>
        </row>
        <row r="299">
          <cell r="C299">
            <v>45989.413888888892</v>
          </cell>
          <cell r="H299" t="str">
            <v>オーガニック検索</v>
          </cell>
          <cell r="R299">
            <v>45986</v>
          </cell>
        </row>
        <row r="300">
          <cell r="C300">
            <v>45991.663194444445</v>
          </cell>
          <cell r="H300" t="str">
            <v>他のキャンペーン</v>
          </cell>
        </row>
        <row r="301">
          <cell r="C301">
            <v>45995.451782407406</v>
          </cell>
          <cell r="H301" t="str">
            <v>オーガニック検索</v>
          </cell>
        </row>
        <row r="302">
          <cell r="C302">
            <v>45999.691886574074</v>
          </cell>
          <cell r="H302" t="str">
            <v>オーガニック検索</v>
          </cell>
          <cell r="R302">
            <v>46016</v>
          </cell>
          <cell r="S302">
            <v>46016</v>
          </cell>
        </row>
        <row r="303">
          <cell r="C303">
            <v>46001.451365740744</v>
          </cell>
          <cell r="H303" t="str">
            <v>検索連動型広告</v>
          </cell>
          <cell r="R303">
            <v>46016</v>
          </cell>
          <cell r="S303">
            <v>46016</v>
          </cell>
        </row>
        <row r="304">
          <cell r="C304">
            <v>46006.411597222221</v>
          </cell>
          <cell r="H304" t="str">
            <v>オーガニック検索</v>
          </cell>
        </row>
        <row r="305">
          <cell r="C305">
            <v>46006.479756944442</v>
          </cell>
          <cell r="H305" t="str">
            <v>直接トラフィック</v>
          </cell>
        </row>
        <row r="306">
          <cell r="C306">
            <v>46008.359027777777</v>
          </cell>
          <cell r="H306" t="str">
            <v>検索連動型広告</v>
          </cell>
        </row>
        <row r="307">
          <cell r="C307">
            <v>46008.558333333334</v>
          </cell>
          <cell r="H307" t="str">
            <v>直接トラフィック</v>
          </cell>
        </row>
        <row r="308">
          <cell r="C308">
            <v>46008.631944444445</v>
          </cell>
          <cell r="H308" t="str">
            <v>直接トラフィック</v>
          </cell>
        </row>
        <row r="309">
          <cell r="C309">
            <v>46009.484027777777</v>
          </cell>
          <cell r="H309" t="str">
            <v>直接トラフィック</v>
          </cell>
        </row>
        <row r="310">
          <cell r="C310">
            <v>46009.655555555553</v>
          </cell>
          <cell r="H310" t="str">
            <v>他のキャンペーン</v>
          </cell>
        </row>
        <row r="311">
          <cell r="C311">
            <v>46013.744942129626</v>
          </cell>
          <cell r="H311" t="str">
            <v>直接トラフィック</v>
          </cell>
          <cell r="R311">
            <v>46016</v>
          </cell>
          <cell r="S311">
            <v>46082</v>
          </cell>
        </row>
        <row r="312">
          <cell r="C312">
            <v>46014.722546296296</v>
          </cell>
          <cell r="H312" t="str">
            <v>検索連動型広告</v>
          </cell>
          <cell r="R312">
            <v>46016</v>
          </cell>
          <cell r="S312">
            <v>46016</v>
          </cell>
        </row>
        <row r="313">
          <cell r="C313">
            <v>46014.804085648146</v>
          </cell>
          <cell r="H313" t="str">
            <v>オーガニック検索</v>
          </cell>
          <cell r="R313">
            <v>46016</v>
          </cell>
        </row>
        <row r="314">
          <cell r="C314">
            <v>46015.619317129633</v>
          </cell>
          <cell r="H314" t="str">
            <v>検索連動型広告</v>
          </cell>
        </row>
        <row r="315">
          <cell r="C315">
            <v>46030.648136574076</v>
          </cell>
          <cell r="H315" t="str">
            <v>オーガニック検索</v>
          </cell>
        </row>
        <row r="316">
          <cell r="C316">
            <v>46031.361863425926</v>
          </cell>
          <cell r="H316" t="str">
            <v>検索連動型広告</v>
          </cell>
        </row>
        <row r="317">
          <cell r="C317">
            <v>46031.594305555554</v>
          </cell>
          <cell r="H317" t="str">
            <v>オーガニック検索</v>
          </cell>
          <cell r="R317">
            <v>46049</v>
          </cell>
          <cell r="S317">
            <v>46049</v>
          </cell>
        </row>
        <row r="318">
          <cell r="C318">
            <v>46034.596377314818</v>
          </cell>
          <cell r="H318" t="str">
            <v>リファーラル</v>
          </cell>
        </row>
        <row r="319">
          <cell r="C319">
            <v>46034.720543981479</v>
          </cell>
          <cell r="H319" t="str">
            <v>リファーラル</v>
          </cell>
        </row>
        <row r="320">
          <cell r="C320">
            <v>46043.463194444441</v>
          </cell>
          <cell r="H320" t="str">
            <v>オーガニック検索</v>
          </cell>
          <cell r="R320">
            <v>46049</v>
          </cell>
          <cell r="S320">
            <v>46049</v>
          </cell>
        </row>
        <row r="321">
          <cell r="C321">
            <v>46044.554861111108</v>
          </cell>
          <cell r="H321" t="str">
            <v>他のキャンペーン</v>
          </cell>
        </row>
        <row r="322">
          <cell r="C322">
            <v>46043.743055555555</v>
          </cell>
          <cell r="H322" t="str">
            <v>検索連動型広告</v>
          </cell>
        </row>
        <row r="323">
          <cell r="C323">
            <v>46045.710416666669</v>
          </cell>
          <cell r="H323" t="str">
            <v>他のキャンペーン</v>
          </cell>
        </row>
        <row r="324">
          <cell r="C324">
            <v>46050.493055555555</v>
          </cell>
          <cell r="H324" t="str">
            <v>検索連動型広告</v>
          </cell>
        </row>
        <row r="325">
          <cell r="C325">
            <v>46051.35833333333</v>
          </cell>
          <cell r="H325" t="str">
            <v>直接トラフィック</v>
          </cell>
        </row>
        <row r="326">
          <cell r="C326">
            <v>46052.648611111108</v>
          </cell>
          <cell r="H326" t="str">
            <v>検索連動型広告</v>
          </cell>
        </row>
        <row r="327">
          <cell r="C327">
            <v>46057.422893518517</v>
          </cell>
          <cell r="H327" t="str">
            <v>オフラインソース</v>
          </cell>
          <cell r="R327">
            <v>46079</v>
          </cell>
        </row>
        <row r="328">
          <cell r="C328">
            <v>46057.460706018515</v>
          </cell>
          <cell r="H328" t="str">
            <v>オフラインソース</v>
          </cell>
        </row>
        <row r="329">
          <cell r="C329">
            <v>46057.682789351849</v>
          </cell>
          <cell r="H329" t="str">
            <v>オフラインソース</v>
          </cell>
        </row>
        <row r="330">
          <cell r="C330">
            <v>46058.681319444448</v>
          </cell>
          <cell r="H330" t="str">
            <v>オフラインソース</v>
          </cell>
        </row>
        <row r="331">
          <cell r="C331">
            <v>46059.793703703705</v>
          </cell>
          <cell r="H331" t="str">
            <v>オーガニック検索</v>
          </cell>
        </row>
        <row r="332">
          <cell r="C332">
            <v>46062.678912037038</v>
          </cell>
          <cell r="H332" t="str">
            <v>直接トラフィック</v>
          </cell>
        </row>
        <row r="333">
          <cell r="C333">
            <v>46063.500555555554</v>
          </cell>
          <cell r="H333" t="str">
            <v>検索連動型広告</v>
          </cell>
        </row>
        <row r="334">
          <cell r="C334">
            <v>46063.574317129627</v>
          </cell>
          <cell r="H334" t="str">
            <v>オーガニック検索</v>
          </cell>
          <cell r="R334">
            <v>46049</v>
          </cell>
          <cell r="S334">
            <v>46049</v>
          </cell>
        </row>
        <row r="335">
          <cell r="C335">
            <v>46065.579826388886</v>
          </cell>
          <cell r="H335" t="str">
            <v>直接トラフィック</v>
          </cell>
        </row>
        <row r="336">
          <cell r="C336">
            <v>46066.686805555553</v>
          </cell>
          <cell r="H336" t="str">
            <v>直接トラフィック</v>
          </cell>
        </row>
        <row r="337">
          <cell r="C337">
            <v>46071.768703703703</v>
          </cell>
          <cell r="H337" t="str">
            <v>検索連動型広告</v>
          </cell>
        </row>
        <row r="338">
          <cell r="C338">
            <v>46072.578368055554</v>
          </cell>
          <cell r="H338" t="str">
            <v>検索連動型広告</v>
          </cell>
        </row>
        <row r="339">
          <cell r="C339">
            <v>46051</v>
          </cell>
          <cell r="H339" t="str">
            <v>ベルシステム</v>
          </cell>
          <cell r="R339">
            <v>46079</v>
          </cell>
          <cell r="S339">
            <v>46079</v>
          </cell>
        </row>
        <row r="340">
          <cell r="C340">
            <v>46071</v>
          </cell>
          <cell r="H340" t="str">
            <v>ベルシステム</v>
          </cell>
          <cell r="R340">
            <v>46079</v>
          </cell>
          <cell r="S340">
            <v>46079</v>
          </cell>
        </row>
        <row r="341">
          <cell r="C341">
            <v>46083.583043981482</v>
          </cell>
          <cell r="H341" t="str">
            <v>オーガニック検索</v>
          </cell>
        </row>
        <row r="342">
          <cell r="C342">
            <v>46090.730486111112</v>
          </cell>
          <cell r="H342" t="str">
            <v>オーガニック検索</v>
          </cell>
        </row>
        <row r="343">
          <cell r="C343">
            <v>46090.864895833336</v>
          </cell>
          <cell r="H343" t="str">
            <v>直接トラフィック</v>
          </cell>
          <cell r="R343">
            <v>46082</v>
          </cell>
        </row>
        <row r="344">
          <cell r="C344">
            <v>46093.460358796299</v>
          </cell>
          <cell r="H344" t="str">
            <v>直接トラフィック</v>
          </cell>
        </row>
        <row r="345">
          <cell r="C345">
            <v>46094.692025462966</v>
          </cell>
          <cell r="H345" t="str">
            <v>検索連動型広告</v>
          </cell>
        </row>
        <row r="346">
          <cell r="C346">
            <v>46098.411296296297</v>
          </cell>
          <cell r="H346" t="str">
            <v>他のキャンペーン</v>
          </cell>
        </row>
        <row r="347">
          <cell r="C347">
            <v>46101.713194444441</v>
          </cell>
          <cell r="H347" t="str">
            <v>オーガニック検索</v>
          </cell>
        </row>
        <row r="348">
          <cell r="C348">
            <v>46104.670868055553</v>
          </cell>
          <cell r="H348" t="str">
            <v>他のキャンペーン</v>
          </cell>
        </row>
        <row r="349">
          <cell r="C349">
            <v>46114.401099537034</v>
          </cell>
          <cell r="H349" t="str">
            <v>直接トラフィック</v>
          </cell>
        </row>
        <row r="350">
          <cell r="C350">
            <v>46114.550775462965</v>
          </cell>
          <cell r="H350" t="str">
            <v>検索連動型広告</v>
          </cell>
        </row>
        <row r="351">
          <cell r="C351">
            <v>46118.420624999999</v>
          </cell>
          <cell r="H351" t="str">
            <v>Eメールマーケティング</v>
          </cell>
          <cell r="R351">
            <v>46138</v>
          </cell>
          <cell r="S351">
            <v>46132</v>
          </cell>
        </row>
        <row r="352">
          <cell r="C352">
            <v>46119.585960648146</v>
          </cell>
          <cell r="H352" t="str">
            <v>オーガニック検索</v>
          </cell>
        </row>
        <row r="353">
          <cell r="C353">
            <v>46127.372129629628</v>
          </cell>
          <cell r="H353" t="str">
            <v>オーガニック検索</v>
          </cell>
          <cell r="R353">
            <v>46138</v>
          </cell>
        </row>
        <row r="354">
          <cell r="C354">
            <v>46129.189571759256</v>
          </cell>
          <cell r="H354" t="str">
            <v>直接トラフィック</v>
          </cell>
        </row>
        <row r="355">
          <cell r="C355">
            <v>46129.494826388887</v>
          </cell>
          <cell r="H355" t="str">
            <v>他のキャンペーン</v>
          </cell>
        </row>
        <row r="356">
          <cell r="C356">
            <v>46134.420497685183</v>
          </cell>
          <cell r="H356" t="str">
            <v>mail</v>
          </cell>
          <cell r="R356">
            <v>46113</v>
          </cell>
        </row>
        <row r="357">
          <cell r="C357">
            <v>46134.420949074076</v>
          </cell>
          <cell r="H357" t="str">
            <v>mail</v>
          </cell>
        </row>
        <row r="358">
          <cell r="C358">
            <v>46134.441319444442</v>
          </cell>
          <cell r="H358" t="str">
            <v>mail</v>
          </cell>
        </row>
        <row r="359">
          <cell r="C359">
            <v>46134.459490740737</v>
          </cell>
          <cell r="H359" t="str">
            <v>mail</v>
          </cell>
        </row>
        <row r="360">
          <cell r="C360">
            <v>46143.586145833331</v>
          </cell>
          <cell r="H360" t="str">
            <v>リファーラル</v>
          </cell>
        </row>
        <row r="361">
          <cell r="C361">
            <v>46144.694525462961</v>
          </cell>
          <cell r="H361" t="str">
            <v>他のキャンペーン</v>
          </cell>
        </row>
        <row r="362">
          <cell r="C362">
            <v>46154.582696759258</v>
          </cell>
          <cell r="H362" t="str">
            <v>直接トラフィック</v>
          </cell>
        </row>
        <row r="363">
          <cell r="C363">
            <v>46154.736759259256</v>
          </cell>
          <cell r="H363" t="str">
            <v>オーガニック検索</v>
          </cell>
        </row>
        <row r="364">
          <cell r="C364">
            <v>46155.352685185186</v>
          </cell>
          <cell r="H364" t="str">
            <v>直接トラフィック</v>
          </cell>
          <cell r="R364">
            <v>46143</v>
          </cell>
        </row>
        <row r="365">
          <cell r="C365">
            <v>46155.368726851855</v>
          </cell>
          <cell r="H365" t="str">
            <v>直接トラフィック</v>
          </cell>
        </row>
        <row r="366">
          <cell r="C366">
            <v>46155.667488425926</v>
          </cell>
          <cell r="H366" t="str">
            <v>オーガニック検索</v>
          </cell>
          <cell r="R366">
            <v>46143</v>
          </cell>
          <cell r="S366">
            <v>46143</v>
          </cell>
        </row>
        <row r="367">
          <cell r="C367">
            <v>46157.756990740738</v>
          </cell>
          <cell r="H367" t="str">
            <v>オーガニック検索</v>
          </cell>
        </row>
        <row r="368">
          <cell r="C368">
            <v>46157.782152777778</v>
          </cell>
          <cell r="H368" t="str">
            <v>直接トラフィック</v>
          </cell>
        </row>
        <row r="369">
          <cell r="C369">
            <v>46157.882094907407</v>
          </cell>
          <cell r="H369" t="str">
            <v>オーガニック検索</v>
          </cell>
        </row>
        <row r="370">
          <cell r="C370">
            <v>46158.26734953704</v>
          </cell>
          <cell r="H370" t="str">
            <v>リファーラル</v>
          </cell>
        </row>
        <row r="371">
          <cell r="C371">
            <v>46158.40902777778</v>
          </cell>
          <cell r="H371" t="str">
            <v>他のキャンペーン</v>
          </cell>
        </row>
        <row r="372">
          <cell r="C372">
            <v>46159.254675925928</v>
          </cell>
          <cell r="H372" t="str">
            <v>他のキャンペーン</v>
          </cell>
        </row>
        <row r="373">
          <cell r="C373">
            <v>46159.304502314815</v>
          </cell>
          <cell r="H373" t="str">
            <v>他のキャンペーン</v>
          </cell>
        </row>
        <row r="374">
          <cell r="C374">
            <v>46159.575995370367</v>
          </cell>
          <cell r="H374" t="str">
            <v>他のキャンペーン</v>
          </cell>
        </row>
        <row r="375">
          <cell r="C375">
            <v>46159.748310185183</v>
          </cell>
          <cell r="H375" t="str">
            <v>他のキャンペーン</v>
          </cell>
        </row>
        <row r="376">
          <cell r="C376">
            <v>46160.450520833336</v>
          </cell>
          <cell r="H376" t="str">
            <v>オーガニック検索</v>
          </cell>
          <cell r="R376">
            <v>46143</v>
          </cell>
          <cell r="S376">
            <v>46143</v>
          </cell>
        </row>
        <row r="377">
          <cell r="C377">
            <v>46161.377476851849</v>
          </cell>
          <cell r="H377" t="str">
            <v>他のキャンペーン</v>
          </cell>
        </row>
        <row r="378">
          <cell r="C378">
            <v>46161.740798611114</v>
          </cell>
          <cell r="H378" t="str">
            <v>他のキャンペーン</v>
          </cell>
        </row>
        <row r="379">
          <cell r="C379">
            <v>46162.344212962962</v>
          </cell>
          <cell r="H379" t="str">
            <v>直接トラフィック</v>
          </cell>
        </row>
        <row r="380">
          <cell r="C380">
            <v>46162.703587962962</v>
          </cell>
          <cell r="H380" t="str">
            <v>オーガニック検索</v>
          </cell>
        </row>
        <row r="381">
          <cell r="C381">
            <v>46163.885601851849</v>
          </cell>
          <cell r="H381" t="str">
            <v>他のキャンペーン</v>
          </cell>
        </row>
        <row r="382">
          <cell r="C382">
            <v>46164.582256944443</v>
          </cell>
          <cell r="H382" t="str">
            <v>他のキャンペーン</v>
          </cell>
        </row>
        <row r="383">
          <cell r="C383">
            <v>46166.429664351854</v>
          </cell>
          <cell r="H383" t="str">
            <v>他のキャンペーン</v>
          </cell>
        </row>
        <row r="384">
          <cell r="C384">
            <v>46167.415277777778</v>
          </cell>
          <cell r="H384" t="str">
            <v>mail</v>
          </cell>
        </row>
        <row r="385">
          <cell r="C385">
            <v>46167.418055555558</v>
          </cell>
          <cell r="H385" t="str">
            <v>mail</v>
          </cell>
        </row>
        <row r="386">
          <cell r="C386">
            <v>46167.42291666667</v>
          </cell>
          <cell r="H386" t="str">
            <v>オーガニック検索</v>
          </cell>
          <cell r="R386">
            <v>46174</v>
          </cell>
          <cell r="S386">
            <v>46174</v>
          </cell>
          <cell r="T386" t="str">
            <v>　</v>
          </cell>
        </row>
        <row r="387">
          <cell r="C387">
            <v>46167.425000000003</v>
          </cell>
          <cell r="H387" t="str">
            <v>mail</v>
          </cell>
        </row>
        <row r="388">
          <cell r="C388">
            <v>46167.427777777775</v>
          </cell>
          <cell r="H388" t="str">
            <v>mail</v>
          </cell>
        </row>
        <row r="389">
          <cell r="C389">
            <v>46167.431250000001</v>
          </cell>
          <cell r="H389" t="str">
            <v>mail</v>
          </cell>
        </row>
        <row r="390">
          <cell r="C390">
            <v>46167.431944444441</v>
          </cell>
          <cell r="H390" t="str">
            <v>mail</v>
          </cell>
        </row>
        <row r="391">
          <cell r="C391">
            <v>46167.441666666666</v>
          </cell>
          <cell r="H391" t="str">
            <v>mail</v>
          </cell>
        </row>
        <row r="392">
          <cell r="C392">
            <v>46167.459027777775</v>
          </cell>
          <cell r="H392" t="str">
            <v>mail</v>
          </cell>
        </row>
        <row r="393">
          <cell r="C393">
            <v>46167.536111111112</v>
          </cell>
          <cell r="H393" t="str">
            <v>mail</v>
          </cell>
        </row>
        <row r="394">
          <cell r="C394">
            <v>46167.54583333333</v>
          </cell>
          <cell r="H394" t="str">
            <v>mail</v>
          </cell>
        </row>
        <row r="395">
          <cell r="C395">
            <v>46167.738194444442</v>
          </cell>
          <cell r="H395" t="str">
            <v>オーガニック検索</v>
          </cell>
        </row>
        <row r="396">
          <cell r="C396">
            <v>46167.8125</v>
          </cell>
          <cell r="H396" t="str">
            <v>mail</v>
          </cell>
        </row>
        <row r="397">
          <cell r="C397">
            <v>46168.328472222223</v>
          </cell>
          <cell r="H397" t="str">
            <v>mail</v>
          </cell>
        </row>
        <row r="398">
          <cell r="C398">
            <v>46168.371527777781</v>
          </cell>
          <cell r="H398" t="str">
            <v>mail</v>
          </cell>
        </row>
        <row r="399">
          <cell r="C399">
            <v>46168.55</v>
          </cell>
          <cell r="H399" t="str">
            <v>mail</v>
          </cell>
        </row>
        <row r="400">
          <cell r="C400">
            <v>46169.582638888889</v>
          </cell>
          <cell r="H400" t="str">
            <v>直接トラフィック</v>
          </cell>
          <cell r="R400">
            <v>46174</v>
          </cell>
          <cell r="S400">
            <v>46174</v>
          </cell>
          <cell r="T400" t="str">
            <v>　</v>
          </cell>
        </row>
        <row r="401">
          <cell r="C401">
            <v>46169.674305555556</v>
          </cell>
          <cell r="H401" t="str">
            <v>リファーラル</v>
          </cell>
          <cell r="R401">
            <v>46174</v>
          </cell>
          <cell r="S401">
            <v>46174</v>
          </cell>
        </row>
        <row r="402">
          <cell r="C402">
            <v>46170.384722222225</v>
          </cell>
          <cell r="H402" t="str">
            <v>オーガニック検索</v>
          </cell>
          <cell r="R402">
            <v>46174</v>
          </cell>
          <cell r="S402">
            <v>46174</v>
          </cell>
        </row>
        <row r="403">
          <cell r="C403">
            <v>46171.654166666667</v>
          </cell>
          <cell r="H403" t="str">
            <v>他のキャンペーン</v>
          </cell>
        </row>
        <row r="404">
          <cell r="C404">
            <v>46176.480555555558</v>
          </cell>
          <cell r="H404" t="str">
            <v>直接トラフィック</v>
          </cell>
        </row>
        <row r="405">
          <cell r="C405">
            <v>46177.740277777775</v>
          </cell>
          <cell r="H405" t="str">
            <v>直接トラフィック</v>
          </cell>
          <cell r="R405">
            <v>46174</v>
          </cell>
        </row>
        <row r="406">
          <cell r="C406">
            <v>46181.480555555558</v>
          </cell>
          <cell r="H406" t="str">
            <v>mail</v>
          </cell>
        </row>
        <row r="407">
          <cell r="C407">
            <v>46181.592361111114</v>
          </cell>
          <cell r="H407" t="str">
            <v>直接トラフィック</v>
          </cell>
          <cell r="R407">
            <v>46174</v>
          </cell>
          <cell r="S407">
            <v>46174</v>
          </cell>
        </row>
        <row r="408">
          <cell r="C408">
            <v>46182.397916666669</v>
          </cell>
          <cell r="H408" t="str">
            <v>他のキャンペーン</v>
          </cell>
        </row>
        <row r="409">
          <cell r="C409">
            <v>46182.425000000003</v>
          </cell>
          <cell r="H409" t="str">
            <v>オーガニック検索</v>
          </cell>
        </row>
        <row r="410">
          <cell r="C410">
            <v>46183.711805555555</v>
          </cell>
          <cell r="H410" t="str">
            <v>オフラインソース</v>
          </cell>
        </row>
        <row r="411">
          <cell r="C411">
            <v>46184.384027777778</v>
          </cell>
          <cell r="H411" t="str">
            <v>オーガニック検索</v>
          </cell>
        </row>
        <row r="412">
          <cell r="C412">
            <v>46188.737500000003</v>
          </cell>
          <cell r="H412" t="str">
            <v>直接トラフィック</v>
          </cell>
        </row>
        <row r="413">
          <cell r="C413">
            <v>46191.44027777778</v>
          </cell>
          <cell r="H413" t="str">
            <v>オーガニック検索</v>
          </cell>
        </row>
        <row r="414">
          <cell r="C414">
            <v>46191.677083333336</v>
          </cell>
          <cell r="H414" t="str">
            <v>直接トラフィック</v>
          </cell>
        </row>
        <row r="415">
          <cell r="C415">
            <v>46191.703472222223</v>
          </cell>
          <cell r="H415" t="str">
            <v>直接トラフィック</v>
          </cell>
        </row>
        <row r="416">
          <cell r="C416">
            <v>46195.417905092596</v>
          </cell>
          <cell r="H416" t="str">
            <v>mail</v>
          </cell>
        </row>
        <row r="417">
          <cell r="C417">
            <v>46195.667604166665</v>
          </cell>
          <cell r="H417" t="str">
            <v>検索連動型広告</v>
          </cell>
        </row>
        <row r="418">
          <cell r="C418">
            <v>46195.670393518521</v>
          </cell>
          <cell r="H418" t="str">
            <v>オフラインソース</v>
          </cell>
        </row>
        <row r="419">
          <cell r="C419">
            <v>46195.687175925923</v>
          </cell>
          <cell r="H419" t="str">
            <v>mail</v>
          </cell>
        </row>
        <row r="420">
          <cell r="C420">
            <v>46196.406284722223</v>
          </cell>
          <cell r="H420" t="str">
            <v>検索連動型広告</v>
          </cell>
        </row>
        <row r="421">
          <cell r="C421">
            <v>46199.570613425924</v>
          </cell>
          <cell r="H421" t="str">
            <v>オーガニック検索</v>
          </cell>
        </row>
        <row r="422">
          <cell r="C422">
            <v>46202.496759259258</v>
          </cell>
          <cell r="H422" t="str">
            <v>リファーラル</v>
          </cell>
        </row>
        <row r="423">
          <cell r="C423">
            <v>46202.602719907409</v>
          </cell>
          <cell r="H423" t="str">
            <v>検索連動型広告</v>
          </cell>
        </row>
        <row r="424">
          <cell r="C424">
            <v>46203.362662037034</v>
          </cell>
          <cell r="H424" t="str">
            <v>オーガニック検索</v>
          </cell>
        </row>
        <row r="425">
          <cell r="C425">
            <v>46203.674930555557</v>
          </cell>
          <cell r="H425" t="str">
            <v>検索連動型広告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~2024"/>
      <sheetName val="2025"/>
      <sheetName val="2026"/>
    </sheetNames>
    <sheetDataSet>
      <sheetData sheetId="0"/>
      <sheetData sheetId="1">
        <row r="71">
          <cell r="Z71">
            <v>220000</v>
          </cell>
          <cell r="AA71">
            <v>220000</v>
          </cell>
          <cell r="AB71">
            <v>0</v>
          </cell>
          <cell r="AC71">
            <v>0</v>
          </cell>
          <cell r="AD71">
            <v>0</v>
          </cell>
          <cell r="AE71">
            <v>55000</v>
          </cell>
          <cell r="AF71">
            <v>55000</v>
          </cell>
          <cell r="AG71">
            <v>0</v>
          </cell>
          <cell r="AH71">
            <v>0</v>
          </cell>
          <cell r="AI71">
            <v>220000</v>
          </cell>
          <cell r="AJ71">
            <v>110000</v>
          </cell>
          <cell r="AK71">
            <v>0</v>
          </cell>
        </row>
        <row r="78"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70000</v>
          </cell>
          <cell r="AG78">
            <v>0</v>
          </cell>
          <cell r="AH78">
            <v>110000</v>
          </cell>
          <cell r="AI78">
            <v>0</v>
          </cell>
          <cell r="AJ78">
            <v>220000</v>
          </cell>
          <cell r="AK78">
            <v>55000</v>
          </cell>
        </row>
        <row r="84">
          <cell r="Z84">
            <v>0</v>
          </cell>
          <cell r="AA84">
            <v>220000</v>
          </cell>
          <cell r="AB84">
            <v>0</v>
          </cell>
          <cell r="AC84">
            <v>220000</v>
          </cell>
          <cell r="AD84">
            <v>55000</v>
          </cell>
          <cell r="AE84">
            <v>0</v>
          </cell>
          <cell r="AF84">
            <v>0</v>
          </cell>
          <cell r="AG84">
            <v>110000</v>
          </cell>
          <cell r="AH84">
            <v>0</v>
          </cell>
          <cell r="AI84">
            <v>0</v>
          </cell>
          <cell r="AJ84">
            <v>330000</v>
          </cell>
          <cell r="AK84">
            <v>110000</v>
          </cell>
        </row>
        <row r="90"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220000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275000</v>
          </cell>
          <cell r="AK90">
            <v>143000</v>
          </cell>
        </row>
        <row r="98"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</row>
        <row r="105"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</row>
        <row r="112"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</row>
        <row r="119"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</row>
        <row r="126">
          <cell r="Z126">
            <v>30000</v>
          </cell>
          <cell r="AA126">
            <v>60000</v>
          </cell>
          <cell r="AB126">
            <v>60000</v>
          </cell>
          <cell r="AC126">
            <v>0</v>
          </cell>
          <cell r="AD126">
            <v>60000</v>
          </cell>
          <cell r="AE126">
            <v>0</v>
          </cell>
          <cell r="AF126">
            <v>30000</v>
          </cell>
          <cell r="AG126">
            <v>30000</v>
          </cell>
          <cell r="AH126">
            <v>0</v>
          </cell>
          <cell r="AI126">
            <v>45000</v>
          </cell>
          <cell r="AJ126">
            <v>75000</v>
          </cell>
          <cell r="AK126">
            <v>90000</v>
          </cell>
        </row>
        <row r="133">
          <cell r="Z133">
            <v>0</v>
          </cell>
          <cell r="AA133">
            <v>30000</v>
          </cell>
          <cell r="AB133">
            <v>30000</v>
          </cell>
          <cell r="AC133">
            <v>60000</v>
          </cell>
          <cell r="AD133">
            <v>35000</v>
          </cell>
          <cell r="AE133">
            <v>35000</v>
          </cell>
          <cell r="AF133">
            <v>0</v>
          </cell>
          <cell r="AG133">
            <v>30000</v>
          </cell>
          <cell r="AH133">
            <v>30000</v>
          </cell>
          <cell r="AI133">
            <v>15000</v>
          </cell>
          <cell r="AJ133">
            <v>60000</v>
          </cell>
          <cell r="AK133">
            <v>90000</v>
          </cell>
        </row>
        <row r="139">
          <cell r="Z139">
            <v>90000</v>
          </cell>
          <cell r="AA139">
            <v>30000</v>
          </cell>
          <cell r="AB139">
            <v>30000</v>
          </cell>
          <cell r="AC139">
            <v>30000</v>
          </cell>
          <cell r="AD139">
            <v>60000</v>
          </cell>
          <cell r="AE139">
            <v>30000</v>
          </cell>
          <cell r="AF139">
            <v>0</v>
          </cell>
          <cell r="AG139">
            <v>0</v>
          </cell>
          <cell r="AH139">
            <v>30000</v>
          </cell>
          <cell r="AI139">
            <v>0</v>
          </cell>
          <cell r="AJ139">
            <v>45000</v>
          </cell>
          <cell r="AK139">
            <v>105000</v>
          </cell>
        </row>
        <row r="145">
          <cell r="Z145">
            <v>30000</v>
          </cell>
          <cell r="AA145">
            <v>30000</v>
          </cell>
          <cell r="AB145">
            <v>30000</v>
          </cell>
          <cell r="AC145">
            <v>30000</v>
          </cell>
          <cell r="AD145">
            <v>0</v>
          </cell>
          <cell r="AE145">
            <v>30000</v>
          </cell>
          <cell r="AF145">
            <v>60000</v>
          </cell>
          <cell r="AG145">
            <v>0</v>
          </cell>
          <cell r="AH145">
            <v>15000</v>
          </cell>
          <cell r="AI145">
            <v>45000</v>
          </cell>
          <cell r="AJ145">
            <v>60000</v>
          </cell>
          <cell r="AK145">
            <v>0</v>
          </cell>
        </row>
        <row r="151"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10000</v>
          </cell>
        </row>
        <row r="156"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60000</v>
          </cell>
          <cell r="AG156">
            <v>10000</v>
          </cell>
          <cell r="AH156">
            <v>10000</v>
          </cell>
          <cell r="AI156">
            <v>10000</v>
          </cell>
          <cell r="AJ156">
            <v>0</v>
          </cell>
          <cell r="AK156">
            <v>355000</v>
          </cell>
        </row>
        <row r="161">
          <cell r="Z161">
            <v>0</v>
          </cell>
          <cell r="AA161">
            <v>10000</v>
          </cell>
          <cell r="AB161">
            <v>20000</v>
          </cell>
          <cell r="AC161">
            <v>10000</v>
          </cell>
          <cell r="AD161">
            <v>10000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355000</v>
          </cell>
          <cell r="AJ161">
            <v>355000</v>
          </cell>
          <cell r="AK161">
            <v>0</v>
          </cell>
        </row>
        <row r="165"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</row>
      </sheetData>
      <sheetData sheetId="2">
        <row r="8">
          <cell r="F8">
            <v>246000</v>
          </cell>
          <cell r="G8">
            <v>78000</v>
          </cell>
          <cell r="H8">
            <v>78000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6">
          <cell r="F16">
            <v>378000</v>
          </cell>
          <cell r="G16">
            <v>143000</v>
          </cell>
          <cell r="H16">
            <v>198000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23">
          <cell r="F23">
            <v>356000</v>
          </cell>
          <cell r="G23">
            <v>78000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30">
          <cell r="F30">
            <v>246000</v>
          </cell>
          <cell r="G30">
            <v>0</v>
          </cell>
          <cell r="H30">
            <v>176000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49">
          <cell r="F49">
            <v>250000</v>
          </cell>
          <cell r="G49">
            <v>500000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8">
          <cell r="F58">
            <v>0</v>
          </cell>
          <cell r="G58">
            <v>0</v>
          </cell>
          <cell r="H58">
            <v>500000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67"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75">
          <cell r="F75">
            <v>0</v>
          </cell>
          <cell r="G75">
            <v>88000</v>
          </cell>
          <cell r="H75">
            <v>86000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83">
          <cell r="F83">
            <v>45000</v>
          </cell>
          <cell r="G83">
            <v>45000</v>
          </cell>
          <cell r="H83">
            <v>45000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90">
          <cell r="F90">
            <v>75000</v>
          </cell>
          <cell r="G90">
            <v>43000</v>
          </cell>
          <cell r="H90">
            <v>73000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7">
          <cell r="F97">
            <v>45000</v>
          </cell>
          <cell r="G97">
            <v>0</v>
          </cell>
          <cell r="H97">
            <v>90000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8">
          <cell r="F108">
            <v>1065000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</row>
        <row r="113">
          <cell r="F113">
            <v>355000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流入チャネル別集計"/>
      <sheetName val="流入チャネル別顧客一覧"/>
      <sheetName val="流入チャネル別顧客一覧_ユニーク"/>
      <sheetName val="rawdata_案件判定データ"/>
    </sheetNames>
    <sheetDataSet>
      <sheetData sheetId="0"/>
      <sheetData sheetId="1"/>
      <sheetData sheetId="2">
        <row r="1">
          <cell r="C1" t="str">
            <v>回答日時</v>
          </cell>
          <cell r="H1" t="str">
            <v>流入チャネル</v>
          </cell>
          <cell r="R1" t="str">
            <v>SAL（商談したい）</v>
          </cell>
          <cell r="S1" t="str">
            <v>SQL（商談した、案件化した）</v>
          </cell>
          <cell r="T1" t="str">
            <v>受注</v>
          </cell>
        </row>
        <row r="2">
          <cell r="C2">
            <v>45574.590277777781</v>
          </cell>
          <cell r="H2" t="str">
            <v>listing</v>
          </cell>
        </row>
        <row r="3">
          <cell r="C3">
            <v>45581.677083333336</v>
          </cell>
          <cell r="H3" t="str">
            <v>organic</v>
          </cell>
        </row>
        <row r="4">
          <cell r="C4">
            <v>45584.425000000003</v>
          </cell>
          <cell r="H4" t="str">
            <v>listing</v>
          </cell>
        </row>
        <row r="5">
          <cell r="C5">
            <v>45597.697222222225</v>
          </cell>
          <cell r="H5" t="str">
            <v>listing</v>
          </cell>
        </row>
        <row r="6">
          <cell r="C6">
            <v>45601.822222222225</v>
          </cell>
          <cell r="H6" t="str">
            <v>column</v>
          </cell>
        </row>
        <row r="7">
          <cell r="C7">
            <v>45603.525694444441</v>
          </cell>
          <cell r="H7" t="str">
            <v>listing</v>
          </cell>
        </row>
        <row r="8">
          <cell r="C8">
            <v>45603.634027777778</v>
          </cell>
          <cell r="H8" t="str">
            <v>direct</v>
          </cell>
          <cell r="R8">
            <v>45717</v>
          </cell>
          <cell r="S8">
            <v>45717</v>
          </cell>
        </row>
        <row r="9">
          <cell r="C9">
            <v>45606.545138888891</v>
          </cell>
          <cell r="H9" t="str">
            <v>column</v>
          </cell>
        </row>
        <row r="10">
          <cell r="C10">
            <v>45611.609027777777</v>
          </cell>
          <cell r="H10" t="str">
            <v>listing</v>
          </cell>
        </row>
        <row r="11">
          <cell r="C11">
            <v>45635.343055555553</v>
          </cell>
          <cell r="H11" t="str">
            <v>link</v>
          </cell>
        </row>
        <row r="12">
          <cell r="C12">
            <v>45642.8125</v>
          </cell>
          <cell r="H12" t="str">
            <v>link</v>
          </cell>
        </row>
        <row r="13">
          <cell r="C13">
            <v>45643.64166666667</v>
          </cell>
          <cell r="H13" t="str">
            <v>column</v>
          </cell>
        </row>
        <row r="14">
          <cell r="C14">
            <v>45652.716666666667</v>
          </cell>
          <cell r="H14" t="str">
            <v>organic</v>
          </cell>
        </row>
        <row r="15">
          <cell r="C15">
            <v>45666.79583333333</v>
          </cell>
          <cell r="H15" t="str">
            <v>column</v>
          </cell>
        </row>
        <row r="16">
          <cell r="C16">
            <v>45679.395833333336</v>
          </cell>
          <cell r="H16" t="str">
            <v>mail</v>
          </cell>
          <cell r="R16">
            <v>45658</v>
          </cell>
          <cell r="S16">
            <v>45689</v>
          </cell>
        </row>
        <row r="17">
          <cell r="C17">
            <v>45679.701388888891</v>
          </cell>
          <cell r="H17" t="str">
            <v>organic</v>
          </cell>
          <cell r="R17">
            <v>45658</v>
          </cell>
          <cell r="S17">
            <v>45689</v>
          </cell>
          <cell r="T17">
            <v>45717</v>
          </cell>
        </row>
        <row r="18">
          <cell r="C18">
            <v>45696.813888888886</v>
          </cell>
          <cell r="H18" t="str">
            <v>link</v>
          </cell>
        </row>
        <row r="19">
          <cell r="C19">
            <v>45699.761805555558</v>
          </cell>
          <cell r="H19" t="str">
            <v>listing</v>
          </cell>
        </row>
        <row r="20">
          <cell r="C20">
            <v>45713.513888888891</v>
          </cell>
          <cell r="H20" t="str">
            <v>column</v>
          </cell>
        </row>
        <row r="21">
          <cell r="C21">
            <v>45721.530555555553</v>
          </cell>
          <cell r="H21" t="str">
            <v>column</v>
          </cell>
        </row>
        <row r="22">
          <cell r="C22">
            <v>45723.763888888891</v>
          </cell>
          <cell r="H22" t="str">
            <v>link</v>
          </cell>
        </row>
        <row r="23">
          <cell r="C23">
            <v>45726.550694444442</v>
          </cell>
          <cell r="H23" t="str">
            <v>listing</v>
          </cell>
        </row>
        <row r="24">
          <cell r="C24">
            <v>45727.257638888892</v>
          </cell>
          <cell r="H24" t="str">
            <v>others</v>
          </cell>
        </row>
        <row r="25">
          <cell r="C25">
            <v>45730.681250000001</v>
          </cell>
          <cell r="H25" t="str">
            <v>others</v>
          </cell>
        </row>
        <row r="26">
          <cell r="C26">
            <v>45731.999305555553</v>
          </cell>
          <cell r="H26" t="str">
            <v>organic</v>
          </cell>
        </row>
        <row r="27">
          <cell r="C27">
            <v>45733.81527777778</v>
          </cell>
          <cell r="H27" t="str">
            <v>organic</v>
          </cell>
        </row>
        <row r="28">
          <cell r="C28">
            <v>45747.822916666664</v>
          </cell>
          <cell r="H28" t="str">
            <v>others</v>
          </cell>
        </row>
        <row r="29">
          <cell r="C29">
            <v>45755.419444444444</v>
          </cell>
          <cell r="H29" t="str">
            <v>others</v>
          </cell>
        </row>
        <row r="30">
          <cell r="C30">
            <v>45758.305555555555</v>
          </cell>
          <cell r="H30" t="str">
            <v>column</v>
          </cell>
        </row>
        <row r="31">
          <cell r="C31">
            <v>45758.759722222225</v>
          </cell>
          <cell r="H31" t="str">
            <v>direct</v>
          </cell>
        </row>
        <row r="32">
          <cell r="C32">
            <v>45767.011805555558</v>
          </cell>
          <cell r="H32" t="str">
            <v>organic</v>
          </cell>
        </row>
        <row r="33">
          <cell r="C33">
            <v>45786.386805555558</v>
          </cell>
          <cell r="H33" t="str">
            <v>organic</v>
          </cell>
          <cell r="R33">
            <v>45778</v>
          </cell>
          <cell r="S33">
            <v>45778</v>
          </cell>
          <cell r="T33">
            <v>45901</v>
          </cell>
        </row>
        <row r="34">
          <cell r="C34">
            <v>45797.974999999999</v>
          </cell>
          <cell r="H34" t="str">
            <v>column</v>
          </cell>
        </row>
        <row r="35">
          <cell r="C35">
            <v>45799.772222222222</v>
          </cell>
          <cell r="H35" t="str">
            <v>mail</v>
          </cell>
          <cell r="R35">
            <v>45799.772222222222</v>
          </cell>
          <cell r="S35">
            <v>45799.772222222222</v>
          </cell>
        </row>
        <row r="36">
          <cell r="C36">
            <v>45800.476388888892</v>
          </cell>
          <cell r="H36" t="str">
            <v>case</v>
          </cell>
          <cell r="R36">
            <v>45778</v>
          </cell>
          <cell r="S36">
            <v>45778</v>
          </cell>
        </row>
        <row r="37">
          <cell r="C37">
            <v>45800.537499999999</v>
          </cell>
          <cell r="H37" t="str">
            <v>link</v>
          </cell>
        </row>
        <row r="38">
          <cell r="C38">
            <v>45812.479861111111</v>
          </cell>
          <cell r="H38" t="str">
            <v>others</v>
          </cell>
        </row>
        <row r="39">
          <cell r="C39">
            <v>45818.506944444445</v>
          </cell>
          <cell r="H39" t="str">
            <v>mail</v>
          </cell>
          <cell r="R39">
            <v>45809</v>
          </cell>
          <cell r="S39">
            <v>45839</v>
          </cell>
        </row>
        <row r="40">
          <cell r="C40">
            <v>45826.557638888888</v>
          </cell>
          <cell r="H40" t="str">
            <v>others</v>
          </cell>
        </row>
        <row r="41">
          <cell r="C41">
            <v>45827.553472222222</v>
          </cell>
          <cell r="H41" t="str">
            <v>column</v>
          </cell>
        </row>
        <row r="42">
          <cell r="C42">
            <v>45828.620833333334</v>
          </cell>
          <cell r="H42" t="str">
            <v>organic</v>
          </cell>
        </row>
        <row r="43">
          <cell r="C43">
            <v>45831.509722222225</v>
          </cell>
          <cell r="H43" t="str">
            <v>listing</v>
          </cell>
        </row>
        <row r="44">
          <cell r="C44">
            <v>45838.458333333336</v>
          </cell>
          <cell r="H44" t="str">
            <v>organic</v>
          </cell>
        </row>
        <row r="45">
          <cell r="C45">
            <v>45891.634027777778</v>
          </cell>
          <cell r="H45" t="str">
            <v>organic</v>
          </cell>
        </row>
        <row r="46">
          <cell r="C46">
            <v>45896.54583333333</v>
          </cell>
          <cell r="H46" t="str">
            <v>direct</v>
          </cell>
        </row>
        <row r="47">
          <cell r="C47">
            <v>45905.729166666664</v>
          </cell>
          <cell r="H47" t="str">
            <v>リファラル</v>
          </cell>
        </row>
        <row r="48">
          <cell r="C48">
            <v>45929.520138888889</v>
          </cell>
          <cell r="H48" t="str">
            <v>オフラインソース</v>
          </cell>
          <cell r="R48">
            <v>45954</v>
          </cell>
          <cell r="S48">
            <v>46023</v>
          </cell>
        </row>
        <row r="49">
          <cell r="C49">
            <v>45929.675694444442</v>
          </cell>
          <cell r="H49" t="str">
            <v>Eメールマーケティング</v>
          </cell>
          <cell r="R49">
            <v>45954</v>
          </cell>
          <cell r="S49">
            <v>46023</v>
          </cell>
        </row>
        <row r="50">
          <cell r="C50">
            <v>45952.443055555559</v>
          </cell>
          <cell r="H50" t="str">
            <v>リファラル</v>
          </cell>
        </row>
        <row r="51">
          <cell r="C51">
            <v>45987.679166666669</v>
          </cell>
          <cell r="H51" t="str">
            <v>オーガニック検索</v>
          </cell>
        </row>
        <row r="52">
          <cell r="C52">
            <v>45988.43472222222</v>
          </cell>
          <cell r="H52" t="str">
            <v>直接トラフィック</v>
          </cell>
        </row>
        <row r="53">
          <cell r="C53">
            <v>46010.533356481479</v>
          </cell>
          <cell r="H53" t="str">
            <v>直接トラフィック</v>
          </cell>
          <cell r="R53">
            <v>46015</v>
          </cell>
          <cell r="S53">
            <v>46057</v>
          </cell>
        </row>
        <row r="54">
          <cell r="C54">
            <v>46013.543703703705</v>
          </cell>
          <cell r="H54" t="str">
            <v>他のキャンペーン</v>
          </cell>
        </row>
        <row r="55">
          <cell r="C55">
            <v>46037.854004629633</v>
          </cell>
          <cell r="H55" t="str">
            <v>オーガニック検索</v>
          </cell>
        </row>
        <row r="56">
          <cell r="C56">
            <v>46041.96875</v>
          </cell>
          <cell r="H56" t="str">
            <v>直接トラフィック</v>
          </cell>
        </row>
        <row r="57">
          <cell r="C57">
            <v>46059.38795138889</v>
          </cell>
          <cell r="H57" t="str">
            <v>オーガニック検索</v>
          </cell>
        </row>
        <row r="58">
          <cell r="C58">
            <v>46069.722592592596</v>
          </cell>
          <cell r="H58" t="str">
            <v>オーガニック検索</v>
          </cell>
        </row>
        <row r="59">
          <cell r="C59">
            <v>46070.773287037038</v>
          </cell>
          <cell r="H59" t="str">
            <v>直接トラフィック</v>
          </cell>
        </row>
        <row r="60">
          <cell r="C60">
            <v>46083.530659722222</v>
          </cell>
          <cell r="H60" t="str">
            <v>直接トラフィック</v>
          </cell>
        </row>
        <row r="61">
          <cell r="C61">
            <v>46085.424108796295</v>
          </cell>
          <cell r="H61" t="str">
            <v>リファーラル</v>
          </cell>
        </row>
        <row r="62">
          <cell r="C62">
            <v>46088.552673611113</v>
          </cell>
          <cell r="H62" t="str">
            <v>他のキャンペーン</v>
          </cell>
        </row>
        <row r="63">
          <cell r="C63">
            <v>46089.570324074077</v>
          </cell>
          <cell r="H63" t="str">
            <v>他のキャンペーン</v>
          </cell>
        </row>
        <row r="64">
          <cell r="C64">
            <v>46095.351423611108</v>
          </cell>
          <cell r="H64" t="str">
            <v>オーガニック検索</v>
          </cell>
        </row>
        <row r="65">
          <cell r="C65">
            <v>46102.652916666666</v>
          </cell>
          <cell r="H65" t="str">
            <v>リファーラル</v>
          </cell>
        </row>
        <row r="66">
          <cell r="C66">
            <v>46104.517118055555</v>
          </cell>
          <cell r="H66" t="str">
            <v>オーガニック検索</v>
          </cell>
        </row>
        <row r="67">
          <cell r="C67">
            <v>46118.592407407406</v>
          </cell>
          <cell r="H67" t="str">
            <v>オーガニック検索</v>
          </cell>
        </row>
        <row r="68">
          <cell r="C68">
            <v>46120.396296296298</v>
          </cell>
          <cell r="H68" t="str">
            <v>他のキャンペーン</v>
          </cell>
        </row>
        <row r="69">
          <cell r="C69">
            <v>46129.534305555557</v>
          </cell>
          <cell r="H69" t="str">
            <v>オーガニック検索</v>
          </cell>
        </row>
        <row r="70">
          <cell r="C70">
            <v>46151.916562500002</v>
          </cell>
          <cell r="H70" t="str">
            <v>リファーラル</v>
          </cell>
        </row>
        <row r="71">
          <cell r="C71">
            <v>46155.467349537037</v>
          </cell>
          <cell r="H71" t="str">
            <v>オフラインソース</v>
          </cell>
          <cell r="R71">
            <v>46143</v>
          </cell>
        </row>
        <row r="72">
          <cell r="C72">
            <v>46155.629791666666</v>
          </cell>
          <cell r="H72" t="str">
            <v>他のキャンペーン</v>
          </cell>
        </row>
        <row r="73">
          <cell r="C73">
            <v>46170.988020833334</v>
          </cell>
          <cell r="H73" t="str">
            <v>直接トラフィック</v>
          </cell>
        </row>
        <row r="74">
          <cell r="C74">
            <v>46186.89398148148</v>
          </cell>
          <cell r="H74" t="str">
            <v>直接トラフィック</v>
          </cell>
        </row>
        <row r="75">
          <cell r="C75">
            <v>46201.595509259256</v>
          </cell>
          <cell r="H75" t="str">
            <v>他のキャンペーン</v>
          </cell>
        </row>
        <row r="76">
          <cell r="C76">
            <v>46203.719872685186</v>
          </cell>
          <cell r="H76" t="str">
            <v>直接トラフィック</v>
          </cell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流入チャネル別集計"/>
      <sheetName val="流入チャネル別顧客一覧"/>
      <sheetName val="流入チャネル別顧客一覧_ユニーク"/>
      <sheetName val="rawdata_案件判定データ"/>
      <sheetName val="MED｜CVレポート"/>
    </sheetNames>
    <sheetDataSet>
      <sheetData sheetId="0"/>
      <sheetData sheetId="1"/>
      <sheetData sheetId="2">
        <row r="1">
          <cell r="C1" t="str">
            <v>回答日時orCVしたメルマガ配信日時</v>
          </cell>
          <cell r="H1" t="str">
            <v>流入チャネル</v>
          </cell>
          <cell r="R1" t="str">
            <v>SAL（商談したい）</v>
          </cell>
          <cell r="S1" t="str">
            <v>SQL（商談した、案件化した）</v>
          </cell>
          <cell r="T1" t="str">
            <v>受注</v>
          </cell>
        </row>
        <row r="2">
          <cell r="C2">
            <v>45339.870833333334</v>
          </cell>
          <cell r="H2" t="str">
            <v>mail</v>
          </cell>
          <cell r="R2">
            <v>45689</v>
          </cell>
          <cell r="S2">
            <v>45778</v>
          </cell>
        </row>
        <row r="3">
          <cell r="C3">
            <v>45414.372916666667</v>
          </cell>
          <cell r="H3" t="str">
            <v>mail</v>
          </cell>
          <cell r="R3">
            <v>45413</v>
          </cell>
          <cell r="S3">
            <v>45413</v>
          </cell>
        </row>
        <row r="4">
          <cell r="C4">
            <v>45453.609722222223</v>
          </cell>
          <cell r="H4" t="str">
            <v>column</v>
          </cell>
        </row>
        <row r="5">
          <cell r="C5">
            <v>45464.479861111111</v>
          </cell>
          <cell r="H5" t="str">
            <v>mail</v>
          </cell>
        </row>
        <row r="6">
          <cell r="C6">
            <v>45489.433333333334</v>
          </cell>
          <cell r="H6" t="str">
            <v>mail</v>
          </cell>
        </row>
        <row r="7">
          <cell r="C7">
            <v>45505.75</v>
          </cell>
          <cell r="H7" t="str">
            <v>mail</v>
          </cell>
        </row>
        <row r="8">
          <cell r="C8">
            <v>45523.727083333331</v>
          </cell>
          <cell r="H8" t="str">
            <v>direct</v>
          </cell>
        </row>
        <row r="9">
          <cell r="C9">
            <v>45531.496527777781</v>
          </cell>
          <cell r="H9" t="str">
            <v>organic</v>
          </cell>
        </row>
        <row r="10">
          <cell r="C10">
            <v>45537.675000000003</v>
          </cell>
          <cell r="H10" t="str">
            <v>mail</v>
          </cell>
        </row>
        <row r="11">
          <cell r="C11">
            <v>45539.902777777781</v>
          </cell>
          <cell r="H11" t="str">
            <v>direct</v>
          </cell>
        </row>
        <row r="12">
          <cell r="C12">
            <v>45552.394444444442</v>
          </cell>
          <cell r="H12" t="str">
            <v>organic</v>
          </cell>
        </row>
        <row r="13">
          <cell r="C13">
            <v>45559.416666666664</v>
          </cell>
          <cell r="H13" t="str">
            <v>mail</v>
          </cell>
        </row>
        <row r="14">
          <cell r="C14">
            <v>45559.416666666664</v>
          </cell>
          <cell r="H14" t="str">
            <v>mail</v>
          </cell>
        </row>
        <row r="15">
          <cell r="C15">
            <v>45559.416666666664</v>
          </cell>
          <cell r="H15" t="str">
            <v>mail</v>
          </cell>
        </row>
        <row r="16">
          <cell r="C16">
            <v>45559.416666666664</v>
          </cell>
          <cell r="H16" t="str">
            <v>mail</v>
          </cell>
        </row>
        <row r="17">
          <cell r="C17">
            <v>45559.416666666664</v>
          </cell>
          <cell r="H17" t="str">
            <v>mail</v>
          </cell>
        </row>
        <row r="18">
          <cell r="C18">
            <v>45559.416666666664</v>
          </cell>
          <cell r="H18" t="str">
            <v>mail</v>
          </cell>
        </row>
        <row r="19">
          <cell r="C19">
            <v>45559.416666666664</v>
          </cell>
          <cell r="H19" t="str">
            <v>mail</v>
          </cell>
        </row>
        <row r="20">
          <cell r="C20">
            <v>45559.416666666664</v>
          </cell>
          <cell r="H20" t="str">
            <v>mail</v>
          </cell>
        </row>
        <row r="21">
          <cell r="C21">
            <v>45559.416666666664</v>
          </cell>
          <cell r="H21" t="str">
            <v>mail</v>
          </cell>
        </row>
        <row r="22">
          <cell r="C22">
            <v>45559.416666666664</v>
          </cell>
          <cell r="H22" t="str">
            <v>mail</v>
          </cell>
        </row>
        <row r="23">
          <cell r="C23">
            <v>45559.416666666664</v>
          </cell>
          <cell r="H23" t="str">
            <v>mail</v>
          </cell>
        </row>
        <row r="24">
          <cell r="C24">
            <v>45559.416666666664</v>
          </cell>
          <cell r="H24" t="str">
            <v>mail</v>
          </cell>
          <cell r="R24">
            <v>45536</v>
          </cell>
          <cell r="S24">
            <v>45627</v>
          </cell>
          <cell r="T24">
            <v>45962</v>
          </cell>
        </row>
        <row r="25">
          <cell r="C25">
            <v>45563.581944444442</v>
          </cell>
          <cell r="H25" t="str">
            <v>link</v>
          </cell>
        </row>
        <row r="26">
          <cell r="C26">
            <v>45565.612500000003</v>
          </cell>
          <cell r="H26" t="str">
            <v>listing</v>
          </cell>
        </row>
        <row r="27">
          <cell r="C27">
            <v>45568.60833333333</v>
          </cell>
          <cell r="H27" t="str">
            <v>link</v>
          </cell>
        </row>
        <row r="28">
          <cell r="C28">
            <v>45569.381249999999</v>
          </cell>
          <cell r="H28" t="str">
            <v>listing</v>
          </cell>
        </row>
        <row r="29">
          <cell r="C29">
            <v>45572.729166666664</v>
          </cell>
          <cell r="H29" t="str">
            <v>link</v>
          </cell>
        </row>
        <row r="30">
          <cell r="C30">
            <v>45573.416666666664</v>
          </cell>
          <cell r="H30" t="str">
            <v>mail</v>
          </cell>
        </row>
        <row r="31">
          <cell r="C31">
            <v>45574.729166666664</v>
          </cell>
          <cell r="H31" t="str">
            <v>listing</v>
          </cell>
        </row>
        <row r="32">
          <cell r="C32">
            <v>45575.415277777778</v>
          </cell>
          <cell r="H32" t="str">
            <v>listing</v>
          </cell>
        </row>
        <row r="33">
          <cell r="C33">
            <v>45575.417361111111</v>
          </cell>
          <cell r="H33" t="str">
            <v>listing</v>
          </cell>
        </row>
        <row r="34">
          <cell r="C34">
            <v>45575.614583333336</v>
          </cell>
          <cell r="H34" t="str">
            <v>listing</v>
          </cell>
        </row>
        <row r="35">
          <cell r="C35">
            <v>45580.693749999999</v>
          </cell>
          <cell r="H35" t="str">
            <v>listing</v>
          </cell>
        </row>
        <row r="36">
          <cell r="C36">
            <v>45586.62222222222</v>
          </cell>
          <cell r="H36" t="str">
            <v>direct</v>
          </cell>
        </row>
        <row r="37">
          <cell r="C37">
            <v>45587.416666666664</v>
          </cell>
          <cell r="H37" t="str">
            <v>mail</v>
          </cell>
        </row>
        <row r="38">
          <cell r="C38">
            <v>45589.668749999997</v>
          </cell>
          <cell r="H38" t="str">
            <v>link</v>
          </cell>
        </row>
        <row r="39">
          <cell r="C39">
            <v>45593.739583333336</v>
          </cell>
          <cell r="H39" t="str">
            <v>listing</v>
          </cell>
        </row>
        <row r="40">
          <cell r="C40">
            <v>45595.481944444444</v>
          </cell>
          <cell r="H40" t="str">
            <v>listing</v>
          </cell>
        </row>
        <row r="41">
          <cell r="C41">
            <v>45599.488194444442</v>
          </cell>
          <cell r="H41" t="str">
            <v>organic</v>
          </cell>
        </row>
        <row r="42">
          <cell r="C42">
            <v>45601.542361111111</v>
          </cell>
          <cell r="H42" t="str">
            <v>listing</v>
          </cell>
        </row>
        <row r="43">
          <cell r="C43">
            <v>45602.416666666664</v>
          </cell>
          <cell r="H43" t="str">
            <v>mail</v>
          </cell>
        </row>
        <row r="44">
          <cell r="C44">
            <v>45604.388888888891</v>
          </cell>
          <cell r="H44" t="str">
            <v>link</v>
          </cell>
        </row>
        <row r="45">
          <cell r="C45">
            <v>45610.740277777775</v>
          </cell>
          <cell r="H45" t="str">
            <v>listing</v>
          </cell>
        </row>
        <row r="46">
          <cell r="C46">
            <v>45611.451388888891</v>
          </cell>
          <cell r="H46" t="str">
            <v>organic</v>
          </cell>
        </row>
        <row r="47">
          <cell r="C47">
            <v>45611.458333333336</v>
          </cell>
          <cell r="H47" t="str">
            <v>listing</v>
          </cell>
        </row>
        <row r="48">
          <cell r="C48">
            <v>45614.200694444444</v>
          </cell>
          <cell r="H48" t="str">
            <v>direct</v>
          </cell>
        </row>
        <row r="49">
          <cell r="C49">
            <v>45614.67291666667</v>
          </cell>
          <cell r="H49" t="str">
            <v>listing</v>
          </cell>
        </row>
        <row r="50">
          <cell r="C50">
            <v>45615.421527777777</v>
          </cell>
          <cell r="H50" t="str">
            <v>link</v>
          </cell>
        </row>
        <row r="51">
          <cell r="C51">
            <v>45616.539583333331</v>
          </cell>
          <cell r="H51" t="str">
            <v>listing</v>
          </cell>
        </row>
        <row r="52">
          <cell r="C52">
            <v>45621.416666666664</v>
          </cell>
          <cell r="H52" t="str">
            <v>mail</v>
          </cell>
        </row>
        <row r="53">
          <cell r="C53">
            <v>45621.416666666664</v>
          </cell>
          <cell r="H53" t="str">
            <v>mail</v>
          </cell>
        </row>
        <row r="54">
          <cell r="C54">
            <v>45622.6</v>
          </cell>
          <cell r="H54" t="str">
            <v>listing</v>
          </cell>
        </row>
        <row r="55">
          <cell r="C55">
            <v>45623.479861111111</v>
          </cell>
          <cell r="H55" t="str">
            <v>listing</v>
          </cell>
        </row>
        <row r="56">
          <cell r="C56">
            <v>45625.604861111111</v>
          </cell>
          <cell r="H56" t="str">
            <v>link</v>
          </cell>
        </row>
        <row r="57">
          <cell r="C57">
            <v>45631.698611111111</v>
          </cell>
          <cell r="H57" t="str">
            <v>listing</v>
          </cell>
        </row>
        <row r="58">
          <cell r="C58">
            <v>45635.416666666664</v>
          </cell>
          <cell r="H58" t="str">
            <v>mail</v>
          </cell>
          <cell r="R58">
            <v>45627</v>
          </cell>
        </row>
        <row r="59">
          <cell r="C59">
            <v>45635.679861111108</v>
          </cell>
          <cell r="H59" t="str">
            <v>listing</v>
          </cell>
        </row>
        <row r="60">
          <cell r="C60">
            <v>45636.745833333334</v>
          </cell>
          <cell r="H60" t="str">
            <v>listing</v>
          </cell>
        </row>
        <row r="61">
          <cell r="C61">
            <v>45637.02847222222</v>
          </cell>
          <cell r="H61" t="str">
            <v>organic</v>
          </cell>
        </row>
        <row r="62">
          <cell r="C62">
            <v>45639.413194444445</v>
          </cell>
          <cell r="H62" t="str">
            <v>listing</v>
          </cell>
        </row>
        <row r="63">
          <cell r="C63">
            <v>45639.462500000001</v>
          </cell>
          <cell r="H63" t="str">
            <v>listing</v>
          </cell>
          <cell r="R63">
            <v>45627</v>
          </cell>
          <cell r="S63">
            <v>45627</v>
          </cell>
        </row>
        <row r="64">
          <cell r="C64">
            <v>45642.396527777775</v>
          </cell>
          <cell r="H64" t="str">
            <v>column</v>
          </cell>
        </row>
        <row r="65">
          <cell r="C65">
            <v>45646.482638888891</v>
          </cell>
          <cell r="H65" t="str">
            <v>listing</v>
          </cell>
        </row>
        <row r="66">
          <cell r="C66">
            <v>45650.363194444442</v>
          </cell>
          <cell r="H66" t="str">
            <v>organic</v>
          </cell>
        </row>
        <row r="67">
          <cell r="C67">
            <v>45650.416666666664</v>
          </cell>
          <cell r="H67" t="str">
            <v>mail</v>
          </cell>
        </row>
        <row r="68">
          <cell r="C68">
            <v>45650.416666666664</v>
          </cell>
          <cell r="H68" t="str">
            <v>mail</v>
          </cell>
        </row>
        <row r="69">
          <cell r="C69">
            <v>45650.416666666664</v>
          </cell>
          <cell r="H69" t="str">
            <v>mail</v>
          </cell>
        </row>
        <row r="70">
          <cell r="C70">
            <v>45650.416666666664</v>
          </cell>
          <cell r="H70" t="str">
            <v>mail</v>
          </cell>
        </row>
        <row r="71">
          <cell r="C71">
            <v>45650.416666666664</v>
          </cell>
          <cell r="H71" t="str">
            <v>mail</v>
          </cell>
        </row>
        <row r="72">
          <cell r="C72">
            <v>45650.416666666664</v>
          </cell>
          <cell r="H72" t="str">
            <v>mail</v>
          </cell>
        </row>
        <row r="73">
          <cell r="C73">
            <v>45650.416666666664</v>
          </cell>
          <cell r="H73" t="str">
            <v>mail</v>
          </cell>
        </row>
        <row r="74">
          <cell r="C74">
            <v>45650.416666666664</v>
          </cell>
          <cell r="H74" t="str">
            <v>mail</v>
          </cell>
        </row>
        <row r="75">
          <cell r="C75">
            <v>45650.416666666664</v>
          </cell>
          <cell r="H75" t="str">
            <v>mail</v>
          </cell>
        </row>
        <row r="76">
          <cell r="C76">
            <v>45650.75</v>
          </cell>
          <cell r="H76" t="str">
            <v>link</v>
          </cell>
        </row>
        <row r="77">
          <cell r="C77">
            <v>45664.416666666664</v>
          </cell>
          <cell r="H77" t="str">
            <v>mail</v>
          </cell>
        </row>
        <row r="78">
          <cell r="C78">
            <v>45664.416666666664</v>
          </cell>
          <cell r="H78" t="str">
            <v>mail</v>
          </cell>
        </row>
        <row r="79">
          <cell r="C79">
            <v>45664.416666666664</v>
          </cell>
          <cell r="H79" t="str">
            <v>mail</v>
          </cell>
        </row>
        <row r="80">
          <cell r="C80">
            <v>45664.416666666664</v>
          </cell>
          <cell r="H80" t="str">
            <v>mail</v>
          </cell>
        </row>
        <row r="81">
          <cell r="C81">
            <v>45664.416666666664</v>
          </cell>
          <cell r="H81" t="str">
            <v>mail</v>
          </cell>
        </row>
        <row r="82">
          <cell r="C82">
            <v>45664.416666666664</v>
          </cell>
          <cell r="H82" t="str">
            <v>mail</v>
          </cell>
        </row>
        <row r="83">
          <cell r="C83">
            <v>45664.632638888892</v>
          </cell>
          <cell r="H83" t="str">
            <v>listing</v>
          </cell>
        </row>
        <row r="84">
          <cell r="C84">
            <v>45671.395833333336</v>
          </cell>
          <cell r="H84" t="str">
            <v>organic</v>
          </cell>
          <cell r="R84">
            <v>45658</v>
          </cell>
          <cell r="S84">
            <v>45717</v>
          </cell>
        </row>
        <row r="85">
          <cell r="C85">
            <v>45676.804166666669</v>
          </cell>
          <cell r="H85" t="str">
            <v>link</v>
          </cell>
        </row>
        <row r="86">
          <cell r="C86">
            <v>45677.416666666664</v>
          </cell>
          <cell r="H86" t="str">
            <v>mail</v>
          </cell>
        </row>
        <row r="87">
          <cell r="C87">
            <v>45677.416666666664</v>
          </cell>
          <cell r="H87" t="str">
            <v>mail</v>
          </cell>
        </row>
        <row r="88">
          <cell r="C88">
            <v>45677.416666666664</v>
          </cell>
          <cell r="H88" t="str">
            <v>mail</v>
          </cell>
        </row>
        <row r="89">
          <cell r="C89">
            <v>45679.706250000003</v>
          </cell>
          <cell r="H89" t="str">
            <v>link</v>
          </cell>
        </row>
        <row r="90">
          <cell r="C90">
            <v>45685.594444444447</v>
          </cell>
          <cell r="H90" t="str">
            <v>direct</v>
          </cell>
        </row>
        <row r="91">
          <cell r="C91">
            <v>45686.447222222225</v>
          </cell>
          <cell r="H91" t="str">
            <v>organic</v>
          </cell>
        </row>
        <row r="92">
          <cell r="C92">
            <v>45688.467361111114</v>
          </cell>
          <cell r="H92" t="str">
            <v>listing</v>
          </cell>
        </row>
        <row r="93">
          <cell r="C93">
            <v>45688.533333333333</v>
          </cell>
          <cell r="H93" t="str">
            <v>listing</v>
          </cell>
        </row>
        <row r="94">
          <cell r="C94">
            <v>45691.479166666664</v>
          </cell>
          <cell r="H94" t="str">
            <v>listing</v>
          </cell>
        </row>
        <row r="95">
          <cell r="C95">
            <v>45692.459722222222</v>
          </cell>
          <cell r="H95" t="str">
            <v>organic</v>
          </cell>
        </row>
        <row r="96">
          <cell r="C96">
            <v>45709.542361111111</v>
          </cell>
          <cell r="H96" t="str">
            <v>link</v>
          </cell>
        </row>
        <row r="97">
          <cell r="C97">
            <v>45713.416666666664</v>
          </cell>
          <cell r="H97" t="str">
            <v>mail</v>
          </cell>
        </row>
        <row r="98">
          <cell r="C98">
            <v>45714.415277777778</v>
          </cell>
          <cell r="H98" t="str">
            <v>listing</v>
          </cell>
          <cell r="R98">
            <v>45689</v>
          </cell>
          <cell r="S98">
            <v>45717</v>
          </cell>
        </row>
        <row r="99">
          <cell r="C99">
            <v>45716.497916666667</v>
          </cell>
          <cell r="H99" t="str">
            <v>listing</v>
          </cell>
        </row>
        <row r="100">
          <cell r="C100">
            <v>45722.620833333334</v>
          </cell>
          <cell r="H100" t="str">
            <v>direct</v>
          </cell>
        </row>
        <row r="101">
          <cell r="C101">
            <v>45722.711805555555</v>
          </cell>
          <cell r="H101" t="str">
            <v>listing</v>
          </cell>
        </row>
        <row r="102">
          <cell r="C102">
            <v>45725.496527777781</v>
          </cell>
          <cell r="H102" t="str">
            <v>link</v>
          </cell>
        </row>
        <row r="103">
          <cell r="C103">
            <v>45726.669444444444</v>
          </cell>
          <cell r="H103" t="str">
            <v>direct</v>
          </cell>
        </row>
        <row r="104">
          <cell r="C104">
            <v>45727.427083333336</v>
          </cell>
          <cell r="H104" t="str">
            <v>listing</v>
          </cell>
        </row>
        <row r="105">
          <cell r="C105">
            <v>45728.463194444441</v>
          </cell>
          <cell r="H105" t="str">
            <v>listing</v>
          </cell>
        </row>
        <row r="106">
          <cell r="C106">
            <v>45728.479861111111</v>
          </cell>
          <cell r="H106" t="str">
            <v>mail</v>
          </cell>
        </row>
        <row r="107">
          <cell r="C107">
            <v>45730.578472222223</v>
          </cell>
          <cell r="H107" t="str">
            <v>direct</v>
          </cell>
        </row>
        <row r="108">
          <cell r="C108">
            <v>45734.416666666664</v>
          </cell>
          <cell r="H108" t="str">
            <v>mail</v>
          </cell>
        </row>
        <row r="109">
          <cell r="C109">
            <v>45734.416666666664</v>
          </cell>
          <cell r="H109" t="str">
            <v>mail</v>
          </cell>
        </row>
        <row r="110">
          <cell r="C110">
            <v>45734.416666666664</v>
          </cell>
          <cell r="H110" t="str">
            <v>mail</v>
          </cell>
        </row>
        <row r="111">
          <cell r="C111">
            <v>45734.756249999999</v>
          </cell>
          <cell r="H111" t="str">
            <v>organic</v>
          </cell>
        </row>
        <row r="112">
          <cell r="C112">
            <v>45736.370138888888</v>
          </cell>
          <cell r="H112" t="str">
            <v>listing</v>
          </cell>
        </row>
        <row r="113">
          <cell r="C113">
            <v>45737.435416666667</v>
          </cell>
          <cell r="H113" t="str">
            <v>link</v>
          </cell>
        </row>
        <row r="114">
          <cell r="C114">
            <v>45739.579861111109</v>
          </cell>
          <cell r="H114" t="str">
            <v>others</v>
          </cell>
        </row>
        <row r="115">
          <cell r="C115">
            <v>45740.518750000003</v>
          </cell>
          <cell r="H115" t="str">
            <v>organic</v>
          </cell>
        </row>
        <row r="116">
          <cell r="C116">
            <v>45743.538194444445</v>
          </cell>
          <cell r="H116" t="str">
            <v>link</v>
          </cell>
        </row>
        <row r="117">
          <cell r="C117">
            <v>45745.70416666667</v>
          </cell>
          <cell r="H117" t="str">
            <v>others</v>
          </cell>
        </row>
        <row r="118">
          <cell r="C118">
            <v>45746.890277777777</v>
          </cell>
          <cell r="H118" t="str">
            <v>column</v>
          </cell>
        </row>
        <row r="119">
          <cell r="C119">
            <v>45747.395138888889</v>
          </cell>
          <cell r="H119" t="str">
            <v>organic</v>
          </cell>
        </row>
        <row r="120">
          <cell r="C120">
            <v>45748.416666666664</v>
          </cell>
          <cell r="H120" t="str">
            <v>mail</v>
          </cell>
        </row>
        <row r="121">
          <cell r="C121">
            <v>45748.416666666664</v>
          </cell>
          <cell r="H121" t="str">
            <v>mail</v>
          </cell>
        </row>
        <row r="122">
          <cell r="C122">
            <v>45749.722222222219</v>
          </cell>
          <cell r="H122" t="str">
            <v>listing</v>
          </cell>
        </row>
        <row r="123">
          <cell r="C123">
            <v>45750.412499999999</v>
          </cell>
          <cell r="H123" t="str">
            <v>column</v>
          </cell>
          <cell r="R123">
            <v>45748</v>
          </cell>
          <cell r="S123">
            <v>45748</v>
          </cell>
        </row>
        <row r="124">
          <cell r="C124">
            <v>45751.365277777775</v>
          </cell>
          <cell r="H124" t="str">
            <v>organic</v>
          </cell>
        </row>
        <row r="125">
          <cell r="C125">
            <v>45751.719444444447</v>
          </cell>
          <cell r="H125" t="str">
            <v>organic</v>
          </cell>
          <cell r="R125">
            <v>45748</v>
          </cell>
        </row>
        <row r="126">
          <cell r="C126">
            <v>45755.356944444444</v>
          </cell>
          <cell r="H126" t="str">
            <v>column</v>
          </cell>
        </row>
        <row r="127">
          <cell r="C127">
            <v>45756.751388888886</v>
          </cell>
          <cell r="H127" t="str">
            <v>listing</v>
          </cell>
        </row>
        <row r="128">
          <cell r="C128">
            <v>45757.757638888892</v>
          </cell>
          <cell r="H128" t="str">
            <v>organic</v>
          </cell>
        </row>
        <row r="129">
          <cell r="C129">
            <v>45759.443055555559</v>
          </cell>
          <cell r="H129" t="str">
            <v>others</v>
          </cell>
        </row>
        <row r="130">
          <cell r="C130">
            <v>45760.36041666667</v>
          </cell>
          <cell r="H130" t="str">
            <v>organic</v>
          </cell>
        </row>
        <row r="131">
          <cell r="C131">
            <v>45761.416666666664</v>
          </cell>
          <cell r="H131" t="str">
            <v>mail</v>
          </cell>
          <cell r="R131">
            <v>45748</v>
          </cell>
          <cell r="S131">
            <v>45748</v>
          </cell>
        </row>
        <row r="132">
          <cell r="C132">
            <v>45761.79583333333</v>
          </cell>
          <cell r="H132" t="str">
            <v>organic</v>
          </cell>
        </row>
        <row r="133">
          <cell r="C133">
            <v>45762.463194444441</v>
          </cell>
          <cell r="H133" t="str">
            <v>listing</v>
          </cell>
        </row>
        <row r="134">
          <cell r="C134">
            <v>45762.709027777775</v>
          </cell>
          <cell r="H134" t="str">
            <v>column</v>
          </cell>
        </row>
        <row r="135">
          <cell r="C135">
            <v>45763.749305555553</v>
          </cell>
          <cell r="H135" t="str">
            <v>listing</v>
          </cell>
        </row>
        <row r="136">
          <cell r="C136">
            <v>45764.55</v>
          </cell>
          <cell r="H136" t="str">
            <v>organic</v>
          </cell>
        </row>
        <row r="137">
          <cell r="C137">
            <v>45765.42291666667</v>
          </cell>
          <cell r="H137" t="str">
            <v>organic</v>
          </cell>
        </row>
        <row r="138">
          <cell r="C138">
            <v>45768.411111111112</v>
          </cell>
          <cell r="H138" t="str">
            <v>listing</v>
          </cell>
        </row>
        <row r="139">
          <cell r="C139">
            <v>45768.621527777781</v>
          </cell>
          <cell r="H139" t="str">
            <v>link</v>
          </cell>
        </row>
        <row r="140">
          <cell r="C140">
            <v>45769.497916666667</v>
          </cell>
          <cell r="H140" t="str">
            <v>listing</v>
          </cell>
          <cell r="R140">
            <v>45748</v>
          </cell>
        </row>
        <row r="141">
          <cell r="C141">
            <v>45771.632638888892</v>
          </cell>
          <cell r="H141" t="str">
            <v>listing</v>
          </cell>
          <cell r="R141">
            <v>45509</v>
          </cell>
          <cell r="S141">
            <v>45566</v>
          </cell>
          <cell r="T141">
            <v>45931</v>
          </cell>
        </row>
        <row r="142">
          <cell r="C142">
            <v>45772.671527777777</v>
          </cell>
          <cell r="H142" t="str">
            <v>link</v>
          </cell>
          <cell r="R142">
            <v>45748</v>
          </cell>
          <cell r="S142">
            <v>45748</v>
          </cell>
        </row>
        <row r="143">
          <cell r="C143">
            <v>45772.677777777775</v>
          </cell>
          <cell r="H143" t="str">
            <v>link</v>
          </cell>
          <cell r="R143">
            <v>45748</v>
          </cell>
          <cell r="S143">
            <v>45748</v>
          </cell>
        </row>
        <row r="144">
          <cell r="C144">
            <v>45776.804166666669</v>
          </cell>
          <cell r="H144" t="str">
            <v>others</v>
          </cell>
        </row>
        <row r="145">
          <cell r="C145">
            <v>45777.380555555559</v>
          </cell>
          <cell r="H145" t="str">
            <v>organic</v>
          </cell>
        </row>
        <row r="146">
          <cell r="C146">
            <v>45778.888194444444</v>
          </cell>
          <cell r="H146" t="str">
            <v>case</v>
          </cell>
        </row>
        <row r="147">
          <cell r="C147">
            <v>45778.916666666664</v>
          </cell>
          <cell r="H147" t="str">
            <v>case</v>
          </cell>
        </row>
        <row r="148">
          <cell r="C148">
            <v>45785.416666666664</v>
          </cell>
          <cell r="H148" t="str">
            <v>mail</v>
          </cell>
        </row>
        <row r="149">
          <cell r="C149">
            <v>45785.416666666664</v>
          </cell>
          <cell r="H149" t="str">
            <v>mail</v>
          </cell>
        </row>
        <row r="150">
          <cell r="C150">
            <v>45785.416666666664</v>
          </cell>
          <cell r="H150" t="str">
            <v>mail</v>
          </cell>
        </row>
        <row r="151">
          <cell r="C151">
            <v>45785.416666666664</v>
          </cell>
          <cell r="H151" t="str">
            <v>mail</v>
          </cell>
        </row>
        <row r="152">
          <cell r="C152">
            <v>45785.416666666664</v>
          </cell>
          <cell r="H152" t="str">
            <v>mail</v>
          </cell>
        </row>
        <row r="153">
          <cell r="C153">
            <v>45785.416666666664</v>
          </cell>
          <cell r="H153" t="str">
            <v>mail</v>
          </cell>
        </row>
        <row r="154">
          <cell r="C154">
            <v>45785.416666666664</v>
          </cell>
          <cell r="H154" t="str">
            <v>mail</v>
          </cell>
          <cell r="R154">
            <v>45778</v>
          </cell>
          <cell r="S154">
            <v>45778</v>
          </cell>
        </row>
        <row r="155">
          <cell r="C155">
            <v>45787.143055555556</v>
          </cell>
          <cell r="H155" t="str">
            <v>direct</v>
          </cell>
        </row>
        <row r="156">
          <cell r="C156">
            <v>45788.367361111108</v>
          </cell>
          <cell r="H156" t="str">
            <v>column</v>
          </cell>
        </row>
        <row r="157">
          <cell r="C157">
            <v>45789.743750000001</v>
          </cell>
          <cell r="H157" t="str">
            <v>column</v>
          </cell>
        </row>
        <row r="158">
          <cell r="C158">
            <v>45792.736805555556</v>
          </cell>
          <cell r="H158" t="str">
            <v>listing</v>
          </cell>
          <cell r="R158">
            <v>45778</v>
          </cell>
          <cell r="S158">
            <v>45778</v>
          </cell>
        </row>
        <row r="159">
          <cell r="C159">
            <v>45793.571527777778</v>
          </cell>
          <cell r="H159" t="str">
            <v>listing</v>
          </cell>
        </row>
        <row r="160">
          <cell r="C160">
            <v>45796.274305555555</v>
          </cell>
          <cell r="H160" t="str">
            <v>organic</v>
          </cell>
        </row>
        <row r="161">
          <cell r="C161">
            <v>45796.540972222225</v>
          </cell>
          <cell r="H161" t="str">
            <v>listing</v>
          </cell>
        </row>
        <row r="162">
          <cell r="C162">
            <v>45797.749305555553</v>
          </cell>
          <cell r="H162" t="str">
            <v>organic</v>
          </cell>
        </row>
        <row r="163">
          <cell r="C163">
            <v>45798.658333333333</v>
          </cell>
          <cell r="H163" t="str">
            <v>listing</v>
          </cell>
        </row>
        <row r="164">
          <cell r="C164">
            <v>45799.412499999999</v>
          </cell>
          <cell r="H164" t="str">
            <v>listing</v>
          </cell>
        </row>
        <row r="165">
          <cell r="C165">
            <v>45804.350694444445</v>
          </cell>
          <cell r="H165" t="str">
            <v>others</v>
          </cell>
          <cell r="R165">
            <v>45778</v>
          </cell>
          <cell r="S165">
            <v>45778</v>
          </cell>
        </row>
        <row r="166">
          <cell r="C166">
            <v>45804.632638888892</v>
          </cell>
          <cell r="H166" t="str">
            <v>listing</v>
          </cell>
        </row>
        <row r="167">
          <cell r="C167">
            <v>45805.456944444442</v>
          </cell>
          <cell r="H167" t="str">
            <v>link</v>
          </cell>
          <cell r="R167">
            <v>45778</v>
          </cell>
          <cell r="S167">
            <v>45809</v>
          </cell>
        </row>
        <row r="168">
          <cell r="C168">
            <v>45805.701388888891</v>
          </cell>
          <cell r="H168" t="str">
            <v>listing</v>
          </cell>
        </row>
        <row r="169">
          <cell r="C169">
            <v>45806.520833333336</v>
          </cell>
          <cell r="H169" t="str">
            <v>mail</v>
          </cell>
        </row>
        <row r="170">
          <cell r="C170">
            <v>45806.520833333336</v>
          </cell>
          <cell r="H170" t="str">
            <v>mail</v>
          </cell>
        </row>
        <row r="171">
          <cell r="C171">
            <v>45806.520833333336</v>
          </cell>
          <cell r="H171" t="str">
            <v>mail</v>
          </cell>
        </row>
        <row r="172">
          <cell r="C172">
            <v>45806.520833333336</v>
          </cell>
          <cell r="H172" t="str">
            <v>mail</v>
          </cell>
        </row>
        <row r="173">
          <cell r="C173">
            <v>45806.520833333336</v>
          </cell>
          <cell r="H173" t="str">
            <v>mail</v>
          </cell>
        </row>
        <row r="174">
          <cell r="C174">
            <v>45806.520833333336</v>
          </cell>
          <cell r="H174" t="str">
            <v>mail</v>
          </cell>
        </row>
        <row r="175">
          <cell r="C175">
            <v>45806.520833333336</v>
          </cell>
          <cell r="H175" t="str">
            <v>mail</v>
          </cell>
        </row>
        <row r="176">
          <cell r="C176">
            <v>45806.520833333336</v>
          </cell>
          <cell r="H176" t="str">
            <v>mail</v>
          </cell>
        </row>
        <row r="177">
          <cell r="C177">
            <v>45806.520833333336</v>
          </cell>
          <cell r="H177" t="str">
            <v>mail</v>
          </cell>
        </row>
        <row r="178">
          <cell r="C178">
            <v>45806.520833333336</v>
          </cell>
          <cell r="H178" t="str">
            <v>mail</v>
          </cell>
          <cell r="R178">
            <v>45778</v>
          </cell>
        </row>
        <row r="179">
          <cell r="C179">
            <v>45811.1</v>
          </cell>
          <cell r="H179" t="str">
            <v>organic</v>
          </cell>
        </row>
        <row r="180">
          <cell r="C180">
            <v>45811.656944444447</v>
          </cell>
          <cell r="H180" t="str">
            <v>listing</v>
          </cell>
        </row>
        <row r="181">
          <cell r="C181">
            <v>45811.838888888888</v>
          </cell>
          <cell r="H181" t="str">
            <v>column</v>
          </cell>
          <cell r="R181">
            <v>45809</v>
          </cell>
          <cell r="S181">
            <v>45809</v>
          </cell>
        </row>
        <row r="182">
          <cell r="C182">
            <v>45816.927777777775</v>
          </cell>
          <cell r="H182" t="str">
            <v>link</v>
          </cell>
        </row>
        <row r="183">
          <cell r="C183">
            <v>45819.388888888891</v>
          </cell>
          <cell r="H183" t="str">
            <v>link</v>
          </cell>
        </row>
        <row r="184">
          <cell r="C184">
            <v>45819.956944444442</v>
          </cell>
          <cell r="H184" t="str">
            <v>others</v>
          </cell>
        </row>
        <row r="185">
          <cell r="C185">
            <v>45820.036805555559</v>
          </cell>
          <cell r="H185" t="str">
            <v>others</v>
          </cell>
        </row>
        <row r="186">
          <cell r="C186">
            <v>45820.533333333333</v>
          </cell>
          <cell r="H186" t="str">
            <v>listing</v>
          </cell>
        </row>
        <row r="187">
          <cell r="C187">
            <v>45820.716666666667</v>
          </cell>
          <cell r="H187" t="str">
            <v>link</v>
          </cell>
        </row>
        <row r="188">
          <cell r="C188">
            <v>45821.772222222222</v>
          </cell>
          <cell r="H188" t="str">
            <v>organic</v>
          </cell>
        </row>
        <row r="189">
          <cell r="C189">
            <v>45825.510416666664</v>
          </cell>
          <cell r="H189" t="str">
            <v>listing</v>
          </cell>
          <cell r="R189">
            <v>45809</v>
          </cell>
          <cell r="S189">
            <v>45853</v>
          </cell>
        </row>
        <row r="190">
          <cell r="C190">
            <v>45827.777777777781</v>
          </cell>
          <cell r="H190" t="str">
            <v>organic</v>
          </cell>
          <cell r="R190">
            <v>45809</v>
          </cell>
        </row>
        <row r="191">
          <cell r="C191">
            <v>45831.518055555556</v>
          </cell>
          <cell r="H191" t="str">
            <v>listing</v>
          </cell>
          <cell r="R191">
            <v>45809</v>
          </cell>
          <cell r="S191">
            <v>45809</v>
          </cell>
          <cell r="T191">
            <v>45870</v>
          </cell>
        </row>
        <row r="192">
          <cell r="C192">
            <v>45832.571527777778</v>
          </cell>
          <cell r="H192" t="str">
            <v>organic</v>
          </cell>
        </row>
        <row r="193">
          <cell r="C193">
            <v>45833.410416666666</v>
          </cell>
          <cell r="H193" t="str">
            <v>listing</v>
          </cell>
        </row>
        <row r="194">
          <cell r="C194">
            <v>45834.447222222225</v>
          </cell>
          <cell r="H194" t="str">
            <v>organic</v>
          </cell>
        </row>
        <row r="195">
          <cell r="C195">
            <v>45834.593055555553</v>
          </cell>
          <cell r="H195" t="str">
            <v>listing</v>
          </cell>
        </row>
        <row r="196">
          <cell r="C196">
            <v>45835.500694444447</v>
          </cell>
          <cell r="H196" t="str">
            <v>listing</v>
          </cell>
        </row>
        <row r="197">
          <cell r="C197">
            <v>45841.541666666664</v>
          </cell>
          <cell r="H197" t="str">
            <v>検索連動型広告</v>
          </cell>
        </row>
        <row r="198">
          <cell r="C198">
            <v>45846.458333333336</v>
          </cell>
          <cell r="H198" t="str">
            <v>検索連動型広告</v>
          </cell>
          <cell r="R198">
            <v>45839</v>
          </cell>
        </row>
        <row r="199">
          <cell r="C199">
            <v>45849.75</v>
          </cell>
          <cell r="H199" t="str">
            <v>検索連動型広告</v>
          </cell>
        </row>
        <row r="200">
          <cell r="C200">
            <v>45853.625</v>
          </cell>
          <cell r="H200" t="str">
            <v>オフラインソース</v>
          </cell>
        </row>
        <row r="201">
          <cell r="C201">
            <v>45854.416666666664</v>
          </cell>
          <cell r="H201" t="str">
            <v>listing</v>
          </cell>
          <cell r="R201">
            <v>45839</v>
          </cell>
        </row>
        <row r="202">
          <cell r="C202">
            <v>45854.604166666664</v>
          </cell>
          <cell r="H202" t="str">
            <v>mail</v>
          </cell>
        </row>
        <row r="203">
          <cell r="C203">
            <v>45854.75</v>
          </cell>
          <cell r="H203" t="str">
            <v>直接トラフィック</v>
          </cell>
        </row>
        <row r="204">
          <cell r="C204">
            <v>45855.958333333336</v>
          </cell>
          <cell r="H204" t="str">
            <v>他のキャンペーン</v>
          </cell>
        </row>
        <row r="205">
          <cell r="C205">
            <v>45855.958333333336</v>
          </cell>
          <cell r="H205" t="str">
            <v>直接トラフィック</v>
          </cell>
        </row>
        <row r="206">
          <cell r="C206">
            <v>45856.333333333336</v>
          </cell>
          <cell r="H206" t="str">
            <v>他のキャンペーン</v>
          </cell>
        </row>
        <row r="207">
          <cell r="C207">
            <v>45856.833333333336</v>
          </cell>
          <cell r="H207" t="str">
            <v>直接トラフィック</v>
          </cell>
        </row>
        <row r="208">
          <cell r="C208">
            <v>45858.291666666664</v>
          </cell>
          <cell r="H208" t="str">
            <v>直接トラフィック</v>
          </cell>
        </row>
        <row r="209">
          <cell r="C209">
            <v>45859.583333333336</v>
          </cell>
          <cell r="H209" t="str">
            <v>他のキャンペーン</v>
          </cell>
          <cell r="R209">
            <v>45839</v>
          </cell>
        </row>
        <row r="210">
          <cell r="C210">
            <v>45859.666666666664</v>
          </cell>
          <cell r="H210" t="str">
            <v>直接トラフィック</v>
          </cell>
        </row>
        <row r="211">
          <cell r="C211">
            <v>45860.42083333333</v>
          </cell>
          <cell r="H211" t="str">
            <v>mail</v>
          </cell>
        </row>
        <row r="212">
          <cell r="C212">
            <v>45860.431944444441</v>
          </cell>
          <cell r="H212" t="str">
            <v>mail</v>
          </cell>
        </row>
        <row r="213">
          <cell r="C213">
            <v>45860.434027777781</v>
          </cell>
          <cell r="H213" t="str">
            <v>mail</v>
          </cell>
          <cell r="R213">
            <v>45860.434027777781</v>
          </cell>
        </row>
        <row r="214">
          <cell r="C214">
            <v>45860.445833333331</v>
          </cell>
          <cell r="H214" t="str">
            <v>mail</v>
          </cell>
        </row>
        <row r="215">
          <cell r="C215">
            <v>45860.448611111111</v>
          </cell>
          <cell r="H215" t="str">
            <v>mail</v>
          </cell>
        </row>
        <row r="216">
          <cell r="C216">
            <v>45860.477083333331</v>
          </cell>
          <cell r="H216" t="str">
            <v>mail</v>
          </cell>
        </row>
        <row r="217">
          <cell r="C217">
            <v>45860.556944444441</v>
          </cell>
          <cell r="H217" t="str">
            <v>mail</v>
          </cell>
        </row>
        <row r="218">
          <cell r="C218">
            <v>45860.774305555555</v>
          </cell>
          <cell r="H218" t="str">
            <v>mail</v>
          </cell>
        </row>
        <row r="219">
          <cell r="C219">
            <v>45861.361111111109</v>
          </cell>
          <cell r="H219" t="str">
            <v>mail</v>
          </cell>
        </row>
        <row r="220">
          <cell r="C220">
            <v>45861.620138888888</v>
          </cell>
          <cell r="H220" t="str">
            <v>mail</v>
          </cell>
          <cell r="R220">
            <v>45861.620138888888</v>
          </cell>
        </row>
        <row r="221">
          <cell r="C221">
            <v>45861.625</v>
          </cell>
          <cell r="H221" t="str">
            <v>listing</v>
          </cell>
        </row>
        <row r="222">
          <cell r="C222">
            <v>45862.375</v>
          </cell>
          <cell r="H222" t="str">
            <v>listing</v>
          </cell>
        </row>
        <row r="223">
          <cell r="C223">
            <v>45862.416666666664</v>
          </cell>
          <cell r="H223" t="str">
            <v>listing</v>
          </cell>
        </row>
        <row r="224">
          <cell r="C224">
            <v>45862.416666666664</v>
          </cell>
          <cell r="H224" t="str">
            <v>直接トラフィック</v>
          </cell>
          <cell r="R224">
            <v>45839</v>
          </cell>
        </row>
        <row r="225">
          <cell r="C225">
            <v>45862.443749999999</v>
          </cell>
          <cell r="H225" t="str">
            <v>mail</v>
          </cell>
          <cell r="R225">
            <v>45862.443749999999</v>
          </cell>
        </row>
        <row r="226">
          <cell r="C226">
            <v>45862.541666666664</v>
          </cell>
          <cell r="H226" t="str">
            <v>listing</v>
          </cell>
        </row>
        <row r="227">
          <cell r="C227">
            <v>45865.333333333336</v>
          </cell>
          <cell r="H227" t="str">
            <v>オーガニック検索</v>
          </cell>
        </row>
        <row r="228">
          <cell r="C228">
            <v>45866.458333333336</v>
          </cell>
          <cell r="H228" t="str">
            <v>オーガニック検索</v>
          </cell>
        </row>
        <row r="229">
          <cell r="C229">
            <v>45868.458333333336</v>
          </cell>
          <cell r="H229" t="str">
            <v>listing</v>
          </cell>
        </row>
        <row r="230">
          <cell r="C230">
            <v>45868.5</v>
          </cell>
          <cell r="H230" t="str">
            <v>listing</v>
          </cell>
        </row>
        <row r="231">
          <cell r="C231">
            <v>45868.583333333336</v>
          </cell>
          <cell r="H231" t="str">
            <v>直接トラフィック</v>
          </cell>
        </row>
        <row r="232">
          <cell r="C232">
            <v>45869.51458333333</v>
          </cell>
          <cell r="H232" t="str">
            <v>mail</v>
          </cell>
        </row>
        <row r="233">
          <cell r="C233">
            <v>45869.51666666667</v>
          </cell>
          <cell r="H233" t="str">
            <v>mail</v>
          </cell>
        </row>
        <row r="234">
          <cell r="C234">
            <v>45869.53125</v>
          </cell>
          <cell r="H234" t="str">
            <v>mail</v>
          </cell>
        </row>
        <row r="235">
          <cell r="C235">
            <v>45869.534722222219</v>
          </cell>
          <cell r="H235" t="str">
            <v>mail</v>
          </cell>
        </row>
        <row r="236">
          <cell r="C236">
            <v>45869.543055555558</v>
          </cell>
          <cell r="H236" t="str">
            <v>mail</v>
          </cell>
        </row>
        <row r="237">
          <cell r="C237">
            <v>45869.552777777775</v>
          </cell>
          <cell r="H237" t="str">
            <v>mail</v>
          </cell>
        </row>
        <row r="238">
          <cell r="C238">
            <v>45869.572916666664</v>
          </cell>
          <cell r="H238" t="str">
            <v>mail</v>
          </cell>
        </row>
        <row r="239">
          <cell r="C239">
            <v>45869.584722222222</v>
          </cell>
          <cell r="H239" t="str">
            <v>mail</v>
          </cell>
        </row>
        <row r="240">
          <cell r="C240">
            <v>45869.588888888888</v>
          </cell>
          <cell r="H240" t="str">
            <v>mail</v>
          </cell>
        </row>
        <row r="241">
          <cell r="C241">
            <v>45869.604861111111</v>
          </cell>
          <cell r="H241" t="str">
            <v>mail</v>
          </cell>
        </row>
        <row r="242">
          <cell r="C242">
            <v>45869.625</v>
          </cell>
          <cell r="H242" t="str">
            <v>listing</v>
          </cell>
        </row>
        <row r="243">
          <cell r="C243">
            <v>45869.642361111109</v>
          </cell>
          <cell r="H243" t="str">
            <v>mail</v>
          </cell>
          <cell r="R243">
            <v>45869.642361111109</v>
          </cell>
        </row>
        <row r="244">
          <cell r="C244">
            <v>45869.644444444442</v>
          </cell>
          <cell r="H244" t="str">
            <v>mail</v>
          </cell>
          <cell r="R244">
            <v>45869.644444444442</v>
          </cell>
          <cell r="S244">
            <v>45870</v>
          </cell>
        </row>
        <row r="245">
          <cell r="C245">
            <v>45869.647222222222</v>
          </cell>
          <cell r="H245" t="str">
            <v>mail</v>
          </cell>
        </row>
        <row r="246">
          <cell r="C246">
            <v>45869.658333333333</v>
          </cell>
          <cell r="H246" t="str">
            <v>listing</v>
          </cell>
        </row>
        <row r="247">
          <cell r="C247">
            <v>45870.320138888892</v>
          </cell>
          <cell r="H247" t="str">
            <v>mail</v>
          </cell>
        </row>
        <row r="248">
          <cell r="C248">
            <v>45870.557638888888</v>
          </cell>
          <cell r="H248" t="str">
            <v>mail</v>
          </cell>
          <cell r="R248">
            <v>45870</v>
          </cell>
          <cell r="S248">
            <v>45870</v>
          </cell>
        </row>
        <row r="249">
          <cell r="C249">
            <v>45873.623611111114</v>
          </cell>
          <cell r="H249" t="str">
            <v>listing</v>
          </cell>
        </row>
        <row r="250">
          <cell r="C250">
            <v>45874.496527777781</v>
          </cell>
          <cell r="H250" t="str">
            <v>オーガニック検索</v>
          </cell>
        </row>
        <row r="251">
          <cell r="C251">
            <v>45876.416666666664</v>
          </cell>
          <cell r="H251" t="str">
            <v>直接トラフィック</v>
          </cell>
        </row>
        <row r="252">
          <cell r="C252">
            <v>45876.662499999999</v>
          </cell>
          <cell r="H252" t="str">
            <v>オーガニック検索</v>
          </cell>
        </row>
        <row r="253">
          <cell r="C253">
            <v>45877.505555555559</v>
          </cell>
          <cell r="H253" t="str">
            <v>リファーラル</v>
          </cell>
        </row>
        <row r="254">
          <cell r="C254">
            <v>45881.724999999999</v>
          </cell>
          <cell r="H254" t="str">
            <v>リファーラル</v>
          </cell>
        </row>
        <row r="255">
          <cell r="C255">
            <v>45881.938888888886</v>
          </cell>
          <cell r="H255" t="str">
            <v>オーガニック検索</v>
          </cell>
        </row>
        <row r="256">
          <cell r="C256">
            <v>45882.32708333333</v>
          </cell>
          <cell r="H256" t="str">
            <v>オーガニック検索</v>
          </cell>
          <cell r="R256">
            <v>45870</v>
          </cell>
        </row>
        <row r="257">
          <cell r="C257">
            <v>45884.517361111109</v>
          </cell>
          <cell r="H257" t="str">
            <v>listing</v>
          </cell>
        </row>
        <row r="258">
          <cell r="C258">
            <v>45888.631944444445</v>
          </cell>
          <cell r="H258" t="str">
            <v>オフラインソース</v>
          </cell>
          <cell r="R258">
            <v>45870</v>
          </cell>
        </row>
        <row r="259">
          <cell r="C259">
            <v>45890.976388888892</v>
          </cell>
          <cell r="H259" t="str">
            <v>オーガニック検索</v>
          </cell>
        </row>
        <row r="260">
          <cell r="C260">
            <v>45891.663194444445</v>
          </cell>
          <cell r="H260" t="str">
            <v>直接トラフィック</v>
          </cell>
        </row>
        <row r="261">
          <cell r="C261">
            <v>45894.365972222222</v>
          </cell>
          <cell r="H261" t="str">
            <v>オーガニック検索</v>
          </cell>
        </row>
        <row r="262">
          <cell r="C262">
            <v>45894.387499999997</v>
          </cell>
          <cell r="H262" t="str">
            <v>オーガニック検索</v>
          </cell>
        </row>
        <row r="263">
          <cell r="C263">
            <v>45894.426388888889</v>
          </cell>
          <cell r="H263" t="str">
            <v>直接トラフィック</v>
          </cell>
        </row>
        <row r="264">
          <cell r="C264">
            <v>45894.692361111112</v>
          </cell>
          <cell r="H264" t="str">
            <v>mail</v>
          </cell>
        </row>
        <row r="265">
          <cell r="C265">
            <v>45894.763194444444</v>
          </cell>
          <cell r="H265" t="str">
            <v>オフラインソース</v>
          </cell>
        </row>
        <row r="266">
          <cell r="C266">
            <v>45894.8125</v>
          </cell>
          <cell r="H266" t="str">
            <v>リファーラル</v>
          </cell>
        </row>
        <row r="267">
          <cell r="C267">
            <v>45895.468055555553</v>
          </cell>
          <cell r="H267" t="str">
            <v>listing</v>
          </cell>
        </row>
        <row r="268">
          <cell r="C268">
            <v>45900.102083333331</v>
          </cell>
          <cell r="H268" t="str">
            <v>オーガニック検索</v>
          </cell>
        </row>
        <row r="269">
          <cell r="C269">
            <v>45901.448611111111</v>
          </cell>
          <cell r="H269" t="str">
            <v>オーガニック検索</v>
          </cell>
        </row>
        <row r="270">
          <cell r="C270">
            <v>45902.618750000001</v>
          </cell>
          <cell r="H270" t="str">
            <v>オーガニック検索</v>
          </cell>
        </row>
        <row r="271">
          <cell r="C271">
            <v>45903.484027777777</v>
          </cell>
          <cell r="H271" t="str">
            <v>検索連動型広告</v>
          </cell>
        </row>
        <row r="272">
          <cell r="C272">
            <v>45904.643055555556</v>
          </cell>
          <cell r="H272" t="str">
            <v>他のキャンペーン</v>
          </cell>
        </row>
        <row r="273">
          <cell r="C273">
            <v>45904.725694444445</v>
          </cell>
          <cell r="H273" t="str">
            <v>検索連動型広告</v>
          </cell>
          <cell r="R273">
            <v>45901</v>
          </cell>
        </row>
        <row r="274">
          <cell r="C274">
            <v>45905.478472222225</v>
          </cell>
          <cell r="H274" t="str">
            <v>検索連動型広告</v>
          </cell>
        </row>
        <row r="275">
          <cell r="C275">
            <v>45905.848611111112</v>
          </cell>
          <cell r="H275" t="str">
            <v>オーガニック検索</v>
          </cell>
        </row>
        <row r="276">
          <cell r="C276">
            <v>45909.468055555553</v>
          </cell>
          <cell r="H276" t="str">
            <v>オーガニック検索</v>
          </cell>
          <cell r="R276">
            <v>45901</v>
          </cell>
        </row>
        <row r="277">
          <cell r="C277">
            <v>45913.388888888891</v>
          </cell>
          <cell r="H277" t="str">
            <v>オーガニック検索</v>
          </cell>
        </row>
        <row r="278">
          <cell r="C278">
            <v>45916.356249999997</v>
          </cell>
          <cell r="H278" t="str">
            <v>オーガニック検索</v>
          </cell>
        </row>
        <row r="279">
          <cell r="C279">
            <v>45916.487500000003</v>
          </cell>
          <cell r="H279" t="str">
            <v>検索連動型広告</v>
          </cell>
        </row>
        <row r="280">
          <cell r="C280">
            <v>45917.334027777775</v>
          </cell>
          <cell r="H280" t="str">
            <v>mail</v>
          </cell>
          <cell r="R280">
            <v>45901</v>
          </cell>
        </row>
        <row r="281">
          <cell r="C281">
            <v>45918.540972222225</v>
          </cell>
          <cell r="H281" t="str">
            <v>検索連動型広告</v>
          </cell>
          <cell r="R281">
            <v>45901</v>
          </cell>
        </row>
        <row r="282">
          <cell r="C282">
            <v>45919.354166666664</v>
          </cell>
          <cell r="H282" t="str">
            <v>直接トラフィック</v>
          </cell>
        </row>
        <row r="283">
          <cell r="C283">
            <v>45922.452777777777</v>
          </cell>
          <cell r="H283" t="str">
            <v>直接トラフィック</v>
          </cell>
        </row>
        <row r="284">
          <cell r="C284">
            <v>45918.556250000001</v>
          </cell>
          <cell r="H284" t="str">
            <v>検索連動型広告</v>
          </cell>
          <cell r="R284">
            <v>45901</v>
          </cell>
        </row>
        <row r="285">
          <cell r="C285">
            <v>45923.488194444442</v>
          </cell>
          <cell r="H285" t="str">
            <v>検索連動型広告</v>
          </cell>
        </row>
        <row r="286">
          <cell r="C286">
            <v>45910.602083333331</v>
          </cell>
          <cell r="H286" t="str">
            <v>mail</v>
          </cell>
        </row>
        <row r="287">
          <cell r="C287">
            <v>45910.604166666664</v>
          </cell>
          <cell r="H287" t="str">
            <v>mail</v>
          </cell>
        </row>
        <row r="288">
          <cell r="C288">
            <v>45916.554166666669</v>
          </cell>
          <cell r="H288" t="str">
            <v>mail</v>
          </cell>
        </row>
        <row r="289">
          <cell r="C289">
            <v>45916.677083333336</v>
          </cell>
          <cell r="H289" t="str">
            <v>mail</v>
          </cell>
        </row>
        <row r="290">
          <cell r="C290">
            <v>45916.755555555559</v>
          </cell>
          <cell r="H290" t="str">
            <v>mail</v>
          </cell>
        </row>
        <row r="291">
          <cell r="C291">
            <v>45922.681250000001</v>
          </cell>
          <cell r="H291" t="str">
            <v>オーガニック検索</v>
          </cell>
          <cell r="R291">
            <v>45901</v>
          </cell>
        </row>
        <row r="292">
          <cell r="C292">
            <v>45917.352777777778</v>
          </cell>
          <cell r="H292" t="str">
            <v>mail</v>
          </cell>
        </row>
        <row r="293">
          <cell r="C293">
            <v>45919.479166666664</v>
          </cell>
          <cell r="H293" t="str">
            <v>mail</v>
          </cell>
        </row>
        <row r="294">
          <cell r="C294">
            <v>45924.578472222223</v>
          </cell>
          <cell r="H294" t="str">
            <v>検索連動型広告</v>
          </cell>
          <cell r="R294">
            <v>45901</v>
          </cell>
        </row>
        <row r="295">
          <cell r="C295">
            <v>45926.368055555555</v>
          </cell>
          <cell r="H295" t="str">
            <v>リファーラル</v>
          </cell>
          <cell r="R295">
            <v>45931</v>
          </cell>
        </row>
        <row r="296">
          <cell r="C296">
            <v>45929.486111111109</v>
          </cell>
          <cell r="H296" t="str">
            <v>検索連動型広告</v>
          </cell>
        </row>
        <row r="297">
          <cell r="C297">
            <v>45929.959027777775</v>
          </cell>
          <cell r="H297" t="str">
            <v>オーガニック検索</v>
          </cell>
        </row>
        <row r="298">
          <cell r="C298">
            <v>45930.581944444442</v>
          </cell>
          <cell r="H298" t="str">
            <v>他のキャンペーン</v>
          </cell>
        </row>
        <row r="299">
          <cell r="C299">
            <v>45931.333333333336</v>
          </cell>
          <cell r="H299" t="str">
            <v>他のキャンペーン</v>
          </cell>
        </row>
        <row r="300">
          <cell r="C300">
            <v>45932.833333333336</v>
          </cell>
          <cell r="H300" t="str">
            <v>他のキャンペーン</v>
          </cell>
        </row>
        <row r="301">
          <cell r="C301">
            <v>45933.5</v>
          </cell>
          <cell r="H301" t="str">
            <v>検索連動型広告</v>
          </cell>
        </row>
        <row r="302">
          <cell r="C302">
            <v>45933.625</v>
          </cell>
          <cell r="H302" t="str">
            <v>他のキャンペーン</v>
          </cell>
        </row>
        <row r="303">
          <cell r="C303">
            <v>45933.666666666664</v>
          </cell>
          <cell r="H303" t="str">
            <v>検索連動型広告</v>
          </cell>
        </row>
        <row r="304">
          <cell r="C304">
            <v>45938.458333333336</v>
          </cell>
          <cell r="H304" t="str">
            <v>他のキャンペーン</v>
          </cell>
          <cell r="R304">
            <v>45931</v>
          </cell>
        </row>
        <row r="305">
          <cell r="C305">
            <v>45938.666666666664</v>
          </cell>
          <cell r="H305" t="str">
            <v>オフラインソース</v>
          </cell>
        </row>
        <row r="306">
          <cell r="C306">
            <v>45938.708333333336</v>
          </cell>
          <cell r="H306" t="str">
            <v>検索連動型広告</v>
          </cell>
          <cell r="R306">
            <v>45931</v>
          </cell>
        </row>
        <row r="307">
          <cell r="C307">
            <v>45939.458333333336</v>
          </cell>
          <cell r="H307" t="str">
            <v>オーガニック検索</v>
          </cell>
        </row>
        <row r="308">
          <cell r="C308">
            <v>45939.5</v>
          </cell>
          <cell r="H308" t="str">
            <v>直接トラフィック</v>
          </cell>
        </row>
        <row r="309">
          <cell r="C309">
            <v>45939.791666666664</v>
          </cell>
          <cell r="H309" t="str">
            <v>他のキャンペーン</v>
          </cell>
        </row>
        <row r="310">
          <cell r="C310">
            <v>45940.416666666664</v>
          </cell>
          <cell r="H310" t="str">
            <v>検索連動型広告</v>
          </cell>
        </row>
        <row r="311">
          <cell r="C311">
            <v>45941.333333333336</v>
          </cell>
          <cell r="H311" t="str">
            <v>直接トラフィック</v>
          </cell>
        </row>
        <row r="312">
          <cell r="C312">
            <v>45941.708333333336</v>
          </cell>
          <cell r="H312" t="str">
            <v>他のキャンペーン</v>
          </cell>
        </row>
        <row r="313">
          <cell r="C313">
            <v>45947.541666666664</v>
          </cell>
          <cell r="H313" t="str">
            <v>オーガニック検索</v>
          </cell>
        </row>
        <row r="314">
          <cell r="C314">
            <v>45949.958333333336</v>
          </cell>
          <cell r="H314" t="str">
            <v>リファーラル</v>
          </cell>
        </row>
        <row r="315">
          <cell r="C315">
            <v>45950.50277777778</v>
          </cell>
          <cell r="H315" t="str">
            <v>mail</v>
          </cell>
        </row>
        <row r="316">
          <cell r="C316">
            <v>45950.504861111112</v>
          </cell>
          <cell r="H316" t="str">
            <v>mail</v>
          </cell>
        </row>
        <row r="317">
          <cell r="C317">
            <v>45950.602083333331</v>
          </cell>
          <cell r="H317" t="str">
            <v>mail</v>
          </cell>
        </row>
        <row r="318">
          <cell r="C318">
            <v>45950.631249999999</v>
          </cell>
          <cell r="H318" t="str">
            <v>mail</v>
          </cell>
        </row>
        <row r="319">
          <cell r="C319">
            <v>45950.640972222223</v>
          </cell>
          <cell r="H319" t="str">
            <v>mail</v>
          </cell>
        </row>
        <row r="320">
          <cell r="C320">
            <v>45952.387499999997</v>
          </cell>
          <cell r="H320" t="str">
            <v>検索連動型広告</v>
          </cell>
        </row>
        <row r="321">
          <cell r="C321">
            <v>45952.93472222222</v>
          </cell>
          <cell r="H321" t="str">
            <v>他のキャンペーン</v>
          </cell>
        </row>
        <row r="322">
          <cell r="C322">
            <v>45953.811111111114</v>
          </cell>
          <cell r="H322" t="str">
            <v>オフラインソース</v>
          </cell>
        </row>
        <row r="323">
          <cell r="C323">
            <v>45954.894444444442</v>
          </cell>
          <cell r="H323" t="str">
            <v>他のキャンペーン</v>
          </cell>
        </row>
        <row r="324">
          <cell r="C324">
            <v>45956.907638888886</v>
          </cell>
          <cell r="H324" t="str">
            <v>他のキャンペーン</v>
          </cell>
        </row>
        <row r="325">
          <cell r="C325">
            <v>45958.614583333336</v>
          </cell>
          <cell r="H325" t="str">
            <v>検索連動型広告</v>
          </cell>
        </row>
        <row r="326">
          <cell r="C326">
            <v>45958.65625</v>
          </cell>
          <cell r="H326" t="str">
            <v>オーガニック検索</v>
          </cell>
        </row>
        <row r="327">
          <cell r="C327">
            <v>45960.647916666669</v>
          </cell>
          <cell r="H327" t="str">
            <v>他のキャンペーン</v>
          </cell>
        </row>
        <row r="328">
          <cell r="C328">
            <v>45951.727777777778</v>
          </cell>
          <cell r="H328" t="str">
            <v>mail</v>
          </cell>
        </row>
        <row r="329">
          <cell r="C329">
            <v>45952.47152777778</v>
          </cell>
          <cell r="H329" t="str">
            <v>mail</v>
          </cell>
        </row>
        <row r="330">
          <cell r="C330">
            <v>45959.64166666667</v>
          </cell>
          <cell r="H330" t="str">
            <v>mail</v>
          </cell>
        </row>
        <row r="331">
          <cell r="C331">
            <v>45973.905555555553</v>
          </cell>
          <cell r="H331" t="str">
            <v>他のキャンペーン</v>
          </cell>
        </row>
        <row r="332">
          <cell r="C332">
            <v>45974.574305555558</v>
          </cell>
          <cell r="H332" t="str">
            <v>他のキャンペーン</v>
          </cell>
        </row>
        <row r="333">
          <cell r="C333">
            <v>45974.771527777775</v>
          </cell>
          <cell r="H333" t="str">
            <v>他のキャンペーン</v>
          </cell>
          <cell r="R333">
            <v>45962</v>
          </cell>
        </row>
        <row r="334">
          <cell r="C334">
            <v>45980.560416666667</v>
          </cell>
          <cell r="H334" t="str">
            <v>検索連動型広告</v>
          </cell>
          <cell r="R334">
            <v>45962</v>
          </cell>
        </row>
        <row r="335">
          <cell r="C335">
            <v>45980.73333333333</v>
          </cell>
          <cell r="H335" t="str">
            <v>リファーラル</v>
          </cell>
        </row>
        <row r="336">
          <cell r="C336">
            <v>45985.470833333333</v>
          </cell>
          <cell r="H336" t="str">
            <v>他のキャンペーン</v>
          </cell>
        </row>
        <row r="337">
          <cell r="C337">
            <v>45986.520833333336</v>
          </cell>
          <cell r="H337" t="str">
            <v>検索連動型広告</v>
          </cell>
        </row>
        <row r="338">
          <cell r="C338">
            <v>45990.513194444444</v>
          </cell>
          <cell r="H338" t="str">
            <v>オーガニック検索</v>
          </cell>
        </row>
        <row r="339">
          <cell r="C339">
            <v>45992.797465277778</v>
          </cell>
          <cell r="H339" t="str">
            <v>オフラインソース</v>
          </cell>
        </row>
        <row r="340">
          <cell r="C340">
            <v>45993.4296875</v>
          </cell>
          <cell r="H340" t="str">
            <v>直接トラフィック</v>
          </cell>
          <cell r="R340">
            <v>45992</v>
          </cell>
        </row>
        <row r="341">
          <cell r="C341">
            <v>45993.450300925928</v>
          </cell>
          <cell r="H341" t="str">
            <v>オーガニック検索</v>
          </cell>
        </row>
        <row r="342">
          <cell r="C342">
            <v>45993.516701388886</v>
          </cell>
          <cell r="H342" t="str">
            <v>オーガニック検索</v>
          </cell>
        </row>
        <row r="343">
          <cell r="C343">
            <v>45993.57885416667</v>
          </cell>
          <cell r="H343" t="str">
            <v>検索連動型広告</v>
          </cell>
        </row>
        <row r="344">
          <cell r="C344">
            <v>46000.382939814815</v>
          </cell>
          <cell r="H344" t="str">
            <v>オーガニック検索</v>
          </cell>
          <cell r="R344">
            <v>45992</v>
          </cell>
          <cell r="S344">
            <v>46055</v>
          </cell>
        </row>
        <row r="345">
          <cell r="C345">
            <v>46000.912777777776</v>
          </cell>
          <cell r="H345" t="str">
            <v>mail</v>
          </cell>
        </row>
        <row r="346">
          <cell r="C346">
            <v>46002.391805555555</v>
          </cell>
          <cell r="H346" t="str">
            <v>直接トラフィック</v>
          </cell>
          <cell r="R346">
            <v>45992</v>
          </cell>
        </row>
        <row r="347">
          <cell r="C347">
            <v>46003.929039351853</v>
          </cell>
          <cell r="H347" t="str">
            <v>オーガニック検索</v>
          </cell>
        </row>
        <row r="348">
          <cell r="C348">
            <v>46004.555381944447</v>
          </cell>
          <cell r="H348" t="str">
            <v>直接トラフィック</v>
          </cell>
        </row>
        <row r="349">
          <cell r="C349">
            <v>46006.399236111109</v>
          </cell>
          <cell r="H349" t="str">
            <v>オーガニック検索</v>
          </cell>
        </row>
        <row r="350">
          <cell r="C350">
            <v>46007.588425925926</v>
          </cell>
          <cell r="H350" t="str">
            <v>オーガニック検索</v>
          </cell>
        </row>
        <row r="351">
          <cell r="C351">
            <v>46008.568749999999</v>
          </cell>
          <cell r="H351" t="str">
            <v>検索連動型広告</v>
          </cell>
        </row>
        <row r="352">
          <cell r="C352">
            <v>46008.622916666667</v>
          </cell>
          <cell r="H352" t="str">
            <v>直接トラフィック</v>
          </cell>
        </row>
        <row r="353">
          <cell r="C353">
            <v>46008.668749999997</v>
          </cell>
          <cell r="H353" t="str">
            <v>検索連動型広告</v>
          </cell>
        </row>
        <row r="354">
          <cell r="C354">
            <v>46010.647291666668</v>
          </cell>
          <cell r="H354" t="str">
            <v>検索連動型広告</v>
          </cell>
        </row>
        <row r="355">
          <cell r="C355">
            <v>46015.441134259258</v>
          </cell>
          <cell r="H355" t="str">
            <v>検索連動型広告</v>
          </cell>
        </row>
        <row r="356">
          <cell r="C356">
            <v>46016.552199074074</v>
          </cell>
          <cell r="H356" t="str">
            <v>検索連動型広告</v>
          </cell>
        </row>
        <row r="357">
          <cell r="C357">
            <v>46027.467280092591</v>
          </cell>
          <cell r="H357" t="str">
            <v>直接トラフィック</v>
          </cell>
        </row>
        <row r="358">
          <cell r="C358">
            <v>46027.644444444442</v>
          </cell>
          <cell r="H358" t="str">
            <v>mail</v>
          </cell>
        </row>
        <row r="359">
          <cell r="C359">
            <v>46028.439583333333</v>
          </cell>
          <cell r="H359" t="str">
            <v>mail</v>
          </cell>
        </row>
        <row r="360">
          <cell r="C360">
            <v>46028.459513888891</v>
          </cell>
          <cell r="H360" t="str">
            <v>mail</v>
          </cell>
        </row>
        <row r="361">
          <cell r="C361">
            <v>46028.468831018516</v>
          </cell>
          <cell r="H361" t="str">
            <v>オーガニック検索</v>
          </cell>
          <cell r="R361">
            <v>46023</v>
          </cell>
        </row>
        <row r="362">
          <cell r="C362">
            <v>46028.479328703703</v>
          </cell>
          <cell r="H362" t="str">
            <v>オーガニック検索</v>
          </cell>
        </row>
        <row r="363">
          <cell r="C363">
            <v>46029.478692129633</v>
          </cell>
          <cell r="H363" t="str">
            <v>検索連動型広告</v>
          </cell>
        </row>
        <row r="364">
          <cell r="C364">
            <v>46029.576805555553</v>
          </cell>
          <cell r="H364" t="str">
            <v>検索連動型広告</v>
          </cell>
        </row>
        <row r="365">
          <cell r="C365">
            <v>46032.229166666664</v>
          </cell>
          <cell r="H365" t="str">
            <v>mail</v>
          </cell>
        </row>
        <row r="366">
          <cell r="C366">
            <v>46034.49722222222</v>
          </cell>
          <cell r="H366" t="str">
            <v>mail</v>
          </cell>
        </row>
        <row r="367">
          <cell r="C367">
            <v>46035.436111111114</v>
          </cell>
          <cell r="H367" t="str">
            <v>mail</v>
          </cell>
        </row>
        <row r="368">
          <cell r="C368">
            <v>46035.676388888889</v>
          </cell>
          <cell r="H368" t="str">
            <v>mail</v>
          </cell>
        </row>
        <row r="369">
          <cell r="C369">
            <v>46035.746111111112</v>
          </cell>
          <cell r="H369" t="str">
            <v>オーガニック検索</v>
          </cell>
        </row>
        <row r="370">
          <cell r="C370">
            <v>46036.382418981484</v>
          </cell>
          <cell r="H370" t="str">
            <v>他のキャンペーン</v>
          </cell>
        </row>
        <row r="371">
          <cell r="C371">
            <v>46036.444606481484</v>
          </cell>
          <cell r="H371" t="str">
            <v>検索連動型広告</v>
          </cell>
          <cell r="R371">
            <v>46023</v>
          </cell>
        </row>
        <row r="372">
          <cell r="C372">
            <v>46036.60324074074</v>
          </cell>
          <cell r="H372" t="str">
            <v>mail</v>
          </cell>
        </row>
        <row r="373">
          <cell r="C373">
            <v>46036.909583333334</v>
          </cell>
          <cell r="H373" t="str">
            <v>他のキャンペーン</v>
          </cell>
        </row>
        <row r="374">
          <cell r="C374">
            <v>46037.499918981484</v>
          </cell>
          <cell r="H374" t="str">
            <v>オフラインソース</v>
          </cell>
        </row>
        <row r="375">
          <cell r="C375">
            <v>46038.420682870368</v>
          </cell>
          <cell r="H375" t="str">
            <v>検索連動型広告</v>
          </cell>
        </row>
        <row r="376">
          <cell r="C376">
            <v>46038.570034722223</v>
          </cell>
          <cell r="H376" t="str">
            <v>検索連動型広告</v>
          </cell>
        </row>
        <row r="377">
          <cell r="C377">
            <v>46038.597962962966</v>
          </cell>
          <cell r="H377" t="str">
            <v>検索連動型広告</v>
          </cell>
          <cell r="R377">
            <v>46023</v>
          </cell>
        </row>
        <row r="378">
          <cell r="C378">
            <v>46041.414583333331</v>
          </cell>
          <cell r="H378" t="str">
            <v>オーガニック検索</v>
          </cell>
          <cell r="R378">
            <v>46023</v>
          </cell>
        </row>
        <row r="379">
          <cell r="C379">
            <v>46042.944444444445</v>
          </cell>
          <cell r="H379" t="str">
            <v>検索連動型広告</v>
          </cell>
        </row>
        <row r="380">
          <cell r="C380">
            <v>46043.673611111109</v>
          </cell>
          <cell r="H380" t="str">
            <v>オーガニック検索</v>
          </cell>
        </row>
        <row r="381">
          <cell r="C381">
            <v>46044.431944444441</v>
          </cell>
          <cell r="H381" t="str">
            <v>mail</v>
          </cell>
        </row>
        <row r="382">
          <cell r="C382">
            <v>46044.4375</v>
          </cell>
          <cell r="H382" t="str">
            <v>mail</v>
          </cell>
        </row>
        <row r="383">
          <cell r="C383">
            <v>46044.438888888886</v>
          </cell>
          <cell r="H383" t="str">
            <v>mail</v>
          </cell>
        </row>
        <row r="384">
          <cell r="C384">
            <v>46044.490972222222</v>
          </cell>
          <cell r="H384" t="str">
            <v>mail</v>
          </cell>
        </row>
        <row r="385">
          <cell r="C385">
            <v>46044.49722222222</v>
          </cell>
          <cell r="H385" t="str">
            <v>mail</v>
          </cell>
        </row>
        <row r="386">
          <cell r="C386">
            <v>46044.521527777775</v>
          </cell>
          <cell r="H386" t="str">
            <v>mail</v>
          </cell>
          <cell r="R386">
            <v>46023</v>
          </cell>
        </row>
        <row r="387">
          <cell r="C387">
            <v>46044.680555555555</v>
          </cell>
          <cell r="H387" t="str">
            <v>mail</v>
          </cell>
        </row>
        <row r="388">
          <cell r="C388">
            <v>46044.749305555553</v>
          </cell>
          <cell r="H388" t="str">
            <v>オフラインソース</v>
          </cell>
        </row>
        <row r="389">
          <cell r="C389">
            <v>46045.372916666667</v>
          </cell>
          <cell r="H389" t="str">
            <v>mail</v>
          </cell>
        </row>
        <row r="390">
          <cell r="C390">
            <v>46048.427083333336</v>
          </cell>
          <cell r="H390" t="str">
            <v>mail</v>
          </cell>
        </row>
        <row r="391">
          <cell r="C391">
            <v>46048.427083333336</v>
          </cell>
          <cell r="H391" t="str">
            <v>mail</v>
          </cell>
        </row>
        <row r="392">
          <cell r="C392">
            <v>46048.441666666666</v>
          </cell>
          <cell r="H392" t="str">
            <v>mail</v>
          </cell>
          <cell r="R392">
            <v>46023</v>
          </cell>
        </row>
        <row r="393">
          <cell r="C393">
            <v>46048.654861111114</v>
          </cell>
          <cell r="H393" t="str">
            <v>直接トラフィック</v>
          </cell>
          <cell r="R393">
            <v>46023</v>
          </cell>
          <cell r="S393">
            <v>46055</v>
          </cell>
        </row>
        <row r="394">
          <cell r="C394">
            <v>46049.402083333334</v>
          </cell>
          <cell r="H394" t="str">
            <v>オフラインソース</v>
          </cell>
        </row>
        <row r="395">
          <cell r="C395">
            <v>46049.547222222223</v>
          </cell>
          <cell r="H395" t="str">
            <v>mail</v>
          </cell>
        </row>
        <row r="396">
          <cell r="C396">
            <v>46050.390277777777</v>
          </cell>
          <cell r="H396" t="str">
            <v>検索連動型広告</v>
          </cell>
        </row>
        <row r="397">
          <cell r="C397">
            <v>46051.298611111109</v>
          </cell>
          <cell r="H397" t="str">
            <v>他のキャンペーン</v>
          </cell>
        </row>
        <row r="398">
          <cell r="C398">
            <v>46051.497916666667</v>
          </cell>
          <cell r="H398" t="str">
            <v>オーガニック検索</v>
          </cell>
        </row>
        <row r="399">
          <cell r="C399">
            <v>46051.67291666667</v>
          </cell>
          <cell r="H399" t="str">
            <v>検索連動型広告</v>
          </cell>
        </row>
        <row r="400">
          <cell r="C400">
            <v>46052.640277777777</v>
          </cell>
          <cell r="H400" t="str">
            <v>他のキャンペーン</v>
          </cell>
        </row>
        <row r="401">
          <cell r="C401">
            <v>46055.49318287037</v>
          </cell>
          <cell r="H401" t="str">
            <v>検索連動型広告</v>
          </cell>
          <cell r="R401">
            <v>46054</v>
          </cell>
        </row>
        <row r="402">
          <cell r="C402">
            <v>46055.534120370372</v>
          </cell>
          <cell r="H402" t="str">
            <v>mail</v>
          </cell>
        </row>
        <row r="403">
          <cell r="C403">
            <v>46055.584756944445</v>
          </cell>
          <cell r="H403" t="str">
            <v>mail</v>
          </cell>
          <cell r="R403">
            <v>46054</v>
          </cell>
        </row>
        <row r="404">
          <cell r="C404">
            <v>46055.652256944442</v>
          </cell>
          <cell r="H404" t="str">
            <v>オーガニック検索</v>
          </cell>
        </row>
        <row r="405">
          <cell r="C405">
            <v>46055.698599537034</v>
          </cell>
          <cell r="H405" t="str">
            <v>mail</v>
          </cell>
        </row>
        <row r="406">
          <cell r="C406">
            <v>46057.377453703702</v>
          </cell>
          <cell r="H406" t="str">
            <v>直接トラフィック</v>
          </cell>
          <cell r="R406">
            <v>46054</v>
          </cell>
        </row>
        <row r="407">
          <cell r="C407">
            <v>46057.392800925925</v>
          </cell>
          <cell r="H407" t="str">
            <v>検索連動型広告</v>
          </cell>
        </row>
        <row r="408">
          <cell r="C408">
            <v>46055.420138888891</v>
          </cell>
          <cell r="H408" t="str">
            <v>mail</v>
          </cell>
          <cell r="R408">
            <v>46054</v>
          </cell>
        </row>
        <row r="409">
          <cell r="C409">
            <v>46056.586111111108</v>
          </cell>
          <cell r="H409" t="str">
            <v>mail</v>
          </cell>
        </row>
        <row r="410">
          <cell r="C410">
            <v>46057.439583333333</v>
          </cell>
          <cell r="H410" t="str">
            <v>mail</v>
          </cell>
          <cell r="R410">
            <v>46054</v>
          </cell>
        </row>
        <row r="411">
          <cell r="C411">
            <v>46057.439583333333</v>
          </cell>
          <cell r="H411" t="str">
            <v>mail</v>
          </cell>
        </row>
        <row r="412">
          <cell r="C412">
            <v>46057.445138888892</v>
          </cell>
          <cell r="H412" t="str">
            <v>直接トラフィック</v>
          </cell>
        </row>
        <row r="413">
          <cell r="C413">
            <v>46057.458333333336</v>
          </cell>
          <cell r="H413" t="str">
            <v>mail</v>
          </cell>
        </row>
        <row r="414">
          <cell r="C414">
            <v>46057.466226851851</v>
          </cell>
          <cell r="H414" t="str">
            <v>mail</v>
          </cell>
        </row>
        <row r="415">
          <cell r="C415">
            <v>46057.470138888886</v>
          </cell>
          <cell r="H415" t="str">
            <v>mail</v>
          </cell>
        </row>
        <row r="416">
          <cell r="C416">
            <v>46057.480555555558</v>
          </cell>
          <cell r="H416" t="str">
            <v>直接トラフィック</v>
          </cell>
          <cell r="R416">
            <v>46054</v>
          </cell>
        </row>
        <row r="417">
          <cell r="C417">
            <v>46057.482638888891</v>
          </cell>
          <cell r="H417" t="str">
            <v>mail</v>
          </cell>
          <cell r="R417">
            <v>46054</v>
          </cell>
        </row>
        <row r="418">
          <cell r="C418">
            <v>46057.503472222219</v>
          </cell>
          <cell r="H418" t="str">
            <v>他のキャンペーン</v>
          </cell>
        </row>
        <row r="419">
          <cell r="C419">
            <v>46057.505555555559</v>
          </cell>
          <cell r="H419" t="str">
            <v>mail</v>
          </cell>
        </row>
        <row r="420">
          <cell r="C420">
            <v>46057.520937499998</v>
          </cell>
          <cell r="H420" t="str">
            <v>mail</v>
          </cell>
        </row>
        <row r="421">
          <cell r="C421">
            <v>46057.522916666669</v>
          </cell>
          <cell r="H421" t="str">
            <v>直接トラフィック</v>
          </cell>
        </row>
        <row r="422">
          <cell r="C422">
            <v>46057.580555555556</v>
          </cell>
          <cell r="H422" t="str">
            <v>検索連動型広告</v>
          </cell>
          <cell r="R422">
            <v>46054</v>
          </cell>
        </row>
        <row r="423">
          <cell r="C423">
            <v>46057.583333333336</v>
          </cell>
          <cell r="H423" t="str">
            <v>mail</v>
          </cell>
          <cell r="R423">
            <v>46054</v>
          </cell>
        </row>
        <row r="424">
          <cell r="C424">
            <v>46057.645138888889</v>
          </cell>
          <cell r="H424" t="str">
            <v>mail</v>
          </cell>
          <cell r="R424">
            <v>46054</v>
          </cell>
        </row>
        <row r="425">
          <cell r="C425">
            <v>46057.719444444447</v>
          </cell>
          <cell r="H425" t="str">
            <v>オーガニック検索</v>
          </cell>
        </row>
        <row r="426">
          <cell r="C426">
            <v>46057.724999999999</v>
          </cell>
          <cell r="H426" t="str">
            <v>直接トラフィック</v>
          </cell>
        </row>
        <row r="427">
          <cell r="C427">
            <v>46057.732638888891</v>
          </cell>
          <cell r="H427" t="str">
            <v>直接トラフィック</v>
          </cell>
          <cell r="R427">
            <v>46054</v>
          </cell>
        </row>
        <row r="428">
          <cell r="C428">
            <v>46058.104166666664</v>
          </cell>
          <cell r="H428" t="str">
            <v>mail</v>
          </cell>
        </row>
        <row r="429">
          <cell r="C429">
            <v>46058.405555555553</v>
          </cell>
          <cell r="H429" t="str">
            <v>オーガニック検索</v>
          </cell>
          <cell r="R429">
            <v>46054</v>
          </cell>
        </row>
        <row r="430">
          <cell r="C430">
            <v>46058.470277777778</v>
          </cell>
          <cell r="H430" t="str">
            <v>mail</v>
          </cell>
        </row>
        <row r="431">
          <cell r="C431">
            <v>46058.584027777775</v>
          </cell>
          <cell r="H431" t="str">
            <v>他のキャンペーン</v>
          </cell>
        </row>
        <row r="432">
          <cell r="C432">
            <v>46059.472916666666</v>
          </cell>
          <cell r="H432" t="str">
            <v>mail</v>
          </cell>
          <cell r="R432">
            <v>46054</v>
          </cell>
        </row>
        <row r="433">
          <cell r="C433">
            <v>46062.45208333333</v>
          </cell>
          <cell r="H433" t="str">
            <v>mail</v>
          </cell>
          <cell r="R433">
            <v>46054</v>
          </cell>
        </row>
        <row r="434">
          <cell r="C434">
            <v>46062.470138888886</v>
          </cell>
          <cell r="H434" t="str">
            <v>mail</v>
          </cell>
        </row>
        <row r="435">
          <cell r="C435">
            <v>46062.521527777775</v>
          </cell>
          <cell r="H435" t="str">
            <v>mail</v>
          </cell>
          <cell r="R435">
            <v>46054</v>
          </cell>
        </row>
        <row r="436">
          <cell r="C436">
            <v>46063.585416666669</v>
          </cell>
          <cell r="H436" t="str">
            <v>mail</v>
          </cell>
        </row>
        <row r="437">
          <cell r="C437">
            <v>46065.558333333334</v>
          </cell>
          <cell r="H437" t="str">
            <v>mail</v>
          </cell>
        </row>
        <row r="438">
          <cell r="C438">
            <v>46066.538194444445</v>
          </cell>
          <cell r="H438" t="str">
            <v>mail</v>
          </cell>
          <cell r="R438">
            <v>46054</v>
          </cell>
        </row>
        <row r="439">
          <cell r="C439">
            <v>46067.436805555553</v>
          </cell>
          <cell r="H439" t="str">
            <v>mail</v>
          </cell>
        </row>
        <row r="440">
          <cell r="C440">
            <v>46067.857638888891</v>
          </cell>
          <cell r="H440" t="str">
            <v>mail</v>
          </cell>
          <cell r="R440">
            <v>46054</v>
          </cell>
        </row>
        <row r="441">
          <cell r="C441">
            <v>46070.658518518518</v>
          </cell>
          <cell r="H441" t="str">
            <v>検索連動型広告</v>
          </cell>
        </row>
        <row r="442">
          <cell r="C442">
            <v>46070.707465277781</v>
          </cell>
          <cell r="H442" t="str">
            <v>他のキャンペーン</v>
          </cell>
        </row>
        <row r="443">
          <cell r="C443">
            <v>46071.510868055557</v>
          </cell>
          <cell r="H443" t="str">
            <v>直接トラフィック</v>
          </cell>
        </row>
        <row r="444">
          <cell r="C444">
            <v>46072.646574074075</v>
          </cell>
          <cell r="H444" t="str">
            <v>検索連動型広告</v>
          </cell>
          <cell r="R444">
            <v>46054</v>
          </cell>
        </row>
        <row r="445">
          <cell r="C445">
            <v>46073.495520833334</v>
          </cell>
          <cell r="H445" t="str">
            <v>mail</v>
          </cell>
        </row>
        <row r="446">
          <cell r="C446">
            <v>46075.499907407408</v>
          </cell>
          <cell r="H446" t="str">
            <v>直接トラフィック</v>
          </cell>
          <cell r="R446">
            <v>46054</v>
          </cell>
        </row>
        <row r="447">
          <cell r="C447">
            <v>46077.473726851851</v>
          </cell>
          <cell r="H447" t="str">
            <v>検索連動型広告</v>
          </cell>
        </row>
        <row r="448">
          <cell r="C448">
            <v>46077.627893518518</v>
          </cell>
          <cell r="H448" t="str">
            <v>検索連動型広告</v>
          </cell>
        </row>
        <row r="449">
          <cell r="C449">
            <v>46078.379606481481</v>
          </cell>
          <cell r="H449" t="str">
            <v>検索連動型広告</v>
          </cell>
        </row>
        <row r="450">
          <cell r="C450">
            <v>46079.461539351854</v>
          </cell>
          <cell r="H450" t="str">
            <v>mail</v>
          </cell>
        </row>
        <row r="451">
          <cell r="C451">
            <v>46079.572025462963</v>
          </cell>
          <cell r="H451" t="str">
            <v>直接トラフィック</v>
          </cell>
        </row>
        <row r="452">
          <cell r="C452">
            <v>46079.699236111112</v>
          </cell>
          <cell r="H452" t="str">
            <v>検索連動型広告</v>
          </cell>
          <cell r="R452">
            <v>46054</v>
          </cell>
        </row>
        <row r="453">
          <cell r="C453">
            <v>46083.431388888886</v>
          </cell>
          <cell r="H453" t="str">
            <v>他のキャンペーン</v>
          </cell>
        </row>
        <row r="454">
          <cell r="C454">
            <v>46084.107870370368</v>
          </cell>
          <cell r="H454" t="str">
            <v>オーガニック検索</v>
          </cell>
        </row>
        <row r="455">
          <cell r="C455">
            <v>46085.483703703707</v>
          </cell>
          <cell r="H455" t="str">
            <v>直接トラフィック</v>
          </cell>
          <cell r="R455">
            <v>46082</v>
          </cell>
          <cell r="S455">
            <v>46091</v>
          </cell>
        </row>
        <row r="456">
          <cell r="C456">
            <v>46085.574895833335</v>
          </cell>
          <cell r="H456" t="str">
            <v>他のキャンペーン</v>
          </cell>
        </row>
        <row r="457">
          <cell r="C457">
            <v>46091.705312500002</v>
          </cell>
          <cell r="H457" t="str">
            <v>他のキャンペーン</v>
          </cell>
        </row>
        <row r="458">
          <cell r="C458">
            <v>46093.645671296297</v>
          </cell>
          <cell r="H458" t="str">
            <v>検索連動型広告</v>
          </cell>
        </row>
        <row r="459">
          <cell r="C459">
            <v>46097.662210648145</v>
          </cell>
          <cell r="H459" t="str">
            <v>検索連動型広告</v>
          </cell>
        </row>
        <row r="460">
          <cell r="C460">
            <v>46099.609259259261</v>
          </cell>
          <cell r="H460" t="str">
            <v>検索連動型広告</v>
          </cell>
        </row>
        <row r="461">
          <cell r="C461">
            <v>46101.458993055552</v>
          </cell>
          <cell r="H461" t="str">
            <v>AIリファーラル</v>
          </cell>
        </row>
        <row r="462">
          <cell r="C462">
            <v>46102.386620370373</v>
          </cell>
          <cell r="H462" t="str">
            <v>検索連動型広告</v>
          </cell>
          <cell r="R462">
            <v>46082</v>
          </cell>
          <cell r="S462">
            <v>46177</v>
          </cell>
        </row>
        <row r="463">
          <cell r="C463">
            <v>46104.452638888892</v>
          </cell>
          <cell r="H463" t="str">
            <v>オーガニック検索</v>
          </cell>
          <cell r="R463">
            <v>46082</v>
          </cell>
          <cell r="S463">
            <v>46128</v>
          </cell>
        </row>
        <row r="464">
          <cell r="C464">
            <v>46104.561365740738</v>
          </cell>
          <cell r="H464" t="str">
            <v>検索連動型広告</v>
          </cell>
          <cell r="R464">
            <v>46082</v>
          </cell>
        </row>
        <row r="465">
          <cell r="C465">
            <v>46107.434583333335</v>
          </cell>
          <cell r="H465" t="str">
            <v>mail</v>
          </cell>
        </row>
        <row r="466">
          <cell r="C466">
            <v>46113.665613425925</v>
          </cell>
          <cell r="H466" t="str">
            <v>直接トラフィック</v>
          </cell>
        </row>
        <row r="467">
          <cell r="C467">
            <v>46114.259212962963</v>
          </cell>
          <cell r="H467" t="str">
            <v>検索連動型広告</v>
          </cell>
        </row>
        <row r="468">
          <cell r="C468">
            <v>46114.643495370372</v>
          </cell>
          <cell r="H468" t="str">
            <v>リファーラル</v>
          </cell>
          <cell r="R468">
            <v>46114</v>
          </cell>
          <cell r="S468">
            <v>46119</v>
          </cell>
        </row>
        <row r="469">
          <cell r="C469">
            <v>46115.490601851852</v>
          </cell>
          <cell r="H469" t="str">
            <v>オフラインソース</v>
          </cell>
        </row>
        <row r="470">
          <cell r="C470">
            <v>46116.211701388886</v>
          </cell>
          <cell r="H470" t="str">
            <v>他のキャンペーン</v>
          </cell>
        </row>
        <row r="471">
          <cell r="C471">
            <v>46118.461875000001</v>
          </cell>
          <cell r="H471" t="str">
            <v>mail</v>
          </cell>
        </row>
        <row r="472">
          <cell r="C472">
            <v>46118.765648148146</v>
          </cell>
          <cell r="H472" t="str">
            <v>検索連動型広告</v>
          </cell>
        </row>
        <row r="473">
          <cell r="C473">
            <v>46119.678715277776</v>
          </cell>
          <cell r="H473" t="str">
            <v>オフラインソース</v>
          </cell>
        </row>
        <row r="474">
          <cell r="C474">
            <v>46123.484988425924</v>
          </cell>
          <cell r="H474" t="str">
            <v>直接トラフィック</v>
          </cell>
        </row>
        <row r="475">
          <cell r="C475">
            <v>46124.896423611113</v>
          </cell>
          <cell r="H475" t="str">
            <v>検索連動型広告</v>
          </cell>
          <cell r="R475">
            <v>46124</v>
          </cell>
        </row>
        <row r="476">
          <cell r="C476">
            <v>46126.601643518516</v>
          </cell>
          <cell r="H476" t="str">
            <v>オーガニック検索</v>
          </cell>
        </row>
        <row r="477">
          <cell r="C477">
            <v>46127.413124999999</v>
          </cell>
          <cell r="H477" t="str">
            <v>検索連動型広告</v>
          </cell>
        </row>
        <row r="478">
          <cell r="C478">
            <v>46127.604699074072</v>
          </cell>
          <cell r="H478" t="str">
            <v>直接トラフィック</v>
          </cell>
        </row>
        <row r="479">
          <cell r="C479">
            <v>46127.746458333335</v>
          </cell>
          <cell r="H479" t="str">
            <v>検索連動型広告</v>
          </cell>
        </row>
        <row r="480">
          <cell r="C480">
            <v>46129.377245370371</v>
          </cell>
          <cell r="H480" t="str">
            <v>オフラインソース</v>
          </cell>
        </row>
        <row r="481">
          <cell r="C481">
            <v>46132.412453703706</v>
          </cell>
          <cell r="H481" t="str">
            <v>検索連動型広告</v>
          </cell>
          <cell r="R481">
            <v>46132</v>
          </cell>
        </row>
        <row r="482">
          <cell r="C482">
            <v>46132.422268518516</v>
          </cell>
          <cell r="H482" t="str">
            <v>mail</v>
          </cell>
        </row>
        <row r="483">
          <cell r="C483">
            <v>46132.48400462963</v>
          </cell>
          <cell r="H483" t="str">
            <v>mail</v>
          </cell>
        </row>
        <row r="484">
          <cell r="C484">
            <v>46132.501388888886</v>
          </cell>
          <cell r="H484" t="str">
            <v>mail</v>
          </cell>
        </row>
        <row r="485">
          <cell r="C485">
            <v>46132.581493055557</v>
          </cell>
          <cell r="H485" t="str">
            <v>mail</v>
          </cell>
          <cell r="R485">
            <v>46163</v>
          </cell>
        </row>
        <row r="486">
          <cell r="C486">
            <v>46132.608425925922</v>
          </cell>
          <cell r="H486" t="str">
            <v>mail</v>
          </cell>
        </row>
        <row r="487">
          <cell r="C487">
            <v>46132.627615740741</v>
          </cell>
          <cell r="H487" t="str">
            <v>mail</v>
          </cell>
        </row>
        <row r="488">
          <cell r="C488">
            <v>46132.657476851855</v>
          </cell>
          <cell r="H488" t="str">
            <v>mail</v>
          </cell>
        </row>
        <row r="489">
          <cell r="C489">
            <v>46134.472500000003</v>
          </cell>
          <cell r="H489" t="str">
            <v>検索連動型広告</v>
          </cell>
        </row>
        <row r="490">
          <cell r="C490">
            <v>46134.776331018518</v>
          </cell>
          <cell r="H490" t="str">
            <v>オーガニック検索</v>
          </cell>
        </row>
        <row r="491">
          <cell r="C491">
            <v>46134.804386574076</v>
          </cell>
          <cell r="H491" t="str">
            <v>オーガニック検索</v>
          </cell>
        </row>
        <row r="492">
          <cell r="C492">
            <v>46135.736956018518</v>
          </cell>
          <cell r="H492" t="str">
            <v>検索連動型広告</v>
          </cell>
        </row>
        <row r="493">
          <cell r="C493">
            <v>46136.369722222225</v>
          </cell>
          <cell r="H493" t="str">
            <v>オーガニック検索</v>
          </cell>
        </row>
        <row r="494">
          <cell r="C494">
            <v>46136.486527777779</v>
          </cell>
          <cell r="H494" t="str">
            <v>オフラインソース</v>
          </cell>
        </row>
        <row r="495">
          <cell r="C495">
            <v>46140.516747685186</v>
          </cell>
          <cell r="H495" t="str">
            <v>mail</v>
          </cell>
        </row>
        <row r="496">
          <cell r="C496">
            <v>46141.051238425927</v>
          </cell>
          <cell r="H496" t="str">
            <v>オーガニック検索</v>
          </cell>
        </row>
        <row r="497">
          <cell r="C497">
            <v>46143.395439814813</v>
          </cell>
          <cell r="H497" t="str">
            <v>オーガニック検索</v>
          </cell>
        </row>
        <row r="498">
          <cell r="C498">
            <v>46144.458171296297</v>
          </cell>
          <cell r="H498" t="str">
            <v>検索連動型広告</v>
          </cell>
        </row>
        <row r="499">
          <cell r="C499">
            <v>46144.919293981482</v>
          </cell>
          <cell r="H499" t="str">
            <v>リファーラル</v>
          </cell>
        </row>
        <row r="500">
          <cell r="C500">
            <v>46148.390300925923</v>
          </cell>
          <cell r="H500" t="str">
            <v>オーガニック検索</v>
          </cell>
        </row>
        <row r="501">
          <cell r="C501">
            <v>46150.449976851851</v>
          </cell>
          <cell r="H501" t="str">
            <v>検索連動型広告</v>
          </cell>
        </row>
        <row r="502">
          <cell r="C502">
            <v>46153.417650462965</v>
          </cell>
          <cell r="H502" t="str">
            <v>mail</v>
          </cell>
        </row>
        <row r="503">
          <cell r="C503">
            <v>46153.438287037039</v>
          </cell>
          <cell r="H503" t="str">
            <v>mail</v>
          </cell>
        </row>
        <row r="504">
          <cell r="C504">
            <v>46153.448101851849</v>
          </cell>
          <cell r="H504" t="str">
            <v>mail</v>
          </cell>
        </row>
        <row r="505">
          <cell r="C505">
            <v>46153.455358796295</v>
          </cell>
          <cell r="H505" t="str">
            <v>mail</v>
          </cell>
        </row>
        <row r="506">
          <cell r="C506">
            <v>46153.462164351855</v>
          </cell>
          <cell r="H506" t="str">
            <v>mail</v>
          </cell>
        </row>
        <row r="507">
          <cell r="C507">
            <v>46153.472430555557</v>
          </cell>
          <cell r="H507" t="str">
            <v>mail</v>
          </cell>
        </row>
        <row r="508">
          <cell r="C508">
            <v>46153.521863425929</v>
          </cell>
          <cell r="H508" t="str">
            <v>mail</v>
          </cell>
        </row>
        <row r="509">
          <cell r="C509">
            <v>46153.555694444447</v>
          </cell>
          <cell r="H509" t="str">
            <v>mail</v>
          </cell>
        </row>
        <row r="510">
          <cell r="C510">
            <v>46154.356435185182</v>
          </cell>
          <cell r="H510" t="str">
            <v>mail</v>
          </cell>
        </row>
        <row r="511">
          <cell r="C511">
            <v>46154.526655092595</v>
          </cell>
          <cell r="H511" t="str">
            <v>mail</v>
          </cell>
          <cell r="R511">
            <v>46154</v>
          </cell>
          <cell r="S511">
            <v>46198</v>
          </cell>
        </row>
        <row r="512">
          <cell r="C512">
            <v>46156.31753472222</v>
          </cell>
          <cell r="H512" t="str">
            <v>mail</v>
          </cell>
        </row>
        <row r="513">
          <cell r="C513">
            <v>46157.406585648147</v>
          </cell>
          <cell r="H513" t="str">
            <v>mail</v>
          </cell>
        </row>
        <row r="514">
          <cell r="C514">
            <v>46161.879317129627</v>
          </cell>
          <cell r="H514" t="str">
            <v>直接トラフィック</v>
          </cell>
        </row>
        <row r="515">
          <cell r="C515">
            <v>46162.59170138889</v>
          </cell>
          <cell r="H515" t="str">
            <v>直接トラフィック</v>
          </cell>
        </row>
        <row r="516">
          <cell r="C516">
            <v>46165.654814814814</v>
          </cell>
          <cell r="H516" t="str">
            <v>検索連動型広告</v>
          </cell>
        </row>
        <row r="517">
          <cell r="C517">
            <v>46166.272199074076</v>
          </cell>
          <cell r="H517" t="str">
            <v>検索連動型広告</v>
          </cell>
        </row>
        <row r="518">
          <cell r="C518">
            <v>46168.42324074074</v>
          </cell>
          <cell r="H518" t="str">
            <v>mail</v>
          </cell>
        </row>
        <row r="519">
          <cell r="C519">
            <v>46168.431539351855</v>
          </cell>
          <cell r="H519" t="str">
            <v>mail</v>
          </cell>
        </row>
        <row r="520">
          <cell r="C520">
            <v>46168.452372685184</v>
          </cell>
          <cell r="H520" t="str">
            <v>mail</v>
          </cell>
          <cell r="R520">
            <v>46168</v>
          </cell>
        </row>
        <row r="521">
          <cell r="C521">
            <v>46168.501261574071</v>
          </cell>
          <cell r="H521" t="str">
            <v>mail</v>
          </cell>
        </row>
        <row r="522">
          <cell r="C522">
            <v>46168.562638888892</v>
          </cell>
          <cell r="H522" t="str">
            <v>mail</v>
          </cell>
        </row>
        <row r="523">
          <cell r="C523">
            <v>46168.651087962964</v>
          </cell>
          <cell r="H523" t="str">
            <v>mail</v>
          </cell>
        </row>
        <row r="524">
          <cell r="C524">
            <v>46168.718773148146</v>
          </cell>
          <cell r="H524" t="str">
            <v>オフラインソース</v>
          </cell>
        </row>
        <row r="525">
          <cell r="C525">
            <v>46169.331331018519</v>
          </cell>
          <cell r="H525" t="str">
            <v>mail</v>
          </cell>
        </row>
        <row r="526">
          <cell r="C526">
            <v>46169.414594907408</v>
          </cell>
          <cell r="H526" t="str">
            <v>検索連動型広告</v>
          </cell>
        </row>
        <row r="527">
          <cell r="C527">
            <v>46169.80914351852</v>
          </cell>
          <cell r="H527" t="str">
            <v>mail</v>
          </cell>
        </row>
        <row r="528">
          <cell r="C528">
            <v>46170.476331018515</v>
          </cell>
          <cell r="H528" t="str">
            <v>検索連動型広告</v>
          </cell>
        </row>
        <row r="529">
          <cell r="C529">
            <v>46171.442685185182</v>
          </cell>
          <cell r="H529" t="str">
            <v>直接トラフィック</v>
          </cell>
        </row>
        <row r="530">
          <cell r="C530">
            <v>46171.761678240742</v>
          </cell>
          <cell r="H530" t="str">
            <v>他のキャンペーン</v>
          </cell>
        </row>
        <row r="531">
          <cell r="C531">
            <v>46178.45212962963</v>
          </cell>
          <cell r="H531" t="str">
            <v>オーガニック検索</v>
          </cell>
        </row>
        <row r="532">
          <cell r="C532">
            <v>46181.423171296294</v>
          </cell>
          <cell r="H532" t="str">
            <v>検索連動型広告</v>
          </cell>
        </row>
        <row r="533">
          <cell r="C533">
            <v>46181.457511574074</v>
          </cell>
          <cell r="H533" t="str">
            <v>mail</v>
          </cell>
        </row>
        <row r="534">
          <cell r="C534">
            <v>46181.648900462962</v>
          </cell>
          <cell r="H534" t="str">
            <v>検索連動型広告</v>
          </cell>
        </row>
        <row r="535">
          <cell r="C535">
            <v>46182.427407407406</v>
          </cell>
          <cell r="H535" t="str">
            <v>mail</v>
          </cell>
        </row>
        <row r="536">
          <cell r="C536">
            <v>46183.536608796298</v>
          </cell>
          <cell r="H536" t="str">
            <v>他のキャンペーン</v>
          </cell>
        </row>
        <row r="537">
          <cell r="C537">
            <v>46184.471458333333</v>
          </cell>
          <cell r="H537" t="str">
            <v>直接トラフィック</v>
          </cell>
        </row>
        <row r="538">
          <cell r="C538">
            <v>46184.66715277778</v>
          </cell>
          <cell r="H538" t="str">
            <v>他のキャンペーン</v>
          </cell>
        </row>
        <row r="539">
          <cell r="C539">
            <v>46188.975254629629</v>
          </cell>
          <cell r="H539" t="str">
            <v>オフラインソース</v>
          </cell>
        </row>
        <row r="540">
          <cell r="C540">
            <v>46190.628472222219</v>
          </cell>
          <cell r="H540" t="str">
            <v>検索連動型広告</v>
          </cell>
        </row>
        <row r="541">
          <cell r="C541">
            <v>46190.764803240738</v>
          </cell>
          <cell r="H541" t="str">
            <v>直接トラフィック</v>
          </cell>
          <cell r="R541">
            <v>46195</v>
          </cell>
        </row>
        <row r="542">
          <cell r="C542">
            <v>46190.808865740742</v>
          </cell>
          <cell r="H542" t="str">
            <v>直接トラフィック</v>
          </cell>
        </row>
        <row r="543">
          <cell r="C543">
            <v>46195.428055555552</v>
          </cell>
          <cell r="H543" t="str">
            <v>mail</v>
          </cell>
        </row>
        <row r="544">
          <cell r="C544">
            <v>46195.430590277778</v>
          </cell>
          <cell r="H544" t="str">
            <v>mail</v>
          </cell>
        </row>
        <row r="545">
          <cell r="C545">
            <v>46195.435578703706</v>
          </cell>
          <cell r="H545" t="str">
            <v>mail</v>
          </cell>
        </row>
        <row r="546">
          <cell r="C546">
            <v>46195.444606481484</v>
          </cell>
          <cell r="H546" t="str">
            <v>mail</v>
          </cell>
        </row>
        <row r="547">
          <cell r="C547">
            <v>46195.457094907404</v>
          </cell>
          <cell r="H547" t="str">
            <v>mail</v>
          </cell>
        </row>
        <row r="548">
          <cell r="C548">
            <v>46195.461099537039</v>
          </cell>
          <cell r="H548" t="str">
            <v>mail</v>
          </cell>
        </row>
        <row r="549">
          <cell r="C549">
            <v>46195.475277777776</v>
          </cell>
          <cell r="H549" t="str">
            <v>mail</v>
          </cell>
        </row>
        <row r="550">
          <cell r="C550">
            <v>46195.480428240742</v>
          </cell>
          <cell r="H550" t="str">
            <v>mail</v>
          </cell>
        </row>
        <row r="551">
          <cell r="C551">
            <v>46195.499456018515</v>
          </cell>
          <cell r="H551" t="str">
            <v>mail</v>
          </cell>
        </row>
        <row r="552">
          <cell r="C552">
            <v>46195.545902777776</v>
          </cell>
          <cell r="H552" t="str">
            <v>mail</v>
          </cell>
        </row>
        <row r="553">
          <cell r="C553">
            <v>46195.549340277779</v>
          </cell>
          <cell r="H553" t="str">
            <v>mail</v>
          </cell>
        </row>
        <row r="554">
          <cell r="C554">
            <v>46195.554502314815</v>
          </cell>
          <cell r="H554" t="str">
            <v>mail</v>
          </cell>
        </row>
        <row r="555">
          <cell r="C555">
            <v>46195.649097222224</v>
          </cell>
          <cell r="H555" t="str">
            <v>mail</v>
          </cell>
        </row>
        <row r="556">
          <cell r="C556">
            <v>46196.454618055555</v>
          </cell>
          <cell r="H556" t="str">
            <v>オフラインソース</v>
          </cell>
        </row>
        <row r="557">
          <cell r="C557">
            <v>46202.916284722225</v>
          </cell>
          <cell r="H557" t="str">
            <v>オーガニック検索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data_案件判定データ"/>
      <sheetName val="流入チャネル別顧客一覧"/>
      <sheetName val="流入チャネル別顧客一覧_ユニーク"/>
      <sheetName val="資料DL｜アタックリスト"/>
      <sheetName val="資料DL｜週別集計"/>
      <sheetName val="IS｜CVレポート"/>
      <sheetName val="流入チャネル別集計"/>
    </sheetNames>
    <sheetDataSet>
      <sheetData sheetId="0"/>
      <sheetData sheetId="1"/>
      <sheetData sheetId="2">
        <row r="1">
          <cell r="C1" t="str">
            <v>回答日時orCVしたメルマガ配信日時</v>
          </cell>
          <cell r="H1" t="str">
            <v>流入チャネル</v>
          </cell>
          <cell r="R1" t="str">
            <v>SAL（商談したい）</v>
          </cell>
          <cell r="S1" t="str">
            <v>SQL1（商談した）</v>
          </cell>
          <cell r="U1" t="str">
            <v>受注</v>
          </cell>
        </row>
        <row r="2">
          <cell r="C2">
            <v>45481.550694444442</v>
          </cell>
          <cell r="H2" t="str">
            <v>link</v>
          </cell>
        </row>
        <row r="3">
          <cell r="C3">
            <v>45498.727777777778</v>
          </cell>
          <cell r="H3" t="str">
            <v>direct</v>
          </cell>
        </row>
        <row r="4">
          <cell r="C4">
            <v>45503.171527777777</v>
          </cell>
          <cell r="H4" t="str">
            <v>direct</v>
          </cell>
        </row>
        <row r="5">
          <cell r="C5">
            <v>45512.370138888888</v>
          </cell>
          <cell r="H5" t="str">
            <v>direct</v>
          </cell>
        </row>
        <row r="6">
          <cell r="C6">
            <v>45512.493055555555</v>
          </cell>
          <cell r="H6" t="str">
            <v>link</v>
          </cell>
        </row>
        <row r="7">
          <cell r="C7">
            <v>45530.356249999997</v>
          </cell>
          <cell r="H7" t="str">
            <v>organic</v>
          </cell>
          <cell r="R7">
            <v>45530</v>
          </cell>
          <cell r="S7">
            <v>45539</v>
          </cell>
        </row>
        <row r="8">
          <cell r="C8">
            <v>45530.98333333333</v>
          </cell>
          <cell r="H8" t="str">
            <v>link</v>
          </cell>
        </row>
        <row r="9">
          <cell r="C9">
            <v>45534.826388888891</v>
          </cell>
          <cell r="H9" t="str">
            <v>direct</v>
          </cell>
        </row>
        <row r="10">
          <cell r="C10">
            <v>45546.429166666669</v>
          </cell>
          <cell r="H10" t="str">
            <v>mail</v>
          </cell>
        </row>
        <row r="11">
          <cell r="C11">
            <v>45546.447222222225</v>
          </cell>
          <cell r="H11" t="str">
            <v>column</v>
          </cell>
          <cell r="R11">
            <v>45546</v>
          </cell>
        </row>
        <row r="12">
          <cell r="C12">
            <v>45546.623611111114</v>
          </cell>
          <cell r="H12" t="str">
            <v>mail</v>
          </cell>
        </row>
        <row r="13">
          <cell r="C13">
            <v>45546.718055555553</v>
          </cell>
          <cell r="H13" t="str">
            <v>link</v>
          </cell>
        </row>
        <row r="14">
          <cell r="C14">
            <v>45552.464583333334</v>
          </cell>
          <cell r="H14" t="str">
            <v>link</v>
          </cell>
        </row>
        <row r="15">
          <cell r="C15">
            <v>45553.4</v>
          </cell>
          <cell r="H15" t="str">
            <v>organic</v>
          </cell>
        </row>
        <row r="16">
          <cell r="C16">
            <v>45573.43472222222</v>
          </cell>
          <cell r="H16" t="str">
            <v>mail</v>
          </cell>
        </row>
        <row r="17">
          <cell r="C17">
            <v>45575.531944444447</v>
          </cell>
          <cell r="H17" t="str">
            <v>direct</v>
          </cell>
          <cell r="R17">
            <v>45575</v>
          </cell>
          <cell r="S17">
            <v>45587</v>
          </cell>
        </row>
        <row r="18">
          <cell r="C18">
            <v>45593.602083333331</v>
          </cell>
          <cell r="H18" t="str">
            <v>link</v>
          </cell>
        </row>
        <row r="19">
          <cell r="C19">
            <v>45601.454861111109</v>
          </cell>
          <cell r="H19" t="str">
            <v>direct</v>
          </cell>
        </row>
        <row r="20">
          <cell r="C20">
            <v>45603.5</v>
          </cell>
          <cell r="H20" t="str">
            <v>mail</v>
          </cell>
        </row>
        <row r="21">
          <cell r="C21">
            <v>45608.413888888892</v>
          </cell>
          <cell r="H21" t="str">
            <v>listing</v>
          </cell>
        </row>
        <row r="22">
          <cell r="C22">
            <v>45609.432638888888</v>
          </cell>
          <cell r="H22" t="str">
            <v>mail</v>
          </cell>
        </row>
        <row r="23">
          <cell r="C23">
            <v>45621.416666666664</v>
          </cell>
          <cell r="H23" t="str">
            <v>mail</v>
          </cell>
          <cell r="R23">
            <v>45621.416666666664</v>
          </cell>
        </row>
        <row r="24">
          <cell r="C24">
            <v>45621.416666666664</v>
          </cell>
          <cell r="H24" t="str">
            <v>mail</v>
          </cell>
        </row>
        <row r="25">
          <cell r="C25">
            <v>45621.429861111108</v>
          </cell>
          <cell r="H25" t="str">
            <v>direct</v>
          </cell>
        </row>
        <row r="26">
          <cell r="C26">
            <v>45621.449305555558</v>
          </cell>
          <cell r="H26" t="str">
            <v>mail</v>
          </cell>
        </row>
        <row r="27">
          <cell r="C27">
            <v>45622.393055555556</v>
          </cell>
          <cell r="H27" t="str">
            <v>listing</v>
          </cell>
        </row>
        <row r="28">
          <cell r="C28">
            <v>45628.84375</v>
          </cell>
          <cell r="H28" t="str">
            <v>direct</v>
          </cell>
        </row>
        <row r="29">
          <cell r="C29">
            <v>45631.468055555553</v>
          </cell>
          <cell r="H29" t="str">
            <v>listing</v>
          </cell>
        </row>
        <row r="30">
          <cell r="C30">
            <v>45636.416666666664</v>
          </cell>
          <cell r="H30" t="str">
            <v>mail</v>
          </cell>
        </row>
        <row r="31">
          <cell r="C31">
            <v>45636.416666666664</v>
          </cell>
          <cell r="H31" t="str">
            <v>mail</v>
          </cell>
        </row>
        <row r="32">
          <cell r="C32">
            <v>45636.416666666664</v>
          </cell>
          <cell r="H32" t="str">
            <v>mail</v>
          </cell>
        </row>
        <row r="33">
          <cell r="C33">
            <v>45636.416666666664</v>
          </cell>
          <cell r="H33" t="str">
            <v>mail</v>
          </cell>
        </row>
        <row r="34">
          <cell r="C34">
            <v>45636.416666666664</v>
          </cell>
          <cell r="H34" t="str">
            <v>mail</v>
          </cell>
        </row>
        <row r="35">
          <cell r="C35">
            <v>45636.416666666664</v>
          </cell>
          <cell r="H35" t="str">
            <v>mail</v>
          </cell>
        </row>
        <row r="36">
          <cell r="C36">
            <v>45636.416666666664</v>
          </cell>
          <cell r="H36" t="str">
            <v>mail</v>
          </cell>
        </row>
        <row r="37">
          <cell r="C37">
            <v>45636.416666666664</v>
          </cell>
          <cell r="H37" t="str">
            <v>mail</v>
          </cell>
          <cell r="R37">
            <v>45636</v>
          </cell>
          <cell r="S37">
            <v>45818</v>
          </cell>
          <cell r="U37">
            <v>46082</v>
          </cell>
        </row>
        <row r="38">
          <cell r="C38">
            <v>45636.416666666664</v>
          </cell>
          <cell r="H38" t="str">
            <v>mail</v>
          </cell>
        </row>
        <row r="39">
          <cell r="C39">
            <v>45636.416666666664</v>
          </cell>
          <cell r="H39" t="str">
            <v>mail</v>
          </cell>
        </row>
        <row r="40">
          <cell r="C40">
            <v>45636.416666666664</v>
          </cell>
          <cell r="H40" t="str">
            <v>mail</v>
          </cell>
        </row>
        <row r="41">
          <cell r="C41">
            <v>45636.416666666664</v>
          </cell>
          <cell r="H41" t="str">
            <v>mail</v>
          </cell>
          <cell r="R41">
            <v>45636.416666666664</v>
          </cell>
        </row>
        <row r="42">
          <cell r="C42">
            <v>45636.767361111109</v>
          </cell>
          <cell r="H42" t="str">
            <v>organic</v>
          </cell>
          <cell r="R42">
            <v>45636.767361111109</v>
          </cell>
          <cell r="S42">
            <v>45627</v>
          </cell>
        </row>
        <row r="43">
          <cell r="C43">
            <v>45639.508333333331</v>
          </cell>
          <cell r="H43" t="str">
            <v>link</v>
          </cell>
          <cell r="R43">
            <v>45639.508333333331</v>
          </cell>
          <cell r="S43">
            <v>45627</v>
          </cell>
        </row>
        <row r="44">
          <cell r="C44">
            <v>45644.44027777778</v>
          </cell>
          <cell r="H44" t="str">
            <v>listing</v>
          </cell>
        </row>
        <row r="45">
          <cell r="C45">
            <v>45664.416666666664</v>
          </cell>
          <cell r="H45" t="str">
            <v>mail</v>
          </cell>
        </row>
        <row r="46">
          <cell r="C46">
            <v>45664.416666666664</v>
          </cell>
          <cell r="H46" t="str">
            <v>mail</v>
          </cell>
        </row>
        <row r="47">
          <cell r="C47">
            <v>45664.416666666664</v>
          </cell>
          <cell r="H47" t="str">
            <v>mail</v>
          </cell>
        </row>
        <row r="48">
          <cell r="C48">
            <v>45664.615277777775</v>
          </cell>
          <cell r="H48" t="str">
            <v>listing</v>
          </cell>
        </row>
        <row r="49">
          <cell r="C49">
            <v>45687.713888888888</v>
          </cell>
          <cell r="H49" t="str">
            <v>listing</v>
          </cell>
        </row>
        <row r="50">
          <cell r="C50">
            <v>45687.918749999997</v>
          </cell>
          <cell r="H50" t="str">
            <v>link</v>
          </cell>
        </row>
        <row r="51">
          <cell r="C51">
            <v>45688.375694444447</v>
          </cell>
          <cell r="H51" t="str">
            <v>link</v>
          </cell>
        </row>
        <row r="52">
          <cell r="C52">
            <v>45688.460416666669</v>
          </cell>
          <cell r="H52" t="str">
            <v>listing</v>
          </cell>
        </row>
        <row r="53">
          <cell r="C53">
            <v>45692.65902777778</v>
          </cell>
          <cell r="H53" t="str">
            <v>listing</v>
          </cell>
        </row>
        <row r="54">
          <cell r="C54">
            <v>45694.530555555553</v>
          </cell>
          <cell r="H54" t="str">
            <v>listing</v>
          </cell>
          <cell r="R54">
            <v>45694.530555555553</v>
          </cell>
          <cell r="S54">
            <v>45336</v>
          </cell>
        </row>
        <row r="55">
          <cell r="C55">
            <v>45699.907638888886</v>
          </cell>
          <cell r="H55" t="str">
            <v>link</v>
          </cell>
        </row>
        <row r="56">
          <cell r="C56">
            <v>45705.416666666664</v>
          </cell>
          <cell r="H56" t="str">
            <v>mail</v>
          </cell>
        </row>
        <row r="57">
          <cell r="C57">
            <v>45705.416666666664</v>
          </cell>
          <cell r="H57" t="str">
            <v>mail</v>
          </cell>
        </row>
        <row r="58">
          <cell r="C58">
            <v>45705.416666666664</v>
          </cell>
          <cell r="H58" t="str">
            <v>mail</v>
          </cell>
        </row>
        <row r="59">
          <cell r="C59">
            <v>45705.416666666664</v>
          </cell>
          <cell r="H59" t="str">
            <v>mail</v>
          </cell>
        </row>
        <row r="60">
          <cell r="C60">
            <v>45705.416666666664</v>
          </cell>
          <cell r="H60" t="str">
            <v>mail</v>
          </cell>
        </row>
        <row r="61">
          <cell r="C61">
            <v>45705.416666666664</v>
          </cell>
          <cell r="H61" t="str">
            <v>mail</v>
          </cell>
        </row>
        <row r="62">
          <cell r="C62">
            <v>45705.416666666664</v>
          </cell>
          <cell r="H62" t="str">
            <v>mail</v>
          </cell>
        </row>
        <row r="63">
          <cell r="C63">
            <v>45705.416666666664</v>
          </cell>
          <cell r="H63" t="str">
            <v>mail</v>
          </cell>
        </row>
        <row r="64">
          <cell r="C64">
            <v>45705.416666666664</v>
          </cell>
          <cell r="H64" t="str">
            <v>mail</v>
          </cell>
        </row>
        <row r="65">
          <cell r="C65">
            <v>45705.416666666664</v>
          </cell>
          <cell r="H65" t="str">
            <v>mail</v>
          </cell>
        </row>
        <row r="66">
          <cell r="C66">
            <v>45705.416666666664</v>
          </cell>
          <cell r="H66" t="str">
            <v>mail</v>
          </cell>
        </row>
        <row r="67">
          <cell r="C67">
            <v>45705.416666666664</v>
          </cell>
          <cell r="H67" t="str">
            <v>mail</v>
          </cell>
          <cell r="R67">
            <v>45705.416666666664</v>
          </cell>
        </row>
        <row r="68">
          <cell r="C68">
            <v>45705.416666666664</v>
          </cell>
          <cell r="H68" t="str">
            <v>mail</v>
          </cell>
        </row>
        <row r="69">
          <cell r="C69">
            <v>45705.416666666664</v>
          </cell>
          <cell r="H69" t="str">
            <v>mail</v>
          </cell>
        </row>
        <row r="70">
          <cell r="C70">
            <v>45705.416666666664</v>
          </cell>
          <cell r="H70" t="str">
            <v>mail</v>
          </cell>
        </row>
        <row r="71">
          <cell r="C71">
            <v>45705.416666666664</v>
          </cell>
          <cell r="H71" t="str">
            <v>mail</v>
          </cell>
        </row>
        <row r="72">
          <cell r="C72">
            <v>45705.416666666664</v>
          </cell>
          <cell r="H72" t="str">
            <v>mail</v>
          </cell>
        </row>
        <row r="73">
          <cell r="C73">
            <v>45705.416666666664</v>
          </cell>
          <cell r="H73" t="str">
            <v>mail</v>
          </cell>
        </row>
        <row r="74">
          <cell r="C74">
            <v>45705.416666666664</v>
          </cell>
          <cell r="H74" t="str">
            <v>mail</v>
          </cell>
        </row>
        <row r="75">
          <cell r="C75">
            <v>45705.416666666664</v>
          </cell>
          <cell r="H75" t="str">
            <v>mail</v>
          </cell>
        </row>
        <row r="76">
          <cell r="C76">
            <v>45705.416666666664</v>
          </cell>
          <cell r="H76" t="str">
            <v>mail</v>
          </cell>
        </row>
        <row r="77">
          <cell r="C77">
            <v>45705.416666666664</v>
          </cell>
          <cell r="H77" t="str">
            <v>mail</v>
          </cell>
        </row>
        <row r="78">
          <cell r="C78">
            <v>45705.416666666664</v>
          </cell>
          <cell r="H78" t="str">
            <v>mail</v>
          </cell>
        </row>
        <row r="79">
          <cell r="C79">
            <v>45705.416666666664</v>
          </cell>
          <cell r="H79" t="str">
            <v>mail</v>
          </cell>
        </row>
        <row r="80">
          <cell r="C80">
            <v>45705.416666666664</v>
          </cell>
          <cell r="H80" t="str">
            <v>mail</v>
          </cell>
        </row>
        <row r="81">
          <cell r="C81">
            <v>45705.416666666664</v>
          </cell>
          <cell r="H81" t="str">
            <v>mail</v>
          </cell>
          <cell r="R81">
            <v>45705.416666666664</v>
          </cell>
        </row>
        <row r="82">
          <cell r="C82">
            <v>45705.416666666664</v>
          </cell>
          <cell r="H82" t="str">
            <v>mail</v>
          </cell>
        </row>
        <row r="83">
          <cell r="C83">
            <v>45705.416666666664</v>
          </cell>
          <cell r="H83" t="str">
            <v>mail</v>
          </cell>
        </row>
        <row r="84">
          <cell r="C84">
            <v>45705.416666666664</v>
          </cell>
          <cell r="H84" t="str">
            <v>mail</v>
          </cell>
        </row>
        <row r="85">
          <cell r="C85">
            <v>45705.416666666664</v>
          </cell>
          <cell r="H85" t="str">
            <v>mail</v>
          </cell>
        </row>
        <row r="86">
          <cell r="C86">
            <v>45705.416666666664</v>
          </cell>
          <cell r="H86" t="str">
            <v>mail</v>
          </cell>
        </row>
        <row r="87">
          <cell r="C87">
            <v>45705.416666666664</v>
          </cell>
          <cell r="H87" t="str">
            <v>mail</v>
          </cell>
        </row>
        <row r="88">
          <cell r="C88">
            <v>45705.416666666664</v>
          </cell>
          <cell r="H88" t="str">
            <v>mail</v>
          </cell>
        </row>
        <row r="89">
          <cell r="C89">
            <v>45705.416666666664</v>
          </cell>
          <cell r="H89" t="str">
            <v>mail</v>
          </cell>
        </row>
        <row r="90">
          <cell r="C90">
            <v>45705.416666666664</v>
          </cell>
          <cell r="H90" t="str">
            <v>mail</v>
          </cell>
        </row>
        <row r="91">
          <cell r="C91">
            <v>45705.416666666664</v>
          </cell>
          <cell r="H91" t="str">
            <v>mail</v>
          </cell>
        </row>
        <row r="92">
          <cell r="C92">
            <v>45705.416666666664</v>
          </cell>
          <cell r="H92" t="str">
            <v>mail</v>
          </cell>
        </row>
        <row r="93">
          <cell r="C93">
            <v>45705.416666666664</v>
          </cell>
          <cell r="H93" t="str">
            <v>mail</v>
          </cell>
        </row>
        <row r="94">
          <cell r="C94">
            <v>45705.416666666664</v>
          </cell>
          <cell r="H94" t="str">
            <v>mail</v>
          </cell>
        </row>
        <row r="95">
          <cell r="C95">
            <v>45705.416666666664</v>
          </cell>
          <cell r="H95" t="str">
            <v>mail</v>
          </cell>
          <cell r="R95">
            <v>45705.416666666664</v>
          </cell>
        </row>
        <row r="96">
          <cell r="C96">
            <v>45705.416666666664</v>
          </cell>
          <cell r="H96" t="str">
            <v>mail</v>
          </cell>
          <cell r="R96">
            <v>45705.416666666664</v>
          </cell>
        </row>
        <row r="97">
          <cell r="C97">
            <v>45705.416666666664</v>
          </cell>
          <cell r="H97" t="str">
            <v>mail</v>
          </cell>
        </row>
        <row r="98">
          <cell r="C98">
            <v>45705.416666666664</v>
          </cell>
          <cell r="H98" t="str">
            <v>mail</v>
          </cell>
        </row>
        <row r="99">
          <cell r="C99">
            <v>45705.416666666664</v>
          </cell>
          <cell r="H99" t="str">
            <v>mail</v>
          </cell>
        </row>
        <row r="100">
          <cell r="C100">
            <v>45705.416666666664</v>
          </cell>
          <cell r="H100" t="str">
            <v>mail</v>
          </cell>
        </row>
        <row r="101">
          <cell r="C101">
            <v>45705.416666666664</v>
          </cell>
          <cell r="H101" t="str">
            <v>mail</v>
          </cell>
        </row>
        <row r="102">
          <cell r="C102">
            <v>45705.416666666664</v>
          </cell>
          <cell r="H102" t="str">
            <v>mail</v>
          </cell>
        </row>
        <row r="103">
          <cell r="C103">
            <v>45705.416666666664</v>
          </cell>
          <cell r="H103" t="str">
            <v>mail</v>
          </cell>
        </row>
        <row r="104">
          <cell r="C104">
            <v>45705.416666666664</v>
          </cell>
          <cell r="H104" t="str">
            <v>mail</v>
          </cell>
        </row>
        <row r="105">
          <cell r="C105">
            <v>45705.416666666664</v>
          </cell>
          <cell r="H105" t="str">
            <v>mail</v>
          </cell>
        </row>
        <row r="106">
          <cell r="C106">
            <v>45705.416666666664</v>
          </cell>
          <cell r="H106" t="str">
            <v>mail</v>
          </cell>
        </row>
        <row r="107">
          <cell r="C107">
            <v>45705.416666666664</v>
          </cell>
          <cell r="H107" t="str">
            <v>mail</v>
          </cell>
        </row>
        <row r="108">
          <cell r="C108">
            <v>45705.416666666664</v>
          </cell>
          <cell r="H108" t="str">
            <v>mail</v>
          </cell>
        </row>
        <row r="109">
          <cell r="C109">
            <v>45705.416666666664</v>
          </cell>
          <cell r="H109" t="str">
            <v>mail</v>
          </cell>
        </row>
        <row r="110">
          <cell r="C110">
            <v>45705.416666666664</v>
          </cell>
          <cell r="H110" t="str">
            <v>mail</v>
          </cell>
        </row>
        <row r="111">
          <cell r="C111">
            <v>45705.416666666664</v>
          </cell>
          <cell r="H111" t="str">
            <v>mail</v>
          </cell>
        </row>
        <row r="112">
          <cell r="C112">
            <v>45705.416666666664</v>
          </cell>
          <cell r="H112" t="str">
            <v>mail</v>
          </cell>
        </row>
        <row r="113">
          <cell r="C113">
            <v>45705.416666666664</v>
          </cell>
          <cell r="H113" t="str">
            <v>mail</v>
          </cell>
        </row>
        <row r="114">
          <cell r="C114">
            <v>45705.416666666664</v>
          </cell>
          <cell r="H114" t="str">
            <v>mail</v>
          </cell>
        </row>
        <row r="115">
          <cell r="C115">
            <v>45705.463888888888</v>
          </cell>
          <cell r="H115" t="str">
            <v>link</v>
          </cell>
        </row>
        <row r="116">
          <cell r="C116">
            <v>45706.497916666667</v>
          </cell>
          <cell r="H116" t="str">
            <v>listing</v>
          </cell>
        </row>
        <row r="117">
          <cell r="C117">
            <v>45706.978472222225</v>
          </cell>
          <cell r="H117" t="str">
            <v>listing</v>
          </cell>
        </row>
        <row r="118">
          <cell r="C118">
            <v>45715.57708333333</v>
          </cell>
          <cell r="H118" t="str">
            <v>listing</v>
          </cell>
        </row>
        <row r="119">
          <cell r="C119">
            <v>45716.48333333333</v>
          </cell>
          <cell r="H119" t="str">
            <v>listing</v>
          </cell>
        </row>
        <row r="120">
          <cell r="C120">
            <v>45719.45</v>
          </cell>
          <cell r="H120" t="str">
            <v>listing</v>
          </cell>
        </row>
        <row r="121">
          <cell r="C121">
            <v>45723.597916666666</v>
          </cell>
          <cell r="H121" t="str">
            <v>direct</v>
          </cell>
        </row>
        <row r="122">
          <cell r="C122">
            <v>45727.597222222219</v>
          </cell>
          <cell r="H122" t="str">
            <v>listing</v>
          </cell>
        </row>
        <row r="123">
          <cell r="C123">
            <v>45729.688888888886</v>
          </cell>
          <cell r="H123" t="str">
            <v>others</v>
          </cell>
        </row>
        <row r="124">
          <cell r="C124">
            <v>45749.416666666664</v>
          </cell>
          <cell r="H124" t="str">
            <v>mail</v>
          </cell>
        </row>
        <row r="125">
          <cell r="C125">
            <v>45749.706250000003</v>
          </cell>
          <cell r="H125" t="str">
            <v>listing</v>
          </cell>
        </row>
        <row r="126">
          <cell r="C126">
            <v>45749.756944444445</v>
          </cell>
          <cell r="H126" t="str">
            <v>link</v>
          </cell>
        </row>
        <row r="127">
          <cell r="C127">
            <v>45749.788194444445</v>
          </cell>
          <cell r="H127" t="str">
            <v>listing</v>
          </cell>
        </row>
        <row r="128">
          <cell r="C128">
            <v>45757.556944444441</v>
          </cell>
          <cell r="H128" t="str">
            <v>listing</v>
          </cell>
        </row>
        <row r="129">
          <cell r="C129">
            <v>45762.599305555559</v>
          </cell>
          <cell r="H129" t="str">
            <v>listing</v>
          </cell>
          <cell r="R129">
            <v>45397</v>
          </cell>
        </row>
        <row r="130">
          <cell r="C130">
            <v>45807.416666666664</v>
          </cell>
          <cell r="H130" t="str">
            <v>mail</v>
          </cell>
          <cell r="R130">
            <v>45442</v>
          </cell>
        </row>
        <row r="131">
          <cell r="C131">
            <v>45807.416666666664</v>
          </cell>
          <cell r="H131" t="str">
            <v>mail</v>
          </cell>
        </row>
        <row r="132">
          <cell r="C132">
            <v>45807.416666666664</v>
          </cell>
          <cell r="H132" t="str">
            <v>mail</v>
          </cell>
        </row>
        <row r="133">
          <cell r="C133">
            <v>45807.545138888891</v>
          </cell>
          <cell r="H133" t="str">
            <v>listing</v>
          </cell>
        </row>
        <row r="134">
          <cell r="C134">
            <v>45807.75</v>
          </cell>
          <cell r="H134" t="str">
            <v>link</v>
          </cell>
          <cell r="R134">
            <v>45807</v>
          </cell>
          <cell r="S134">
            <v>45819</v>
          </cell>
        </row>
        <row r="135">
          <cell r="C135">
            <v>45817.577777777777</v>
          </cell>
          <cell r="H135" t="str">
            <v>others</v>
          </cell>
        </row>
        <row r="136">
          <cell r="C136">
            <v>45824.416666666664</v>
          </cell>
          <cell r="H136" t="str">
            <v>mail</v>
          </cell>
        </row>
        <row r="137">
          <cell r="C137">
            <v>45827.407638888886</v>
          </cell>
          <cell r="H137" t="str">
            <v>others</v>
          </cell>
        </row>
        <row r="138">
          <cell r="C138">
            <v>45831.416666666664</v>
          </cell>
          <cell r="H138" t="str">
            <v>mail</v>
          </cell>
        </row>
        <row r="139">
          <cell r="C139">
            <v>45831.416666666664</v>
          </cell>
          <cell r="H139" t="str">
            <v>mail</v>
          </cell>
        </row>
        <row r="140">
          <cell r="C140">
            <v>45831.416666666664</v>
          </cell>
          <cell r="H140" t="str">
            <v>mail</v>
          </cell>
        </row>
        <row r="141">
          <cell r="C141">
            <v>45831.416666666664</v>
          </cell>
          <cell r="H141" t="str">
            <v>mail</v>
          </cell>
        </row>
        <row r="142">
          <cell r="C142">
            <v>45831.416666666664</v>
          </cell>
          <cell r="H142" t="str">
            <v>mail</v>
          </cell>
        </row>
        <row r="143">
          <cell r="C143">
            <v>45831.416666666664</v>
          </cell>
          <cell r="H143" t="str">
            <v>mail</v>
          </cell>
          <cell r="R143">
            <v>45831</v>
          </cell>
        </row>
        <row r="144">
          <cell r="C144">
            <v>45832.625</v>
          </cell>
          <cell r="H144" t="str">
            <v>case</v>
          </cell>
        </row>
        <row r="145">
          <cell r="C145">
            <v>45832.63958333333</v>
          </cell>
          <cell r="H145" t="str">
            <v>link</v>
          </cell>
        </row>
        <row r="146">
          <cell r="C146">
            <v>45834.584027777775</v>
          </cell>
          <cell r="H146" t="str">
            <v>organic</v>
          </cell>
          <cell r="R146">
            <v>45834.584027777775</v>
          </cell>
        </row>
        <row r="147">
          <cell r="C147">
            <v>45841.541666666664</v>
          </cell>
          <cell r="H147" t="str">
            <v>検索連動型広告</v>
          </cell>
        </row>
        <row r="148">
          <cell r="C148">
            <v>45846.5</v>
          </cell>
          <cell r="H148" t="str">
            <v>オーガニック検索</v>
          </cell>
        </row>
        <row r="149">
          <cell r="C149">
            <v>45852.375</v>
          </cell>
          <cell r="H149" t="str">
            <v>listing</v>
          </cell>
        </row>
        <row r="150">
          <cell r="C150">
            <v>45852.625</v>
          </cell>
          <cell r="H150" t="str">
            <v>他のキャンペーン</v>
          </cell>
        </row>
        <row r="151">
          <cell r="C151">
            <v>45854.498611111114</v>
          </cell>
          <cell r="H151" t="str">
            <v>mail</v>
          </cell>
        </row>
        <row r="152">
          <cell r="C152">
            <v>45854.499305555553</v>
          </cell>
          <cell r="H152" t="str">
            <v>mail</v>
          </cell>
          <cell r="R152">
            <v>45854.499305555553</v>
          </cell>
        </row>
        <row r="153">
          <cell r="C153">
            <v>45854.508333333331</v>
          </cell>
          <cell r="H153" t="str">
            <v>mail</v>
          </cell>
        </row>
        <row r="154">
          <cell r="C154">
            <v>45854.520138888889</v>
          </cell>
          <cell r="H154" t="str">
            <v>mail</v>
          </cell>
        </row>
        <row r="155">
          <cell r="C155">
            <v>45854.53402777778</v>
          </cell>
          <cell r="H155" t="str">
            <v>mail</v>
          </cell>
        </row>
        <row r="156">
          <cell r="C156">
            <v>45855.499305555553</v>
          </cell>
          <cell r="H156" t="str">
            <v>mail</v>
          </cell>
          <cell r="R156">
            <v>45855.499305555553</v>
          </cell>
        </row>
        <row r="157">
          <cell r="C157">
            <v>45855.500694444447</v>
          </cell>
          <cell r="H157" t="str">
            <v>mail</v>
          </cell>
          <cell r="R157">
            <v>45855.500694444447</v>
          </cell>
          <cell r="S157">
            <v>45901</v>
          </cell>
        </row>
        <row r="158">
          <cell r="C158">
            <v>45860.432638888888</v>
          </cell>
          <cell r="H158" t="str">
            <v>mail</v>
          </cell>
          <cell r="R158">
            <v>45860.432638888888</v>
          </cell>
        </row>
        <row r="159">
          <cell r="C159">
            <v>45862.625</v>
          </cell>
          <cell r="H159" t="str">
            <v>他のキャンペーン</v>
          </cell>
        </row>
        <row r="160">
          <cell r="C160">
            <v>45863.504861111112</v>
          </cell>
          <cell r="H160" t="str">
            <v>mail</v>
          </cell>
          <cell r="R160">
            <v>45863.504861111112</v>
          </cell>
        </row>
        <row r="161">
          <cell r="C161">
            <v>45863.742361111108</v>
          </cell>
          <cell r="H161" t="str">
            <v>mail</v>
          </cell>
          <cell r="R161">
            <v>45863.742361111108</v>
          </cell>
        </row>
        <row r="162">
          <cell r="C162">
            <v>45864.461805555555</v>
          </cell>
          <cell r="H162" t="str">
            <v>mail</v>
          </cell>
        </row>
        <row r="163">
          <cell r="C163">
            <v>45873.64166666667</v>
          </cell>
          <cell r="H163" t="str">
            <v>直接トラフィック</v>
          </cell>
        </row>
        <row r="164">
          <cell r="C164">
            <v>45894.386805555558</v>
          </cell>
          <cell r="H164" t="str">
            <v>直接トラフィック</v>
          </cell>
        </row>
        <row r="165">
          <cell r="C165">
            <v>45894.42291666667</v>
          </cell>
          <cell r="H165" t="str">
            <v>mail</v>
          </cell>
        </row>
        <row r="166">
          <cell r="C166">
            <v>45894.423611111109</v>
          </cell>
          <cell r="H166" t="str">
            <v>mail</v>
          </cell>
        </row>
        <row r="167">
          <cell r="C167">
            <v>45894.423611111109</v>
          </cell>
          <cell r="H167" t="str">
            <v>mail</v>
          </cell>
        </row>
        <row r="168">
          <cell r="C168">
            <v>45894.424305555556</v>
          </cell>
          <cell r="H168" t="str">
            <v>mail</v>
          </cell>
        </row>
        <row r="169">
          <cell r="C169">
            <v>45894.425000000003</v>
          </cell>
          <cell r="H169" t="str">
            <v>mail</v>
          </cell>
        </row>
        <row r="170">
          <cell r="C170">
            <v>45894.425694444442</v>
          </cell>
          <cell r="H170" t="str">
            <v>mail</v>
          </cell>
        </row>
        <row r="171">
          <cell r="C171">
            <v>45894.425694444442</v>
          </cell>
          <cell r="H171" t="str">
            <v>mail</v>
          </cell>
        </row>
        <row r="172">
          <cell r="C172">
            <v>45894.426388888889</v>
          </cell>
          <cell r="H172" t="str">
            <v>mail</v>
          </cell>
          <cell r="R172">
            <v>45870</v>
          </cell>
        </row>
        <row r="173">
          <cell r="C173">
            <v>45894.426388888889</v>
          </cell>
          <cell r="H173" t="str">
            <v>mail</v>
          </cell>
        </row>
        <row r="174">
          <cell r="C174">
            <v>45894.427083333336</v>
          </cell>
          <cell r="H174" t="str">
            <v>mail</v>
          </cell>
        </row>
        <row r="175">
          <cell r="C175">
            <v>45894.429166666669</v>
          </cell>
          <cell r="H175" t="str">
            <v>mail</v>
          </cell>
        </row>
        <row r="176">
          <cell r="C176">
            <v>45894.432638888888</v>
          </cell>
          <cell r="H176" t="str">
            <v>mail</v>
          </cell>
        </row>
        <row r="177">
          <cell r="C177">
            <v>45894.436111111114</v>
          </cell>
          <cell r="H177" t="str">
            <v>mail</v>
          </cell>
        </row>
        <row r="178">
          <cell r="C178">
            <v>45894.436805555553</v>
          </cell>
          <cell r="H178" t="str">
            <v>mail</v>
          </cell>
        </row>
        <row r="179">
          <cell r="C179">
            <v>45894.4375</v>
          </cell>
          <cell r="H179" t="str">
            <v>mail</v>
          </cell>
        </row>
        <row r="180">
          <cell r="C180">
            <v>45894.443749999999</v>
          </cell>
          <cell r="H180" t="str">
            <v>mail</v>
          </cell>
        </row>
        <row r="181">
          <cell r="C181">
            <v>45894.448611111111</v>
          </cell>
          <cell r="H181" t="str">
            <v>mail</v>
          </cell>
        </row>
        <row r="182">
          <cell r="C182">
            <v>45894.481944444444</v>
          </cell>
          <cell r="H182" t="str">
            <v>mail</v>
          </cell>
        </row>
        <row r="183">
          <cell r="C183">
            <v>45894.536111111112</v>
          </cell>
          <cell r="H183" t="str">
            <v>mail</v>
          </cell>
        </row>
        <row r="184">
          <cell r="C184">
            <v>45894.570138888892</v>
          </cell>
          <cell r="H184" t="str">
            <v>mail</v>
          </cell>
          <cell r="R184">
            <v>45870</v>
          </cell>
        </row>
        <row r="185">
          <cell r="C185">
            <v>45895.420138888891</v>
          </cell>
          <cell r="H185" t="str">
            <v>mail</v>
          </cell>
        </row>
        <row r="186">
          <cell r="C186">
            <v>45895.449305555558</v>
          </cell>
          <cell r="H186" t="str">
            <v>mail</v>
          </cell>
        </row>
        <row r="187">
          <cell r="C187">
            <v>45899.713194444441</v>
          </cell>
          <cell r="H187" t="str">
            <v>リファラル</v>
          </cell>
        </row>
        <row r="188">
          <cell r="C188">
            <v>45902.394444444442</v>
          </cell>
          <cell r="H188" t="str">
            <v>direct</v>
          </cell>
        </row>
        <row r="189">
          <cell r="C189">
            <v>45916.55972222222</v>
          </cell>
          <cell r="H189" t="str">
            <v>direct</v>
          </cell>
          <cell r="R189">
            <v>45931</v>
          </cell>
          <cell r="S189">
            <v>45931</v>
          </cell>
        </row>
        <row r="190">
          <cell r="C190">
            <v>45916.581944444442</v>
          </cell>
          <cell r="H190" t="str">
            <v>リファラル</v>
          </cell>
        </row>
        <row r="191">
          <cell r="C191">
            <v>45917.46597222222</v>
          </cell>
          <cell r="H191" t="str">
            <v>mail</v>
          </cell>
          <cell r="R191">
            <v>45901</v>
          </cell>
        </row>
        <row r="192">
          <cell r="C192">
            <v>45924.738888888889</v>
          </cell>
          <cell r="H192" t="str">
            <v>他のキャンペーン</v>
          </cell>
        </row>
        <row r="193">
          <cell r="C193">
            <v>45937.416666666664</v>
          </cell>
          <cell r="H193" t="str">
            <v>他のキャンペーン</v>
          </cell>
        </row>
        <row r="194">
          <cell r="C194">
            <v>45947.916666666664</v>
          </cell>
          <cell r="H194" t="str">
            <v>直接トラフィック</v>
          </cell>
        </row>
        <row r="195">
          <cell r="C195">
            <v>45940.515277777777</v>
          </cell>
          <cell r="H195" t="str">
            <v>mail</v>
          </cell>
        </row>
        <row r="196">
          <cell r="C196">
            <v>45940.518750000003</v>
          </cell>
          <cell r="H196" t="str">
            <v>mail</v>
          </cell>
        </row>
        <row r="197">
          <cell r="C197">
            <v>45940.521527777775</v>
          </cell>
          <cell r="H197" t="str">
            <v>mail</v>
          </cell>
        </row>
        <row r="198">
          <cell r="C198">
            <v>45940.569444444445</v>
          </cell>
          <cell r="H198" t="str">
            <v>mail</v>
          </cell>
          <cell r="R198">
            <v>45931</v>
          </cell>
        </row>
        <row r="199">
          <cell r="C199">
            <v>45940.570138888892</v>
          </cell>
          <cell r="H199" t="str">
            <v>mail</v>
          </cell>
        </row>
        <row r="200">
          <cell r="C200">
            <v>45940.582638888889</v>
          </cell>
          <cell r="H200" t="str">
            <v>mail</v>
          </cell>
          <cell r="R200">
            <v>45931</v>
          </cell>
        </row>
        <row r="201">
          <cell r="C201">
            <v>45940.590277777781</v>
          </cell>
          <cell r="H201" t="str">
            <v>mail</v>
          </cell>
        </row>
        <row r="202">
          <cell r="C202">
            <v>45940.601388888892</v>
          </cell>
          <cell r="H202" t="str">
            <v>mail</v>
          </cell>
        </row>
        <row r="203">
          <cell r="C203">
            <v>45940.631944444445</v>
          </cell>
          <cell r="H203" t="str">
            <v>mail</v>
          </cell>
        </row>
        <row r="204">
          <cell r="C204">
            <v>45941.39166666667</v>
          </cell>
          <cell r="H204" t="str">
            <v>mail</v>
          </cell>
          <cell r="R204">
            <v>45931</v>
          </cell>
        </row>
        <row r="205">
          <cell r="C205">
            <v>45941.444444444445</v>
          </cell>
          <cell r="H205" t="str">
            <v>mail</v>
          </cell>
        </row>
        <row r="206">
          <cell r="C206">
            <v>45944.431944444441</v>
          </cell>
          <cell r="H206" t="str">
            <v>mail</v>
          </cell>
        </row>
        <row r="207">
          <cell r="C207">
            <v>45947.949305555558</v>
          </cell>
          <cell r="H207" t="str">
            <v>直接トラフィック</v>
          </cell>
        </row>
        <row r="208">
          <cell r="C208">
            <v>45952.789583333331</v>
          </cell>
          <cell r="H208" t="str">
            <v>mail</v>
          </cell>
        </row>
        <row r="209">
          <cell r="C209">
            <v>45971.419444444444</v>
          </cell>
          <cell r="H209" t="str">
            <v>mail</v>
          </cell>
        </row>
        <row r="210">
          <cell r="C210">
            <v>45971.42291666667</v>
          </cell>
          <cell r="H210" t="str">
            <v>mail</v>
          </cell>
        </row>
        <row r="211">
          <cell r="C211">
            <v>45971.43472222222</v>
          </cell>
          <cell r="H211" t="str">
            <v>mail</v>
          </cell>
        </row>
        <row r="212">
          <cell r="C212">
            <v>45971.4375</v>
          </cell>
          <cell r="H212" t="str">
            <v>mail</v>
          </cell>
          <cell r="R212">
            <v>45962</v>
          </cell>
        </row>
        <row r="213">
          <cell r="C213">
            <v>45971.464583333334</v>
          </cell>
          <cell r="H213" t="str">
            <v>mail</v>
          </cell>
        </row>
        <row r="214">
          <cell r="C214">
            <v>45971.464583333334</v>
          </cell>
          <cell r="H214" t="str">
            <v>mail</v>
          </cell>
        </row>
        <row r="215">
          <cell r="C215">
            <v>45971.465277777781</v>
          </cell>
          <cell r="H215" t="str">
            <v>mail</v>
          </cell>
        </row>
        <row r="216">
          <cell r="C216">
            <v>45971.479861111111</v>
          </cell>
          <cell r="H216" t="str">
            <v>mail</v>
          </cell>
        </row>
        <row r="217">
          <cell r="C217">
            <v>45971.631249999999</v>
          </cell>
          <cell r="H217" t="str">
            <v>mail</v>
          </cell>
        </row>
        <row r="218">
          <cell r="C218">
            <v>45994.619247685187</v>
          </cell>
          <cell r="H218" t="str">
            <v>mail</v>
          </cell>
          <cell r="R218">
            <v>45992</v>
          </cell>
        </row>
        <row r="219">
          <cell r="C219">
            <v>46006.758333333331</v>
          </cell>
          <cell r="H219" t="str">
            <v>リファーラル</v>
          </cell>
        </row>
        <row r="220">
          <cell r="C220">
            <v>46014.41915509259</v>
          </cell>
          <cell r="H220" t="str">
            <v>mail</v>
          </cell>
        </row>
        <row r="221">
          <cell r="C221">
            <v>46014.41920138889</v>
          </cell>
          <cell r="H221" t="str">
            <v>mail</v>
          </cell>
        </row>
        <row r="222">
          <cell r="C222">
            <v>46014.419236111113</v>
          </cell>
          <cell r="H222" t="str">
            <v>mail</v>
          </cell>
        </row>
        <row r="223">
          <cell r="C223">
            <v>46014.419386574074</v>
          </cell>
          <cell r="H223" t="str">
            <v>mail</v>
          </cell>
        </row>
        <row r="224">
          <cell r="C224">
            <v>46014.419641203705</v>
          </cell>
          <cell r="H224" t="str">
            <v>mail</v>
          </cell>
        </row>
        <row r="225">
          <cell r="C225">
            <v>46014.420659722222</v>
          </cell>
          <cell r="H225" t="str">
            <v>mail</v>
          </cell>
          <cell r="R225">
            <v>45992</v>
          </cell>
          <cell r="S225">
            <v>46045</v>
          </cell>
        </row>
        <row r="226">
          <cell r="C226">
            <v>46014.42119212963</v>
          </cell>
          <cell r="H226" t="str">
            <v>mail</v>
          </cell>
        </row>
        <row r="227">
          <cell r="C227">
            <v>46014.421273148146</v>
          </cell>
          <cell r="H227" t="str">
            <v>mail</v>
          </cell>
        </row>
        <row r="228">
          <cell r="C228">
            <v>46014.421527777777</v>
          </cell>
          <cell r="H228" t="str">
            <v>mail</v>
          </cell>
        </row>
        <row r="229">
          <cell r="C229">
            <v>46014.421527777777</v>
          </cell>
          <cell r="H229" t="str">
            <v>mail</v>
          </cell>
        </row>
        <row r="230">
          <cell r="C230">
            <v>46014.421597222223</v>
          </cell>
          <cell r="H230" t="str">
            <v>mail</v>
          </cell>
        </row>
        <row r="231">
          <cell r="C231">
            <v>46014.421979166669</v>
          </cell>
          <cell r="H231" t="str">
            <v>mail</v>
          </cell>
          <cell r="R231">
            <v>45992</v>
          </cell>
          <cell r="S231">
            <v>46054</v>
          </cell>
        </row>
        <row r="232">
          <cell r="C232">
            <v>46014.427071759259</v>
          </cell>
          <cell r="H232" t="str">
            <v>mail</v>
          </cell>
        </row>
        <row r="233">
          <cell r="C233">
            <v>46014.435173611113</v>
          </cell>
          <cell r="H233" t="str">
            <v>mail</v>
          </cell>
        </row>
        <row r="234">
          <cell r="C234">
            <v>46014.490937499999</v>
          </cell>
          <cell r="H234" t="str">
            <v>mail</v>
          </cell>
        </row>
        <row r="235">
          <cell r="C235">
            <v>46014.500983796293</v>
          </cell>
          <cell r="H235" t="str">
            <v>mail</v>
          </cell>
        </row>
        <row r="236">
          <cell r="C236">
            <v>46014.502384259256</v>
          </cell>
          <cell r="H236" t="str">
            <v>mail</v>
          </cell>
        </row>
        <row r="237">
          <cell r="C237">
            <v>46014.502627314818</v>
          </cell>
          <cell r="H237" t="str">
            <v>mail</v>
          </cell>
        </row>
        <row r="238">
          <cell r="C238">
            <v>46014.538217592592</v>
          </cell>
          <cell r="H238" t="str">
            <v>mail</v>
          </cell>
        </row>
        <row r="239">
          <cell r="C239">
            <v>46014.609513888892</v>
          </cell>
          <cell r="H239" t="str">
            <v>mail</v>
          </cell>
        </row>
        <row r="240">
          <cell r="C240">
            <v>46015.400694444441</v>
          </cell>
          <cell r="H240" t="str">
            <v>mail</v>
          </cell>
        </row>
        <row r="241">
          <cell r="C241">
            <v>46015.485891203702</v>
          </cell>
          <cell r="H241" t="str">
            <v>mail</v>
          </cell>
        </row>
        <row r="242">
          <cell r="C242">
            <v>46028.417361111111</v>
          </cell>
          <cell r="H242" t="str">
            <v>mail</v>
          </cell>
        </row>
        <row r="243">
          <cell r="C243">
            <v>46035.444444444445</v>
          </cell>
          <cell r="H243" t="str">
            <v>mail</v>
          </cell>
        </row>
        <row r="244">
          <cell r="C244">
            <v>46038.421527777777</v>
          </cell>
          <cell r="H244" t="str">
            <v>mail</v>
          </cell>
          <cell r="R244">
            <v>46023</v>
          </cell>
          <cell r="S244">
            <v>46054</v>
          </cell>
        </row>
        <row r="245">
          <cell r="C245">
            <v>46039.390972222223</v>
          </cell>
          <cell r="H245" t="str">
            <v>他のキャンペーン</v>
          </cell>
        </row>
        <row r="246">
          <cell r="C246">
            <v>46041.338888888888</v>
          </cell>
          <cell r="H246" t="str">
            <v>mail</v>
          </cell>
        </row>
        <row r="247">
          <cell r="C247">
            <v>46041.545138888891</v>
          </cell>
          <cell r="H247" t="str">
            <v>mail</v>
          </cell>
        </row>
        <row r="248">
          <cell r="C248">
            <v>46041.890972222223</v>
          </cell>
          <cell r="H248" t="str">
            <v>直接トラフィック</v>
          </cell>
        </row>
        <row r="249">
          <cell r="C249">
            <v>46042.379166666666</v>
          </cell>
          <cell r="H249" t="str">
            <v>他のキャンペーン</v>
          </cell>
        </row>
        <row r="250">
          <cell r="C250">
            <v>46042.675000000003</v>
          </cell>
          <cell r="H250" t="str">
            <v>オフラインソース</v>
          </cell>
        </row>
        <row r="251">
          <cell r="C251">
            <v>46043.395833333336</v>
          </cell>
          <cell r="H251" t="str">
            <v>mail</v>
          </cell>
        </row>
        <row r="252">
          <cell r="C252">
            <v>46043.725694444445</v>
          </cell>
          <cell r="H252" t="str">
            <v>オーガニック検索</v>
          </cell>
        </row>
        <row r="253">
          <cell r="C253">
            <v>46048.336805555555</v>
          </cell>
          <cell r="H253" t="str">
            <v>mail</v>
          </cell>
        </row>
        <row r="254">
          <cell r="C254">
            <v>46048.339583333334</v>
          </cell>
          <cell r="H254" t="str">
            <v>mail</v>
          </cell>
        </row>
        <row r="255">
          <cell r="C255">
            <v>46048.343055555553</v>
          </cell>
          <cell r="H255" t="str">
            <v>mail</v>
          </cell>
        </row>
        <row r="256">
          <cell r="C256">
            <v>46048.348611111112</v>
          </cell>
          <cell r="H256" t="str">
            <v>mail</v>
          </cell>
        </row>
        <row r="257">
          <cell r="C257">
            <v>46048.348611111112</v>
          </cell>
          <cell r="H257" t="str">
            <v>mail</v>
          </cell>
        </row>
        <row r="258">
          <cell r="C258">
            <v>46048.354861111111</v>
          </cell>
          <cell r="H258" t="str">
            <v>mail</v>
          </cell>
        </row>
        <row r="259">
          <cell r="C259">
            <v>46048.362500000003</v>
          </cell>
          <cell r="H259" t="str">
            <v>mail</v>
          </cell>
        </row>
        <row r="260">
          <cell r="C260">
            <v>46048.378472222219</v>
          </cell>
          <cell r="H260" t="str">
            <v>mail</v>
          </cell>
        </row>
        <row r="261">
          <cell r="C261">
            <v>46048.394444444442</v>
          </cell>
          <cell r="H261" t="str">
            <v>mail</v>
          </cell>
        </row>
        <row r="262">
          <cell r="C262">
            <v>46048.402777777781</v>
          </cell>
          <cell r="H262" t="str">
            <v>mail</v>
          </cell>
        </row>
        <row r="263">
          <cell r="C263">
            <v>46048.417361111111</v>
          </cell>
          <cell r="H263" t="str">
            <v>mail</v>
          </cell>
        </row>
        <row r="264">
          <cell r="C264">
            <v>46048.426388888889</v>
          </cell>
          <cell r="H264" t="str">
            <v>mail</v>
          </cell>
        </row>
        <row r="265">
          <cell r="C265">
            <v>46048.455555555556</v>
          </cell>
          <cell r="H265" t="str">
            <v>mail</v>
          </cell>
        </row>
        <row r="266">
          <cell r="C266">
            <v>46048.493750000001</v>
          </cell>
          <cell r="H266" t="str">
            <v>mail</v>
          </cell>
        </row>
        <row r="267">
          <cell r="C267">
            <v>46048.496527777781</v>
          </cell>
          <cell r="H267" t="str">
            <v>mail</v>
          </cell>
        </row>
        <row r="268">
          <cell r="C268">
            <v>46048.506944444445</v>
          </cell>
          <cell r="H268" t="str">
            <v>mail</v>
          </cell>
        </row>
        <row r="269">
          <cell r="C269">
            <v>46048.521527777775</v>
          </cell>
          <cell r="H269" t="str">
            <v>mail</v>
          </cell>
        </row>
        <row r="270">
          <cell r="C270">
            <v>46048.578472222223</v>
          </cell>
          <cell r="H270" t="str">
            <v>mail</v>
          </cell>
        </row>
        <row r="271">
          <cell r="C271">
            <v>46049.368055555555</v>
          </cell>
          <cell r="H271" t="str">
            <v>mail</v>
          </cell>
        </row>
        <row r="272">
          <cell r="C272">
            <v>46050.709722222222</v>
          </cell>
          <cell r="H272" t="str">
            <v>他のキャンペーン</v>
          </cell>
        </row>
        <row r="273">
          <cell r="C273">
            <v>46051.611805555556</v>
          </cell>
          <cell r="H273" t="str">
            <v>mail</v>
          </cell>
          <cell r="R273">
            <v>46023</v>
          </cell>
        </row>
        <row r="274">
          <cell r="C274">
            <v>46055.598611111112</v>
          </cell>
          <cell r="H274" t="str">
            <v>mail</v>
          </cell>
        </row>
        <row r="275">
          <cell r="C275">
            <v>46056.343055555553</v>
          </cell>
          <cell r="H275" t="str">
            <v>mail</v>
          </cell>
        </row>
        <row r="276">
          <cell r="C276">
            <v>46056.34652777778</v>
          </cell>
          <cell r="H276" t="str">
            <v>mail</v>
          </cell>
        </row>
        <row r="277">
          <cell r="C277">
            <v>46056.349305555559</v>
          </cell>
          <cell r="H277" t="str">
            <v>mail</v>
          </cell>
        </row>
        <row r="278">
          <cell r="C278">
            <v>46056.349305555559</v>
          </cell>
          <cell r="H278" t="str">
            <v>mail</v>
          </cell>
        </row>
        <row r="279">
          <cell r="C279">
            <v>46056.356944444444</v>
          </cell>
          <cell r="H279" t="str">
            <v>mail</v>
          </cell>
        </row>
        <row r="280">
          <cell r="C280">
            <v>46056.35833333333</v>
          </cell>
          <cell r="H280" t="str">
            <v>mail</v>
          </cell>
        </row>
        <row r="281">
          <cell r="C281">
            <v>46056.359722222223</v>
          </cell>
          <cell r="H281" t="str">
            <v>mail</v>
          </cell>
        </row>
        <row r="282">
          <cell r="C282">
            <v>46056.362500000003</v>
          </cell>
          <cell r="H282" t="str">
            <v>mail</v>
          </cell>
          <cell r="R282">
            <v>46054</v>
          </cell>
        </row>
        <row r="283">
          <cell r="C283">
            <v>46056.363194444442</v>
          </cell>
          <cell r="H283" t="str">
            <v>mail</v>
          </cell>
        </row>
        <row r="284">
          <cell r="C284">
            <v>46056.365277777775</v>
          </cell>
          <cell r="H284" t="str">
            <v>mail</v>
          </cell>
          <cell r="R284">
            <v>46054</v>
          </cell>
          <cell r="S284">
            <v>46054</v>
          </cell>
        </row>
        <row r="285">
          <cell r="C285">
            <v>46056.369444444441</v>
          </cell>
          <cell r="H285" t="str">
            <v>mail</v>
          </cell>
        </row>
        <row r="286">
          <cell r="C286">
            <v>46056.381249999999</v>
          </cell>
          <cell r="H286" t="str">
            <v>mail</v>
          </cell>
        </row>
        <row r="287">
          <cell r="C287">
            <v>46056.387499999997</v>
          </cell>
          <cell r="H287" t="str">
            <v>mail</v>
          </cell>
        </row>
        <row r="288">
          <cell r="C288">
            <v>46056.402777777781</v>
          </cell>
          <cell r="H288" t="str">
            <v>mail</v>
          </cell>
          <cell r="R288">
            <v>46054</v>
          </cell>
        </row>
        <row r="289">
          <cell r="C289">
            <v>46056.413194444445</v>
          </cell>
          <cell r="H289" t="str">
            <v>mail</v>
          </cell>
        </row>
        <row r="290">
          <cell r="C290">
            <v>46056.462500000001</v>
          </cell>
          <cell r="H290" t="str">
            <v>mail</v>
          </cell>
          <cell r="R290">
            <v>46054</v>
          </cell>
        </row>
        <row r="291">
          <cell r="C291">
            <v>46056.495833333334</v>
          </cell>
          <cell r="H291" t="str">
            <v>mail</v>
          </cell>
        </row>
        <row r="292">
          <cell r="C292">
            <v>46056.574999999997</v>
          </cell>
          <cell r="H292" t="str">
            <v>mail</v>
          </cell>
        </row>
        <row r="293">
          <cell r="C293">
            <v>46056.57916666667</v>
          </cell>
          <cell r="H293" t="str">
            <v>mail</v>
          </cell>
          <cell r="R293">
            <v>46054</v>
          </cell>
        </row>
        <row r="294">
          <cell r="C294">
            <v>46056.628472222219</v>
          </cell>
          <cell r="H294" t="str">
            <v>mail</v>
          </cell>
          <cell r="R294">
            <v>46054</v>
          </cell>
          <cell r="S294">
            <v>46082</v>
          </cell>
        </row>
        <row r="295">
          <cell r="C295">
            <v>46058.615972222222</v>
          </cell>
          <cell r="H295" t="str">
            <v>mail</v>
          </cell>
        </row>
        <row r="296">
          <cell r="C296">
            <v>46062.336111111108</v>
          </cell>
          <cell r="H296" t="str">
            <v>mail</v>
          </cell>
          <cell r="R296">
            <v>46054</v>
          </cell>
        </row>
        <row r="297">
          <cell r="C297">
            <v>46062.336805555555</v>
          </cell>
          <cell r="H297" t="str">
            <v>mail</v>
          </cell>
        </row>
        <row r="298">
          <cell r="C298">
            <v>46065.333333333336</v>
          </cell>
          <cell r="H298" t="str">
            <v>mail</v>
          </cell>
        </row>
        <row r="299">
          <cell r="C299">
            <v>46065.35</v>
          </cell>
          <cell r="H299" t="str">
            <v>mail</v>
          </cell>
        </row>
        <row r="300">
          <cell r="C300">
            <v>46065.363194444442</v>
          </cell>
          <cell r="H300" t="str">
            <v>mail</v>
          </cell>
        </row>
        <row r="301">
          <cell r="C301">
            <v>46065.399305555555</v>
          </cell>
          <cell r="H301" t="str">
            <v>mail</v>
          </cell>
        </row>
        <row r="302">
          <cell r="C302">
            <v>46065.410416666666</v>
          </cell>
          <cell r="H302" t="str">
            <v>mail</v>
          </cell>
          <cell r="R302">
            <v>46054</v>
          </cell>
        </row>
        <row r="303">
          <cell r="C303">
            <v>46065.436805555553</v>
          </cell>
          <cell r="H303" t="str">
            <v>mail</v>
          </cell>
        </row>
        <row r="304">
          <cell r="C304">
            <v>46065.438194444447</v>
          </cell>
          <cell r="H304" t="str">
            <v>mail</v>
          </cell>
        </row>
        <row r="305">
          <cell r="C305">
            <v>46065.458333333336</v>
          </cell>
          <cell r="H305" t="str">
            <v>mail</v>
          </cell>
          <cell r="R305">
            <v>46054</v>
          </cell>
        </row>
        <row r="306">
          <cell r="C306">
            <v>46065.460416666669</v>
          </cell>
          <cell r="H306" t="str">
            <v>mail</v>
          </cell>
          <cell r="R306">
            <v>46054</v>
          </cell>
        </row>
        <row r="307">
          <cell r="C307">
            <v>46065.476388888892</v>
          </cell>
          <cell r="H307" t="str">
            <v>mail</v>
          </cell>
        </row>
        <row r="308">
          <cell r="C308">
            <v>46065.493055555555</v>
          </cell>
          <cell r="H308" t="str">
            <v>mail</v>
          </cell>
        </row>
        <row r="309">
          <cell r="C309">
            <v>46065.609027777777</v>
          </cell>
          <cell r="H309" t="str">
            <v>mail</v>
          </cell>
        </row>
        <row r="310">
          <cell r="C310">
            <v>46070.559027777781</v>
          </cell>
          <cell r="H310" t="str">
            <v>mail</v>
          </cell>
        </row>
        <row r="311">
          <cell r="C311">
            <v>46071.484224537038</v>
          </cell>
          <cell r="H311" t="str">
            <v>他のキャンペーン</v>
          </cell>
        </row>
        <row r="312">
          <cell r="C312">
            <v>46071.566180555557</v>
          </cell>
          <cell r="H312" t="str">
            <v>オーガニック検索</v>
          </cell>
        </row>
        <row r="313">
          <cell r="C313">
            <v>46090.58965277778</v>
          </cell>
          <cell r="H313" t="str">
            <v>他のキャンペーン</v>
          </cell>
        </row>
        <row r="314">
          <cell r="C314">
            <v>46097.334074074075</v>
          </cell>
          <cell r="H314" t="str">
            <v>mail</v>
          </cell>
        </row>
        <row r="315">
          <cell r="C315">
            <v>46097.334687499999</v>
          </cell>
          <cell r="H315" t="str">
            <v>mail</v>
          </cell>
        </row>
        <row r="316">
          <cell r="C316">
            <v>46097.34611111111</v>
          </cell>
          <cell r="H316" t="str">
            <v>mail</v>
          </cell>
        </row>
        <row r="317">
          <cell r="C317">
            <v>46097.346932870372</v>
          </cell>
          <cell r="H317" t="str">
            <v>mail</v>
          </cell>
        </row>
        <row r="318">
          <cell r="C318">
            <v>46097.360023148147</v>
          </cell>
          <cell r="H318" t="str">
            <v>mail</v>
          </cell>
        </row>
        <row r="319">
          <cell r="C319">
            <v>46097.386157407411</v>
          </cell>
          <cell r="H319" t="str">
            <v>mail</v>
          </cell>
        </row>
        <row r="320">
          <cell r="C320">
            <v>46097.403599537036</v>
          </cell>
          <cell r="H320" t="str">
            <v>mail</v>
          </cell>
        </row>
        <row r="321">
          <cell r="C321">
            <v>46097.408912037034</v>
          </cell>
          <cell r="H321" t="str">
            <v>mail</v>
          </cell>
        </row>
        <row r="322">
          <cell r="C322">
            <v>46097.477199074077</v>
          </cell>
          <cell r="H322" t="str">
            <v>オフラインソース</v>
          </cell>
        </row>
        <row r="323">
          <cell r="C323">
            <v>46098.436412037037</v>
          </cell>
          <cell r="H323" t="str">
            <v>mail</v>
          </cell>
        </row>
        <row r="324">
          <cell r="C324">
            <v>46098.929097222222</v>
          </cell>
          <cell r="H324" t="str">
            <v>mail</v>
          </cell>
        </row>
        <row r="325">
          <cell r="C325">
            <v>46100.652407407404</v>
          </cell>
          <cell r="H325" t="str">
            <v>オーガニック検索</v>
          </cell>
        </row>
        <row r="326">
          <cell r="C326">
            <v>46124.967013888891</v>
          </cell>
          <cell r="H326" t="str">
            <v>mail</v>
          </cell>
          <cell r="R326">
            <v>46113</v>
          </cell>
        </row>
        <row r="327">
          <cell r="C327">
            <v>46125.34033564815</v>
          </cell>
          <cell r="H327" t="str">
            <v>mail</v>
          </cell>
        </row>
        <row r="328">
          <cell r="C328">
            <v>46126.698703703703</v>
          </cell>
          <cell r="H328" t="str">
            <v>mail</v>
          </cell>
        </row>
        <row r="329">
          <cell r="C329">
            <v>46128.569444444445</v>
          </cell>
          <cell r="H329" t="str">
            <v>電話</v>
          </cell>
          <cell r="R329">
            <v>46113</v>
          </cell>
          <cell r="S329">
            <v>46113</v>
          </cell>
        </row>
        <row r="330">
          <cell r="C330">
            <v>46129.426516203705</v>
          </cell>
          <cell r="H330" t="str">
            <v>直接トラフィック</v>
          </cell>
        </row>
        <row r="331">
          <cell r="C331">
            <v>46162.356759259259</v>
          </cell>
          <cell r="H331" t="str">
            <v>mail</v>
          </cell>
        </row>
        <row r="332">
          <cell r="C332">
            <v>46162.472349537034</v>
          </cell>
          <cell r="H332" t="str">
            <v>mail</v>
          </cell>
        </row>
        <row r="333">
          <cell r="C333">
            <v>46162.540300925924</v>
          </cell>
          <cell r="H333" t="str">
            <v>mail</v>
          </cell>
        </row>
        <row r="334">
          <cell r="C334">
            <v>46162.547812500001</v>
          </cell>
          <cell r="H334" t="str">
            <v>mail</v>
          </cell>
          <cell r="R334">
            <v>46143</v>
          </cell>
        </row>
        <row r="335">
          <cell r="C335">
            <v>46162.569386574076</v>
          </cell>
          <cell r="H335" t="str">
            <v>mail</v>
          </cell>
        </row>
        <row r="336">
          <cell r="C336">
            <v>46162.590555555558</v>
          </cell>
          <cell r="H336" t="str">
            <v>直接トラフィック</v>
          </cell>
        </row>
        <row r="337">
          <cell r="C337">
            <v>46162.607442129629</v>
          </cell>
          <cell r="H337" t="str">
            <v>オフラインソース</v>
          </cell>
          <cell r="R337">
            <v>46143</v>
          </cell>
          <cell r="S337">
            <v>46174</v>
          </cell>
        </row>
        <row r="338">
          <cell r="C338">
            <v>46163.922002314815</v>
          </cell>
          <cell r="H338" t="str">
            <v>他のキャンペーン</v>
          </cell>
        </row>
        <row r="339">
          <cell r="C339">
            <v>46171.334120370368</v>
          </cell>
          <cell r="H339" t="str">
            <v>mail</v>
          </cell>
        </row>
        <row r="340">
          <cell r="C340">
            <v>46171.337581018517</v>
          </cell>
          <cell r="H340" t="str">
            <v>mail</v>
          </cell>
        </row>
        <row r="341">
          <cell r="C341">
            <v>46171.340046296296</v>
          </cell>
          <cell r="H341" t="str">
            <v>mail</v>
          </cell>
        </row>
        <row r="342">
          <cell r="C342">
            <v>46171.432615740741</v>
          </cell>
          <cell r="H342" t="str">
            <v>mail</v>
          </cell>
        </row>
        <row r="343">
          <cell r="C343">
            <v>46171.485138888886</v>
          </cell>
          <cell r="H343" t="str">
            <v>mail</v>
          </cell>
        </row>
        <row r="344">
          <cell r="C344">
            <v>46171.751018518517</v>
          </cell>
          <cell r="H344" t="str">
            <v>mail</v>
          </cell>
          <cell r="R344">
            <v>46143</v>
          </cell>
          <cell r="S344">
            <v>46174</v>
          </cell>
        </row>
        <row r="345">
          <cell r="C345">
            <v>46175.544074074074</v>
          </cell>
          <cell r="H345" t="str">
            <v>直接トラフィック</v>
          </cell>
        </row>
        <row r="346">
          <cell r="C346">
            <v>46181.347025462965</v>
          </cell>
          <cell r="H346" t="str">
            <v>mail</v>
          </cell>
        </row>
        <row r="347">
          <cell r="C347">
            <v>46181.429710648146</v>
          </cell>
          <cell r="H347" t="str">
            <v>mail</v>
          </cell>
        </row>
        <row r="348">
          <cell r="C348">
            <v>46183.344178240739</v>
          </cell>
          <cell r="H348" t="str">
            <v>mail</v>
          </cell>
        </row>
        <row r="349">
          <cell r="C349">
            <v>46185.723773148151</v>
          </cell>
          <cell r="H349" t="str">
            <v>リファーラル</v>
          </cell>
        </row>
        <row r="350">
          <cell r="C350">
            <v>46189.413206018522</v>
          </cell>
          <cell r="H350" t="str">
            <v>mail</v>
          </cell>
        </row>
        <row r="351">
          <cell r="C351">
            <v>46189.648310185185</v>
          </cell>
          <cell r="H351" t="str">
            <v>他のキャンペーン</v>
          </cell>
        </row>
        <row r="352">
          <cell r="C352">
            <v>46195.351504629631</v>
          </cell>
          <cell r="H352" t="str">
            <v>mail</v>
          </cell>
        </row>
        <row r="353">
          <cell r="C353">
            <v>46195.368321759262</v>
          </cell>
          <cell r="H353" t="str">
            <v>mail</v>
          </cell>
        </row>
        <row r="354">
          <cell r="C354">
            <v>46195.373807870368</v>
          </cell>
          <cell r="H354" t="str">
            <v>mail</v>
          </cell>
        </row>
        <row r="355">
          <cell r="C355">
            <v>46195.375671296293</v>
          </cell>
          <cell r="H355" t="str">
            <v>mail</v>
          </cell>
        </row>
        <row r="356">
          <cell r="C356">
            <v>46195.377303240741</v>
          </cell>
          <cell r="H356" t="str">
            <v>mail</v>
          </cell>
        </row>
        <row r="357">
          <cell r="C357">
            <v>46196.38790509259</v>
          </cell>
          <cell r="H357" t="str">
            <v>mail</v>
          </cell>
        </row>
        <row r="358">
          <cell r="C358">
            <v>46198.360034722224</v>
          </cell>
          <cell r="H358" t="str">
            <v>mail</v>
          </cell>
        </row>
        <row r="359">
          <cell r="C359">
            <v>46202.338020833333</v>
          </cell>
          <cell r="H359" t="str">
            <v>mail</v>
          </cell>
        </row>
        <row r="360">
          <cell r="C360">
            <v>46202.362013888887</v>
          </cell>
          <cell r="H360" t="str">
            <v>mail</v>
          </cell>
        </row>
      </sheetData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中島　麻耶" id="{CCE2FB8A-A112-47C1-BE6B-AE5A6B12083B}" userId="" providerId=""/>
  <person displayName="若林　あや" id="{EC32EB85-CEAB-4BEA-BF2B-F9C177A194F2}" userId="" providerId=""/>
  <person displayName="神吉　まあや" id="{7444EE5E-D493-4669-950B-9961B63ACA85}" userId="" providerId=""/>
  <person displayName="神吉 まあや (Kanki, Maaya)" id="{3207332B-F03C-4F7B-9C52-AE852E1866D6}" userId="S::m-kanki@onward.co.jp::323b030d-3703-43a0-ab5a-3f93c9881e61" providerId="AD"/>
  <person displayName="若林 あや (Wakabayashi, Aya)" id="{11F9DA64-FE01-4413-BFB4-4580178177DF}" userId="S::bp_aya.wakabayashi@onward.co.jp::69bac62d-ef67-4e8d-95a8-ac459b3ff8b9" providerId="AD"/>
</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5" dT="2026-02-13T05:17:00.96" personId="{CCE2FB8A-A112-47C1-BE6B-AE5A6B12083B}" id="{5E5C22B3-AB3A-4057-B854-477F2D3D1D60}">
    <text>14件不足？</text>
  </threadedComment>
  <threadedComment ref="N5" dT="2026-03-12T05:02:49.60" personId="{7444EE5E-D493-4669-950B-9961B63ACA85}" id="{007FE0CB-35DE-4130-9CD7-17711E596823}" parentId="{5E5C22B3-AB3A-4057-B854-477F2D3D1D60}">
    <text>修正済み</text>
  </threadedComment>
  <threadedComment ref="P5" dT="2026-02-13T05:19:02.79" personId="{CCE2FB8A-A112-47C1-BE6B-AE5A6B12083B}" id="{8218E278-3099-4F15-8B1F-3866C4605AC7}">
    <text>1件重複</text>
  </threadedComment>
  <threadedComment ref="P5" dT="2026-03-12T05:03:25.34" personId="{7444EE5E-D493-4669-950B-9961B63ACA85}" id="{EB4D4EDE-F68A-4A78-9E78-AE8E3D40D781}" parentId="{8218E278-3099-4F15-8B1F-3866C4605AC7}">
    <text>修正済み</text>
  </threadedComment>
  <threadedComment ref="Q5" dT="2026-02-13T05:20:09.40" personId="{CCE2FB8A-A112-47C1-BE6B-AE5A6B12083B}" id="{9B065F5B-307A-4241-932B-4662625FF400}">
    <text>2件重複</text>
  </threadedComment>
  <threadedComment ref="Q5" dT="2026-03-12T05:03:47.96" personId="{7444EE5E-D493-4669-950B-9961B63ACA85}" id="{00A2638D-657E-483A-918A-EBA45BDA54ED}" parentId="{9B065F5B-307A-4241-932B-4662625FF400}">
    <text>修正済み</text>
  </threadedComment>
  <threadedComment ref="R5" dT="2026-02-13T05:25:11.92" personId="{CCE2FB8A-A112-47C1-BE6B-AE5A6B12083B}" id="{FF5C94EA-B8CA-4398-80AD-01E595AA4F45}">
    <text>1件重複</text>
  </threadedComment>
  <threadedComment ref="R5" dT="2026-03-12T05:05:04.57" personId="{7444EE5E-D493-4669-950B-9961B63ACA85}" id="{1DF47211-481B-4321-B9F9-7DAA954609E4}" parentId="{FF5C94EA-B8CA-4398-80AD-01E595AA4F45}">
    <text>修正済み</text>
  </threadedComment>
  <threadedComment ref="S5" dT="2026-02-13T05:28:50.13" personId="{CCE2FB8A-A112-47C1-BE6B-AE5A6B12083B}" id="{E79BCCF2-C8B3-4169-B38E-763807A01908}">
    <text>4件重複</text>
  </threadedComment>
  <threadedComment ref="S5" dT="2026-03-12T05:05:18.33" personId="{7444EE5E-D493-4669-950B-9961B63ACA85}" id="{52915727-0C59-497D-9FDA-237BC0A7ACDC}" parentId="{E79BCCF2-C8B3-4169-B38E-763807A01908}">
    <text>修正済み</text>
  </threadedComment>
  <threadedComment ref="AR45" dT="2025-04-10T09:50:43.94" personId="{7444EE5E-D493-4669-950B-9961B63ACA85}" id="{AD6A7777-F57A-4AA8-894C-372F8D657510}">
    <text>チャネル別受注数の欄がないです。</text>
  </threadedComment>
  <threadedComment ref="W55" dT="2026-01-16T08:51:41.49" personId="{EC32EB85-CEAB-4BEA-BF2B-F9C177A194F2}" id="{B3C4DFFF-3EF9-4D58-BA18-1F8C9B5FDE24}">
    <text>６or 7
再度HubSpotをDLして、実績シートを確認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S45" dT="2025-04-10T09:50:43.94" personId="{7444EE5E-D493-4669-950B-9961B63ACA85}" id="{8B47CADA-8D37-4F4E-9D8B-2D6C163F7527}">
    <text>チャネル別受注数の欄がないです。</text>
  </threadedComment>
  <threadedComment ref="W55" dT="2026-01-14T02:33:39.46" personId="{7444EE5E-D493-4669-950B-9961B63ACA85}" id="{9D49D4B2-A891-4F4E-A375-6106CE2BF614}">
    <text>この数字（問合せ7件、サービス資料件）はどこから来ましたか？</text>
  </threadedComment>
  <threadedComment ref="W55" dT="2026-01-14T05:12:11.34" personId="{11F9DA64-FE01-4413-BFB4-4580178177DF}" id="{242B8B5A-F6B8-4DA7-9BBE-D05665B2F6AD}" parentId="{9D49D4B2-A891-4F4E-A375-6106CE2BF614}">
    <text>修正いたしました。
（お問い合わせ2件、サービス資料０件）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P5" dT="2026-02-13T03:27:54.71" personId="{CCE2FB8A-A112-47C1-BE6B-AE5A6B12083B}" id="{85D1ED1E-93B1-4BA4-B2BD-A64C25DF3473}">
    <text>6件重複あり</text>
  </threadedComment>
  <threadedComment ref="P5" dT="2026-03-12T05:55:36.81" personId="{3207332B-F03C-4F7B-9C52-AE852E1866D6}" id="{0F21C2AB-7486-4C87-9DDB-F213DC4569E2}" parentId="{85D1ED1E-93B1-4BA4-B2BD-A64C25DF3473}">
    <text>修正済み</text>
  </threadedComment>
  <threadedComment ref="R5" dT="2026-02-13T04:28:41.07" personId="{CCE2FB8A-A112-47C1-BE6B-AE5A6B12083B}" id="{5E9F7664-69B9-45D7-A56E-ABA3640E57F1}">
    <text>5件重複あり</text>
  </threadedComment>
  <threadedComment ref="R5" dT="2026-03-12T05:55:51.36" personId="{3207332B-F03C-4F7B-9C52-AE852E1866D6}" id="{0F203131-2D7A-45DE-BA63-6B901DA86F7D}" parentId="{5E9F7664-69B9-45D7-A56E-ABA3640E57F1}">
    <text>修正済み</text>
  </threadedComment>
  <threadedComment ref="AS45" dT="2025-04-10T09:50:43.94" personId="{7444EE5E-D493-4669-950B-9961B63ACA85}" id="{5821D904-EF50-4E29-B642-7804A0700E40}">
    <text>チャネル別受注数の欄がないです。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U5" dT="2026-02-13T03:20:10.95" personId="{CCE2FB8A-A112-47C1-BE6B-AE5A6B12083B}" id="{B1BB6125-A737-40DE-A25F-7A92AB8FBC18}">
    <text>1件重複あり</text>
  </threadedComment>
  <threadedComment ref="U5" dT="2026-03-12T06:09:30.73" personId="{3207332B-F03C-4F7B-9C52-AE852E1866D6}" id="{67D95485-1E06-449F-A121-B2AFE53EA0A8}" parentId="{B1BB6125-A737-40DE-A25F-7A92AB8FBC18}">
    <text>修正済み</text>
  </threadedComment>
  <threadedComment ref="Z37" dT="2026-03-30T07:29:09.86" personId="{3207332B-F03C-4F7B-9C52-AE852E1866D6}" id="{3A591E54-B381-43B0-A3CA-187F73D7C326}">
    <text>サイト改修＋ミニ動画</text>
  </threadedComment>
  <threadedComment ref="AS45" dT="2025-04-10T09:50:43.94" personId="{7444EE5E-D493-4669-950B-9961B63ACA85}" id="{067B13C8-3CB1-4FE4-9A9B-976FC834B3DD}">
    <text>チャネル別受注数の欄がないです。</text>
  </threadedComment>
  <threadedComment ref="W56" dT="2026-01-16T09:43:46.02" personId="{EC32EB85-CEAB-4BEA-BF2B-F9C177A194F2}" id="{4CC4759B-6165-4010-BE53-2680EDC3CB80}">
    <text>確認中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2" dT="2026-06-25T01:46:37.71" personId="{3207332B-F03C-4F7B-9C52-AE852E1866D6}" id="{F4E74383-44B8-4D50-A6AF-921C5F8CE21C}">
    <text>都度コピペ</text>
  </threadedComment>
  <threadedComment ref="E2" dT="2026-06-25T01:46:44.30" personId="{3207332B-F03C-4F7B-9C52-AE852E1866D6}" id="{4568E6C7-D100-4C80-AB53-A58D3EBB4454}">
    <text>都度コピペ</text>
  </threadedComment>
  <threadedComment ref="F2" dT="2026-06-25T01:46:51.68" personId="{3207332B-F03C-4F7B-9C52-AE852E1866D6}" id="{2896ECE1-156F-4CA9-B413-DC465214F303}">
    <text>都度コピペ</text>
  </threadedComment>
  <threadedComment ref="K2" dT="2026-06-25T01:47:13.34" personId="{3207332B-F03C-4F7B-9C52-AE852E1866D6}" id="{A7C28FD2-6872-48A9-8427-846C82254D46}">
    <text>都度コピぺ
MAL：14行目、MQL：16行目、SQL：23行目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Y66" dT="2025-04-10T09:50:43.94" personId="{7444EE5E-D493-4669-950B-9961B63ACA85}" id="{5231EEB0-931A-4D10-BD6A-3BA3090E18F1}">
    <text>チャネル別受注数の欄がないです。</text>
  </threadedComment>
  <threadedComment ref="W75" dT="2026-01-16T08:51:41.49" personId="{EC32EB85-CEAB-4BEA-BF2B-F9C177A194F2}" id="{57C8C087-E397-48B5-9CE1-D112EB8C42D9}">
    <text>６or 7
再度HubSpotをDLして、実績シートを確認</text>
  </threadedComment>
  <threadedComment ref="H85" dT="2025-04-22T07:52:21.22" personId="{7444EE5E-D493-4669-950B-9961B63ACA85}" id="{94B3C90E-4ED3-40A7-B2E5-F389224BFBA7}">
    <text>9/12OPEN</text>
  </threadedComment>
  <threadedComment ref="R86" dT="2025-06-10T07:35:40.33" personId="{3207332B-F03C-4F7B-9C52-AE852E1866D6}" id="{4233569F-3B49-47FA-B58B-26A33FCAB185}">
    <text>オレンジ背景：計画</text>
  </threadedComment>
  <threadedComment ref="A88" dT="2025-04-10T06:42:37.79" personId="{7444EE5E-D493-4669-950B-9961B63ACA85}" id="{96635639-4B79-434F-8B8B-85EB44C251A8}">
    <text>SEO（サイト運用、WP、コラム）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Y42" dT="2025-04-10T09:50:43.94" personId="{7444EE5E-D493-4669-950B-9961B63ACA85}" id="{DC9C4B4C-91F6-44D0-8836-C1430AF2726A}">
    <text>チャネル別受注数の欄がないです。</text>
  </threadedComment>
  <threadedComment ref="W51" dT="2026-01-14T02:33:39.46" personId="{7444EE5E-D493-4669-950B-9961B63ACA85}" id="{4EEEE7FF-72F1-4542-B5C9-6DFB46076144}">
    <text>この数字（問合せ7件、サービス資料件）はどこから来ましたか？</text>
  </threadedComment>
  <threadedComment ref="W51" dT="2026-01-14T05:12:11.34" personId="{11F9DA64-FE01-4413-BFB4-4580178177DF}" id="{E012D3BB-9471-4984-87A7-23EC0491251C}" parentId="{4EEEE7FF-72F1-4542-B5C9-6DFB46076144}">
    <text>修正いたしました。
（お問い合わせ2件、サービス資料０件）</text>
  </threadedComment>
  <threadedComment ref="G61" dT="2025-04-22T07:07:44.03" personId="{7444EE5E-D493-4669-950B-9961B63ACA85}" id="{90A9DCB5-AB7D-42C6-8ADC-9DB1A6612E77}">
    <text>8/30OPEN</text>
  </threadedComment>
  <threadedComment ref="A64" dT="2025-04-10T06:42:37.79" personId="{7444EE5E-D493-4669-950B-9961B63ACA85}" id="{31E06B9F-B47B-42C2-9B84-50876C655A6D}">
    <text>SEO（サイト運用、WP、コラム）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P5" dT="2026-02-13T03:27:54.71" personId="{CCE2FB8A-A112-47C1-BE6B-AE5A6B12083B}" id="{0376598B-B43A-414B-974C-BA9A3C3945AA}">
    <text>6件重複あり</text>
  </threadedComment>
  <threadedComment ref="P5" dT="2026-03-12T05:55:36.81" personId="{3207332B-F03C-4F7B-9C52-AE852E1866D6}" id="{13F7F3D7-4202-4F97-929F-0A8C2C324A8D}" parentId="{0376598B-B43A-414B-974C-BA9A3C3945AA}">
    <text>修正済み</text>
  </threadedComment>
  <threadedComment ref="R5" dT="2026-02-13T04:28:41.07" personId="{CCE2FB8A-A112-47C1-BE6B-AE5A6B12083B}" id="{666B71CB-ABF6-4784-9CBE-43FC20CEA7BA}">
    <text>5件重複あり</text>
  </threadedComment>
  <threadedComment ref="R5" dT="2026-03-12T05:55:51.36" personId="{3207332B-F03C-4F7B-9C52-AE852E1866D6}" id="{F10B6D2A-DC71-41D9-977C-08B7282000E5}" parentId="{666B71CB-ABF6-4784-9CBE-43FC20CEA7BA}">
    <text>修正済み</text>
  </threadedComment>
  <threadedComment ref="AY42" dT="2025-04-10T09:50:43.94" personId="{7444EE5E-D493-4669-950B-9961B63ACA85}" id="{ECFD5941-B79B-4F81-976B-18EFC632429C}">
    <text>チャネル別受注数の欄がないです。</text>
  </threadedComment>
  <threadedComment ref="C61" dT="2025-04-22T07:07:59.45" personId="{7444EE5E-D493-4669-950B-9961B63ACA85}" id="{C7B429D7-4425-4E62-8CEC-BF663BB308FD}">
    <text>4/1OPEN</text>
  </threadedComment>
  <threadedComment ref="A64" dT="2025-04-10T06:42:37.79" personId="{7444EE5E-D493-4669-950B-9961B63ACA85}" id="{3A18998B-9B3B-43C0-A499-51CF4E526083}">
    <text>SEO（サイト運用、WP、コラム）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U5" dT="2026-02-13T03:20:10.95" personId="{CCE2FB8A-A112-47C1-BE6B-AE5A6B12083B}" id="{5C9FACB5-654E-42D2-A906-CB4F9A0610B6}">
    <text>1件重複あり</text>
  </threadedComment>
  <threadedComment ref="U5" dT="2026-03-12T06:09:30.73" personId="{3207332B-F03C-4F7B-9C52-AE852E1866D6}" id="{C518DA91-9156-4865-AC13-4B7CB94F44C2}" parentId="{5C9FACB5-654E-42D2-A906-CB4F9A0610B6}">
    <text>修正済み</text>
  </threadedComment>
  <threadedComment ref="AY42" dT="2025-04-10T09:50:43.94" personId="{7444EE5E-D493-4669-950B-9961B63ACA85}" id="{7279C882-0D9A-471E-B5DF-30DD6F838C02}">
    <text>チャネル別受注数の欄がないです。</text>
  </threadedComment>
  <threadedComment ref="W52" dT="2026-01-16T09:43:46.02" personId="{EC32EB85-CEAB-4BEA-BF2B-F9C177A194F2}" id="{C214C47E-9B2A-4F71-97F2-3A3D46A24A39}">
    <text>確認中</text>
  </threadedComment>
  <threadedComment ref="E63" dT="2025-04-22T07:08:25.53" personId="{7444EE5E-D493-4669-950B-9961B63ACA85}" id="{A902AAB9-FD22-4A7E-BE58-87CCCCDB1943}">
    <text>6/26OPEN</text>
  </threadedComment>
  <threadedComment ref="A66" dT="2025-04-10T06:42:37.79" personId="{7444EE5E-D493-4669-950B-9961B63ACA85}" id="{87069751-F463-4733-8F57-F4FDE34F68AC}">
    <text>SEO（サイト運用、WP、コラム）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E024-85BC-4617-A14C-94787AF146DD}">
  <sheetPr>
    <tabColor rgb="FFFFC000"/>
  </sheetPr>
  <dimension ref="A1:AW61"/>
  <sheetViews>
    <sheetView zoomScale="55" zoomScaleNormal="55" workbookViewId="0">
      <pane xSplit="13" ySplit="3" topLeftCell="X4" activePane="bottomRight" state="frozen"/>
      <selection pane="bottomRight" activeCell="Y3" sqref="Y3"/>
      <selection pane="bottomLeft" activeCell="A4" sqref="A4"/>
      <selection pane="topRight" activeCell="N1" sqref="N1"/>
    </sheetView>
  </sheetViews>
  <sheetFormatPr defaultColWidth="9" defaultRowHeight="15.75" customHeight="1"/>
  <cols>
    <col min="1" max="1" width="24.375" style="1" customWidth="1"/>
    <col min="2" max="4" width="8.875" style="1" hidden="1" customWidth="1"/>
    <col min="5" max="5" width="8.875" style="2" hidden="1" customWidth="1"/>
    <col min="6" max="7" width="9" style="2" hidden="1" customWidth="1"/>
    <col min="8" max="8" width="9.875" style="2" hidden="1" customWidth="1"/>
    <col min="9" max="9" width="10" style="2" hidden="1" customWidth="1"/>
    <col min="10" max="13" width="11.125" style="2" hidden="1" customWidth="1"/>
    <col min="14" max="16" width="11.125" style="2" bestFit="1" customWidth="1"/>
    <col min="17" max="19" width="10.5" style="2" bestFit="1" customWidth="1"/>
    <col min="20" max="20" width="10" style="2" bestFit="1" customWidth="1"/>
    <col min="21" max="21" width="10.75" style="2" bestFit="1" customWidth="1"/>
    <col min="22" max="23" width="10" style="2" bestFit="1" customWidth="1"/>
    <col min="24" max="24" width="13.125" style="2" customWidth="1"/>
    <col min="25" max="25" width="11.375" style="2" customWidth="1"/>
    <col min="26" max="37" width="12.75" style="2" customWidth="1"/>
    <col min="38" max="38" width="11" style="8" hidden="1" customWidth="1"/>
    <col min="39" max="39" width="12.25" style="2" customWidth="1"/>
    <col min="40" max="40" width="12.75" style="2" customWidth="1"/>
    <col min="41" max="49" width="9" style="2"/>
    <col min="50" max="16384" width="9" style="1"/>
  </cols>
  <sheetData>
    <row r="1" spans="1:49" ht="18">
      <c r="Y1" s="2">
        <f>SUM(N5:Z5)</f>
        <v>274</v>
      </c>
    </row>
    <row r="2" spans="1:49" ht="18">
      <c r="A2" s="49" t="s">
        <v>0</v>
      </c>
      <c r="B2" s="2" t="s">
        <v>1</v>
      </c>
      <c r="N2" s="2" t="s">
        <v>2</v>
      </c>
      <c r="Y2" s="2">
        <f>SUM(N9:Y9)</f>
        <v>45</v>
      </c>
      <c r="Z2" s="2" t="s">
        <v>3</v>
      </c>
      <c r="AC2" s="2" t="s">
        <v>4</v>
      </c>
      <c r="AL2" s="101" t="s">
        <v>5</v>
      </c>
      <c r="AM2" s="128" t="s">
        <v>5</v>
      </c>
      <c r="AN2" s="128" t="s">
        <v>5</v>
      </c>
      <c r="AP2" s="15"/>
      <c r="AR2" s="20"/>
    </row>
    <row r="3" spans="1:49" ht="18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118">
        <v>45717</v>
      </c>
      <c r="O3" s="118">
        <v>45748</v>
      </c>
      <c r="P3" s="118">
        <v>45778</v>
      </c>
      <c r="Q3" s="118">
        <v>45809</v>
      </c>
      <c r="R3" s="118">
        <v>45839</v>
      </c>
      <c r="S3" s="118">
        <v>45870</v>
      </c>
      <c r="T3" s="118">
        <v>45901</v>
      </c>
      <c r="U3" s="118">
        <v>45931</v>
      </c>
      <c r="V3" s="118">
        <v>45962</v>
      </c>
      <c r="W3" s="118">
        <v>45992</v>
      </c>
      <c r="X3" s="118">
        <v>46023</v>
      </c>
      <c r="Y3" s="118">
        <v>46054</v>
      </c>
      <c r="Z3" s="118">
        <v>46082</v>
      </c>
      <c r="AA3" s="118">
        <v>46113</v>
      </c>
      <c r="AB3" s="118">
        <v>46143</v>
      </c>
      <c r="AC3" s="118">
        <v>46174</v>
      </c>
      <c r="AD3" s="118">
        <v>46204</v>
      </c>
      <c r="AE3" s="118">
        <v>46235</v>
      </c>
      <c r="AF3" s="118">
        <v>46266</v>
      </c>
      <c r="AG3" s="118">
        <v>46296</v>
      </c>
      <c r="AH3" s="118">
        <v>46327</v>
      </c>
      <c r="AI3" s="118">
        <v>46357</v>
      </c>
      <c r="AJ3" s="118">
        <v>46388</v>
      </c>
      <c r="AK3" s="118">
        <v>46419</v>
      </c>
      <c r="AL3" s="8" t="s">
        <v>1</v>
      </c>
      <c r="AM3" s="2" t="s">
        <v>2</v>
      </c>
      <c r="AN3" s="2" t="s">
        <v>3</v>
      </c>
    </row>
    <row r="4" spans="1:49" ht="18">
      <c r="A4" s="1" t="s">
        <v>18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13" t="s">
        <v>19</v>
      </c>
      <c r="H4" s="2">
        <v>129</v>
      </c>
      <c r="I4" s="2">
        <v>911</v>
      </c>
      <c r="J4" s="2">
        <v>2080</v>
      </c>
      <c r="K4" s="2">
        <v>1487</v>
      </c>
      <c r="L4" s="2">
        <v>3187</v>
      </c>
      <c r="M4" s="2">
        <v>1772</v>
      </c>
      <c r="N4" s="2">
        <v>2488</v>
      </c>
      <c r="O4" s="2">
        <v>1959</v>
      </c>
      <c r="P4" s="2">
        <v>2159</v>
      </c>
      <c r="Q4" s="2">
        <v>2553</v>
      </c>
      <c r="R4" s="2">
        <v>5181</v>
      </c>
      <c r="S4" s="2">
        <v>2621</v>
      </c>
      <c r="T4" s="2">
        <v>2797</v>
      </c>
      <c r="U4" s="2">
        <v>3226</v>
      </c>
      <c r="V4" s="2">
        <v>2881</v>
      </c>
      <c r="W4" s="2">
        <v>2908</v>
      </c>
      <c r="X4" s="2">
        <v>3355</v>
      </c>
      <c r="Y4" s="2">
        <v>3007</v>
      </c>
      <c r="Z4" s="2">
        <v>3021</v>
      </c>
      <c r="AA4" s="2">
        <v>3178</v>
      </c>
      <c r="AB4" s="2">
        <v>2639</v>
      </c>
      <c r="AC4" s="2">
        <v>4301</v>
      </c>
      <c r="AL4" s="8">
        <f>SUM(E4:M4)</f>
        <v>9566</v>
      </c>
      <c r="AM4" s="2">
        <f>SUM(N4:Y4)</f>
        <v>35135</v>
      </c>
      <c r="AN4" s="2">
        <f>SUM(Z4:AK4)</f>
        <v>13139</v>
      </c>
    </row>
    <row r="5" spans="1:49" ht="18">
      <c r="A5" s="1" t="s">
        <v>20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13" t="s">
        <v>19</v>
      </c>
      <c r="H5" s="2">
        <v>3</v>
      </c>
      <c r="I5" s="2">
        <v>7</v>
      </c>
      <c r="J5" s="2">
        <v>25</v>
      </c>
      <c r="K5" s="2">
        <v>10</v>
      </c>
      <c r="L5" s="2">
        <v>16</v>
      </c>
      <c r="M5" s="2">
        <v>18</v>
      </c>
      <c r="N5" s="122">
        <v>33</v>
      </c>
      <c r="O5" s="76">
        <v>20</v>
      </c>
      <c r="P5" s="122">
        <v>13</v>
      </c>
      <c r="Q5" s="122">
        <v>15</v>
      </c>
      <c r="R5" s="122">
        <v>44</v>
      </c>
      <c r="S5" s="122">
        <v>29</v>
      </c>
      <c r="T5" s="76">
        <f>COUNTIFS([1]流入チャネル別顧客一覧_7月以降完全ユニークではない!$C:$C,"&gt;="&amp;DATE(2025,3,1),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[1]流入チャネル別顧客一覧_7月以降完全ユニークではない!$C:$C,"&gt;="&amp;T$3,
[1]流入チャネル別顧客一覧_7月以降完全ユニークではない!$C:$C,"&lt;"&amp;EDATE(T$3,1)
)</f>
        <v>30</v>
      </c>
      <c r="U5" s="76">
        <f>COUNTIFS([1]流入チャネル別顧客一覧_7月以降完全ユニークではない!$C:$C,"&gt;="&amp;DATE(2025,3,1),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[1]流入チャネル別顧客一覧_7月以降完全ユニークではない!$C:$C,"&gt;="&amp;U$3,
[1]流入チャネル別顧客一覧_7月以降完全ユニークではない!$C:$C,"&lt;"&amp;EDATE(U$3,1)
)</f>
        <v>19</v>
      </c>
      <c r="V5" s="76">
        <f>COUNTIFS([1]流入チャネル別顧客一覧_7月以降完全ユニークではない!$C:$C,"&gt;="&amp;DATE(2025,3,1),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[1]流入チャネル別顧客一覧_7月以降完全ユニークではない!$C:$C,"&gt;="&amp;V$3,
[1]流入チャネル別顧客一覧_7月以降完全ユニークではない!$C:$C,"&lt;"&amp;EDATE(V$3,1)
)</f>
        <v>23</v>
      </c>
      <c r="W5" s="76">
        <f>COUNTIFS([1]流入チャネル別顧客一覧_7月以降完全ユニークではない!$C:$C,"&gt;="&amp;DATE(2025,3,1),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[1]流入チャネル別顧客一覧_7月以降完全ユニークではない!$C:$C,"&gt;="&amp;W$3,
[1]流入チャネル別顧客一覧_7月以降完全ユニークではない!$C:$C,"&lt;"&amp;EDATE(W$3,1)
)</f>
        <v>14</v>
      </c>
      <c r="X5" s="76">
        <f>COUNTIFS([1]流入チャネル別顧客一覧_7月以降完全ユニークではない!$C:$C,"&gt;="&amp;DATE(2025,3,1),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[1]流入チャネル別顧客一覧_7月以降完全ユニークではない!$C:$C,"&gt;="&amp;X$3,
[1]流入チャネル別顧客一覧_7月以降完全ユニークではない!$C:$C,"&lt;"&amp;EDATE(X$3,1)
)</f>
        <v>13</v>
      </c>
      <c r="Y5" s="76">
        <f>COUNTIFS([1]流入チャネル別顧客一覧_7月以降完全ユニークではない!$C:$C,"&gt;="&amp;DATE(2025,3,1),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[1]流入チャネル別顧客一覧_7月以降完全ユニークではない!$C:$C,"&gt;="&amp;Y$3,
[1]流入チャネル別顧客一覧_7月以降完全ユニークではない!$C:$C,"&lt;"&amp;EDATE(Y$3,1)
)</f>
        <v>13</v>
      </c>
      <c r="Z5" s="76">
        <f>COUNTIFS([1]流入チャネル別顧客一覧_7月以降完全ユニークではない!$C:$C,"&gt;="&amp;DATE(2026,3,1),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[1]流入チャネル別顧客一覧_7月以降完全ユニークではない!$C:$C,"&gt;="&amp;Z$3,
[1]流入チャネル別顧客一覧_7月以降完全ユニークではない!$C:$C,"&lt;"&amp;EDATE(Z$3,1)
)</f>
        <v>8</v>
      </c>
      <c r="AA5" s="76">
        <f>COUNTIFS([1]流入チャネル別顧客一覧_7月以降完全ユニークではない!$C:$C,"&gt;="&amp;DATE(2026,3,1),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[1]流入チャネル別顧客一覧_7月以降完全ユニークではない!$C:$C,"&gt;="&amp;AA$3,
[1]流入チャネル別顧客一覧_7月以降完全ユニークではない!$C:$C,"&lt;"&amp;EDATE(AA$3,1)
)</f>
        <v>11</v>
      </c>
      <c r="AB5" s="76">
        <f>COUNTIFS([1]流入チャネル別顧客一覧_7月以降完全ユニークではない!$C:$C,"&gt;="&amp;DATE(2026,3,1),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[1]流入チャネル別顧客一覧_7月以降完全ユニークではない!$C:$C,"&gt;="&amp;AB$3,
[1]流入チャネル別顧客一覧_7月以降完全ユニークではない!$C:$C,"&lt;"&amp;EDATE(AB$3,1)
)</f>
        <v>44</v>
      </c>
      <c r="AC5" s="76">
        <f>COUNTIFS([1]流入チャネル別顧客一覧_7月以降完全ユニークではない!$C:$C,"&gt;="&amp;DATE(2026,3,1),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[1]流入チャネル別顧客一覧_7月以降完全ユニークではない!$C:$C,"&gt;="&amp;AC$3,
[1]流入チャネル別顧客一覧_7月以降完全ユニークではない!$C:$C,"&lt;"&amp;EDATE(AC$3,1)
)</f>
        <v>22</v>
      </c>
      <c r="AD5" s="76">
        <f>COUNTIFS([1]流入チャネル別顧客一覧_7月以降完全ユニークではない!$C:$C,"&gt;="&amp;DATE(2026,3,1),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[1]流入チャネル別顧客一覧_7月以降完全ユニークではない!$C:$C,"&gt;="&amp;AD$3,
[1]流入チャネル別顧客一覧_7月以降完全ユニークではない!$C:$C,"&lt;"&amp;EDATE(AD$3,1)
)</f>
        <v>0</v>
      </c>
      <c r="AE5" s="76">
        <f>COUNTIFS([1]流入チャネル別顧客一覧_7月以降完全ユニークではない!$C:$C,"&gt;="&amp;DATE(2026,3,1),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[1]流入チャネル別顧客一覧_7月以降完全ユニークではない!$C:$C,"&gt;="&amp;AE$3,
[1]流入チャネル別顧客一覧_7月以降完全ユニークではない!$C:$C,"&lt;"&amp;EDATE(AE$3,1)
)</f>
        <v>0</v>
      </c>
      <c r="AF5" s="76">
        <f>COUNTIFS([1]流入チャネル別顧客一覧_7月以降完全ユニークではない!$C:$C,"&gt;="&amp;DATE(2026,3,1),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[1]流入チャネル別顧客一覧_7月以降完全ユニークではない!$C:$C,"&gt;="&amp;AF$3,
[1]流入チャネル別顧客一覧_7月以降完全ユニークではない!$C:$C,"&lt;"&amp;EDATE(AF$3,1)
)</f>
        <v>0</v>
      </c>
      <c r="AG5" s="76">
        <f>COUNTIFS([1]流入チャネル別顧客一覧_7月以降完全ユニークではない!$C:$C,"&gt;="&amp;DATE(2026,3,1),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[1]流入チャネル別顧客一覧_7月以降完全ユニークではない!$C:$C,"&gt;="&amp;AG$3,
[1]流入チャネル別顧客一覧_7月以降完全ユニークではない!$C:$C,"&lt;"&amp;EDATE(AG$3,1)
)</f>
        <v>0</v>
      </c>
      <c r="AH5" s="76">
        <f>COUNTIFS([1]流入チャネル別顧客一覧_7月以降完全ユニークではない!$C:$C,"&gt;="&amp;DATE(2026,3,1),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[1]流入チャネル別顧客一覧_7月以降完全ユニークではない!$C:$C,"&gt;="&amp;AH$3,
[1]流入チャネル別顧客一覧_7月以降完全ユニークではない!$C:$C,"&lt;"&amp;EDATE(AH$3,1)
)</f>
        <v>0</v>
      </c>
      <c r="AI5" s="76">
        <f>COUNTIFS([1]流入チャネル別顧客一覧_7月以降完全ユニークではない!$C:$C,"&gt;="&amp;DATE(2026,3,1),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[1]流入チャネル別顧客一覧_7月以降完全ユニークではない!$C:$C,"&gt;="&amp;AI$3,
[1]流入チャネル別顧客一覧_7月以降完全ユニークではない!$C:$C,"&lt;"&amp;EDATE(AI$3,1)
)</f>
        <v>0</v>
      </c>
      <c r="AJ5" s="76">
        <f>COUNTIFS([1]流入チャネル別顧客一覧_7月以降完全ユニークではない!$C:$C,"&gt;="&amp;DATE(2026,3,1),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[1]流入チャネル別顧客一覧_7月以降完全ユニークではない!$C:$C,"&gt;="&amp;AJ$3,
[1]流入チャネル別顧客一覧_7月以降完全ユニークではない!$C:$C,"&lt;"&amp;EDATE(AJ$3,1)
)</f>
        <v>0</v>
      </c>
      <c r="AK5" s="76">
        <f>COUNTIFS([1]流入チャネル別顧客一覧_7月以降完全ユニークではない!$C:$C,"&gt;="&amp;DATE(2026,3,1),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[1]流入チャネル別顧客一覧_7月以降完全ユニークではない!$C:$C,"&gt;="&amp;AK$3,
[1]流入チャネル別顧客一覧_7月以降完全ユニークではない!$C:$C,"&lt;"&amp;EDATE(AK$3,1)
)</f>
        <v>0</v>
      </c>
      <c r="AL5" s="8">
        <f>SUM(E5:M5)</f>
        <v>79</v>
      </c>
      <c r="AM5" s="2">
        <f>SUM(N5:Y5)</f>
        <v>266</v>
      </c>
      <c r="AN5" s="2">
        <f t="shared" ref="AN5:AN11" si="0">SUM(Z5:AK5)</f>
        <v>85</v>
      </c>
    </row>
    <row r="6" spans="1:49" s="10" customFormat="1" ht="18">
      <c r="A6" s="10" t="s">
        <v>21</v>
      </c>
      <c r="B6" s="11"/>
      <c r="C6" s="11"/>
      <c r="D6" s="11"/>
      <c r="E6" s="11"/>
      <c r="F6" s="11"/>
      <c r="G6" s="145"/>
      <c r="H6" s="11"/>
      <c r="I6" s="11"/>
      <c r="J6" s="11"/>
      <c r="K6" s="11"/>
      <c r="L6" s="11"/>
      <c r="M6" s="11"/>
      <c r="N6" s="146">
        <f>N5/N4</f>
        <v>1.3263665594855305E-2</v>
      </c>
      <c r="O6" s="146">
        <f t="shared" ref="O6:AN6" si="1">O5/O4</f>
        <v>1.0209290454313425E-2</v>
      </c>
      <c r="P6" s="146">
        <f t="shared" si="1"/>
        <v>6.0213061602593793E-3</v>
      </c>
      <c r="Q6" s="146">
        <f t="shared" si="1"/>
        <v>5.8754406580493537E-3</v>
      </c>
      <c r="R6" s="146">
        <f t="shared" si="1"/>
        <v>8.4925690021231421E-3</v>
      </c>
      <c r="S6" s="146">
        <f t="shared" si="1"/>
        <v>1.1064479206409768E-2</v>
      </c>
      <c r="T6" s="146">
        <f t="shared" si="1"/>
        <v>1.0725777618877368E-2</v>
      </c>
      <c r="U6" s="146">
        <f t="shared" si="1"/>
        <v>5.8896466212027283E-3</v>
      </c>
      <c r="V6" s="146">
        <f t="shared" si="1"/>
        <v>7.9833391183616806E-3</v>
      </c>
      <c r="W6" s="146">
        <f t="shared" si="1"/>
        <v>4.8143053645116922E-3</v>
      </c>
      <c r="X6" s="146">
        <f t="shared" si="1"/>
        <v>3.8748137108792846E-3</v>
      </c>
      <c r="Y6" s="146">
        <f t="shared" si="1"/>
        <v>4.323245759893582E-3</v>
      </c>
      <c r="Z6" s="146">
        <f t="shared" si="1"/>
        <v>2.6481297583581596E-3</v>
      </c>
      <c r="AA6" s="146">
        <f t="shared" si="1"/>
        <v>3.4612964128382631E-3</v>
      </c>
      <c r="AB6" s="146">
        <f t="shared" si="1"/>
        <v>1.6672982190223569E-2</v>
      </c>
      <c r="AC6" s="146">
        <f t="shared" si="1"/>
        <v>5.1150895140664966E-3</v>
      </c>
      <c r="AD6" s="146" t="e">
        <f t="shared" si="1"/>
        <v>#DIV/0!</v>
      </c>
      <c r="AE6" s="146" t="e">
        <f t="shared" si="1"/>
        <v>#DIV/0!</v>
      </c>
      <c r="AF6" s="146" t="e">
        <f t="shared" si="1"/>
        <v>#DIV/0!</v>
      </c>
      <c r="AG6" s="146" t="e">
        <f t="shared" si="1"/>
        <v>#DIV/0!</v>
      </c>
      <c r="AH6" s="146" t="e">
        <f t="shared" si="1"/>
        <v>#DIV/0!</v>
      </c>
      <c r="AI6" s="146" t="e">
        <f t="shared" si="1"/>
        <v>#DIV/0!</v>
      </c>
      <c r="AJ6" s="146" t="e">
        <f t="shared" si="1"/>
        <v>#DIV/0!</v>
      </c>
      <c r="AK6" s="146" t="e">
        <f t="shared" si="1"/>
        <v>#DIV/0!</v>
      </c>
      <c r="AL6" s="146">
        <f t="shared" si="1"/>
        <v>8.2584152205728619E-3</v>
      </c>
      <c r="AM6" s="146">
        <f>AM5/AM4</f>
        <v>7.5707983492244203E-3</v>
      </c>
      <c r="AN6" s="146">
        <f t="shared" si="1"/>
        <v>6.4692899002968263E-3</v>
      </c>
      <c r="AO6" s="11"/>
      <c r="AP6" s="11"/>
      <c r="AQ6" s="11"/>
      <c r="AR6" s="11"/>
      <c r="AS6" s="11"/>
      <c r="AT6" s="11"/>
      <c r="AU6" s="11"/>
      <c r="AV6" s="11"/>
      <c r="AW6" s="11"/>
    </row>
    <row r="7" spans="1:49" ht="18">
      <c r="A7" t="s">
        <v>22</v>
      </c>
      <c r="B7" s="2"/>
      <c r="C7" s="2"/>
      <c r="D7" s="2"/>
      <c r="H7" s="2">
        <v>0</v>
      </c>
      <c r="I7" s="2">
        <v>2</v>
      </c>
      <c r="J7" s="2">
        <v>4</v>
      </c>
      <c r="K7" s="2">
        <v>1</v>
      </c>
      <c r="L7" s="2">
        <v>3</v>
      </c>
      <c r="M7" s="2">
        <v>5</v>
      </c>
      <c r="N7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[1]流入チャネル別顧客一覧_7月以降完全ユニークではない!$R:$R,"&gt;="&amp;EOMONTH(N$3,-1)+1,
[1]流入チャネル別顧客一覧_7月以降完全ユニークではない!$R:$R,"&lt;"&amp;EOMONTH(N$3,0)+1
)</f>
        <v>5</v>
      </c>
      <c r="O7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[1]流入チャネル別顧客一覧_7月以降完全ユニークではない!$R:$R,"&gt;="&amp;EOMONTH(O$3,-1)+1,
[1]流入チャネル別顧客一覧_7月以降完全ユニークではない!$R:$R,"&lt;"&amp;EOMONTH(O$3,0)+1
)</f>
        <v>4</v>
      </c>
      <c r="P7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[1]流入チャネル別顧客一覧_7月以降完全ユニークではない!$R:$R,"&gt;="&amp;EOMONTH(P$3,-1)+1,
[1]流入チャネル別顧客一覧_7月以降完全ユニークではない!$R:$R,"&lt;"&amp;EOMONTH(P$3,0)+1
)</f>
        <v>4</v>
      </c>
      <c r="Q7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[1]流入チャネル別顧客一覧_7月以降完全ユニークではない!$R:$R,"&gt;="&amp;EOMONTH(Q$3,-1)+1,
[1]流入チャネル別顧客一覧_7月以降完全ユニークではない!$R:$R,"&lt;"&amp;EOMONTH(Q$3,0)+1
)</f>
        <v>4</v>
      </c>
      <c r="R7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[1]流入チャネル別顧客一覧_7月以降完全ユニークではない!$R:$R,"&gt;="&amp;EOMONTH(R$3,-1)+1,
[1]流入チャネル別顧客一覧_7月以降完全ユニークではない!$R:$R,"&lt;"&amp;EOMONTH(R$3,0)+1
)</f>
        <v>8</v>
      </c>
      <c r="S7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[1]流入チャネル別顧客一覧_7月以降完全ユニークではない!$R:$R,"&gt;="&amp;EOMONTH(S$3,-1)+1,
[1]流入チャネル別顧客一覧_7月以降完全ユニークではない!$R:$R,"&lt;"&amp;EOMONTH(S$3,0)+1
)</f>
        <v>4</v>
      </c>
      <c r="T7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[1]流入チャネル別顧客一覧_7月以降完全ユニークではない!$R:$R,"&gt;="&amp;EOMONTH(T$3,-1)+1,
[1]流入チャネル別顧客一覧_7月以降完全ユニークではない!$R:$R,"&lt;"&amp;EOMONTH(T$3,0)+1
)</f>
        <v>6</v>
      </c>
      <c r="U7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[1]流入チャネル別顧客一覧_7月以降完全ユニークではない!$R:$R,"&gt;="&amp;EOMONTH(U$3,-1)+1,
[1]流入チャネル別顧客一覧_7月以降完全ユニークではない!$R:$R,"&lt;"&amp;EOMONTH(U$3,0)+1
)</f>
        <v>3</v>
      </c>
      <c r="V7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[1]流入チャネル別顧客一覧_7月以降完全ユニークではない!$R:$R,"&gt;="&amp;EOMONTH(V$3,-1)+1,
[1]流入チャネル別顧客一覧_7月以降完全ユニークではない!$R:$R,"&lt;"&amp;EOMONTH(V$3,0)+1
)</f>
        <v>4</v>
      </c>
      <c r="W7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[1]流入チャネル別顧客一覧_7月以降完全ユニークではない!$R:$R,"&gt;="&amp;EOMONTH(W$3,-1)+1,
[1]流入チャネル別顧客一覧_7月以降完全ユニークではない!$R:$R,"&lt;"&amp;EOMONTH(W$3,0)+1
)</f>
        <v>5</v>
      </c>
      <c r="X7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[1]流入チャネル別顧客一覧_7月以降完全ユニークではない!$R:$R,"&gt;="&amp;EOMONTH(X$3,-1)+1,
[1]流入チャネル別顧客一覧_7月以降完全ユニークではない!$R:$R,"&lt;"&amp;EOMONTH(X$3,0)+1
)</f>
        <v>3</v>
      </c>
      <c r="Y7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[1]流入チャネル別顧客一覧_7月以降完全ユニークではない!$R:$R,"&gt;="&amp;EOMONTH(Y$3,-1)+1,
[1]流入チャネル別顧客一覧_7月以降完全ユニークではない!$R:$R,"&lt;"&amp;EOMONTH(Y$3,0)+1
)</f>
        <v>3</v>
      </c>
      <c r="Z7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[1]流入チャネル別顧客一覧_7月以降完全ユニークではない!$R:$R,"&gt;="&amp;EOMONTH(Z$3,-1)+1,
[1]流入チャネル別顧客一覧_7月以降完全ユニークではない!$R:$R,"&lt;"&amp;EOMONTH(Z$3,0)+1
)</f>
        <v>1</v>
      </c>
      <c r="AA7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[1]流入チャネル別顧客一覧_7月以降完全ユニークではない!$R:$R,"&gt;="&amp;EOMONTH(AA$3,-1)+1,
[1]流入チャネル別顧客一覧_7月以降完全ユニークではない!$R:$R,"&lt;"&amp;EOMONTH(AA$3,0)+1
)</f>
        <v>3</v>
      </c>
      <c r="AB7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[1]流入チャネル別顧客一覧_7月以降完全ユニークではない!$R:$R,"&gt;="&amp;EOMONTH(AB$3,-1)+1,
[1]流入チャネル別顧客一覧_7月以降完全ユニークではない!$R:$R,"&lt;"&amp;EOMONTH(AB$3,0)+1
)</f>
        <v>3</v>
      </c>
      <c r="AC7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[1]流入チャネル別顧客一覧_7月以降完全ユニークではない!$R:$R,"&gt;="&amp;EOMONTH(AC$3,-1)+1,
[1]流入チャネル別顧客一覧_7月以降完全ユニークではない!$R:$R,"&lt;"&amp;EOMONTH(AC$3,0)+1
)</f>
        <v>6</v>
      </c>
      <c r="AD7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[1]流入チャネル別顧客一覧_7月以降完全ユニークではない!$R:$R,"&gt;="&amp;EOMONTH(AD$3,-1)+1,
[1]流入チャネル別顧客一覧_7月以降完全ユニークではない!$R:$R,"&lt;"&amp;EOMONTH(AD$3,0)+1
)</f>
        <v>0</v>
      </c>
      <c r="AE7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[1]流入チャネル別顧客一覧_7月以降完全ユニークではない!$R:$R,"&gt;="&amp;EOMONTH(AE$3,-1)+1,
[1]流入チャネル別顧客一覧_7月以降完全ユニークではない!$R:$R,"&lt;"&amp;EOMONTH(AE$3,0)+1
)</f>
        <v>0</v>
      </c>
      <c r="AF7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[1]流入チャネル別顧客一覧_7月以降完全ユニークではない!$R:$R,"&gt;="&amp;EOMONTH(AF$3,-1)+1,
[1]流入チャネル別顧客一覧_7月以降完全ユニークではない!$R:$R,"&lt;"&amp;EOMONTH(AF$3,0)+1
)</f>
        <v>0</v>
      </c>
      <c r="AG7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[1]流入チャネル別顧客一覧_7月以降完全ユニークではない!$R:$R,"&gt;="&amp;EOMONTH(AG$3,-1)+1,
[1]流入チャネル別顧客一覧_7月以降完全ユニークではない!$R:$R,"&lt;"&amp;EOMONTH(AG$3,0)+1
)</f>
        <v>0</v>
      </c>
      <c r="AH7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[1]流入チャネル別顧客一覧_7月以降完全ユニークではない!$R:$R,"&gt;="&amp;EOMONTH(AH$3,-1)+1,
[1]流入チャネル別顧客一覧_7月以降完全ユニークではない!$R:$R,"&lt;"&amp;EOMONTH(AH$3,0)+1
)</f>
        <v>0</v>
      </c>
      <c r="AI7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[1]流入チャネル別顧客一覧_7月以降完全ユニークではない!$R:$R,"&gt;="&amp;EOMONTH(AI$3,-1)+1,
[1]流入チャネル別顧客一覧_7月以降完全ユニークではない!$R:$R,"&lt;"&amp;EOMONTH(AI$3,0)+1
)</f>
        <v>0</v>
      </c>
      <c r="AJ7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[1]流入チャネル別顧客一覧_7月以降完全ユニークではない!$R:$R,"&gt;="&amp;EOMONTH(AJ$3,-1)+1,
[1]流入チャネル別顧客一覧_7月以降完全ユニークではない!$R:$R,"&lt;"&amp;EOMONTH(AJ$3,0)+1
)</f>
        <v>0</v>
      </c>
      <c r="AK7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[1]流入チャネル別顧客一覧_7月以降完全ユニークではない!$R:$R,"&gt;="&amp;EOMONTH(AK$3,-1)+1,
[1]流入チャネル別顧客一覧_7月以降完全ユニークではない!$R:$R,"&lt;"&amp;EOMONTH(AK$3,0)+1
)</f>
        <v>0</v>
      </c>
      <c r="AM7" s="2">
        <f>SUM(N7:Y7)</f>
        <v>53</v>
      </c>
      <c r="AN7" s="2">
        <f t="shared" si="0"/>
        <v>13</v>
      </c>
    </row>
    <row r="8" spans="1:49" ht="18">
      <c r="A8" s="10" t="s">
        <v>23</v>
      </c>
      <c r="B8" s="11"/>
      <c r="C8" s="11"/>
      <c r="D8" s="11"/>
      <c r="E8" s="11"/>
      <c r="F8" s="11"/>
      <c r="G8" s="12" t="str">
        <f t="shared" ref="G8:AN8" si="2">IF(G7=0,"0%",G7/G5)</f>
        <v>0%</v>
      </c>
      <c r="H8" s="12" t="str">
        <f t="shared" si="2"/>
        <v>0%</v>
      </c>
      <c r="I8" s="12">
        <f t="shared" si="2"/>
        <v>0.2857142857142857</v>
      </c>
      <c r="J8" s="12">
        <f t="shared" si="2"/>
        <v>0.16</v>
      </c>
      <c r="K8" s="12">
        <f t="shared" si="2"/>
        <v>0.1</v>
      </c>
      <c r="L8" s="12">
        <f t="shared" si="2"/>
        <v>0.1875</v>
      </c>
      <c r="M8" s="12">
        <f t="shared" si="2"/>
        <v>0.27777777777777779</v>
      </c>
      <c r="N8" s="12">
        <f t="shared" si="2"/>
        <v>0.15151515151515152</v>
      </c>
      <c r="O8" s="12">
        <f t="shared" si="2"/>
        <v>0.2</v>
      </c>
      <c r="P8" s="12">
        <f t="shared" si="2"/>
        <v>0.30769230769230771</v>
      </c>
      <c r="Q8" s="12">
        <f t="shared" si="2"/>
        <v>0.26666666666666666</v>
      </c>
      <c r="R8" s="12">
        <f t="shared" si="2"/>
        <v>0.18181818181818182</v>
      </c>
      <c r="S8" s="12">
        <f t="shared" si="2"/>
        <v>0.13793103448275862</v>
      </c>
      <c r="T8" s="12">
        <f t="shared" si="2"/>
        <v>0.2</v>
      </c>
      <c r="U8" s="12">
        <f t="shared" si="2"/>
        <v>0.15789473684210525</v>
      </c>
      <c r="V8" s="12">
        <f t="shared" si="2"/>
        <v>0.17391304347826086</v>
      </c>
      <c r="W8" s="12">
        <f t="shared" si="2"/>
        <v>0.35714285714285715</v>
      </c>
      <c r="X8" s="12">
        <f t="shared" si="2"/>
        <v>0.23076923076923078</v>
      </c>
      <c r="Y8" s="12">
        <f t="shared" si="2"/>
        <v>0.23076923076923078</v>
      </c>
      <c r="Z8" s="12">
        <f t="shared" si="2"/>
        <v>0.125</v>
      </c>
      <c r="AA8" s="12">
        <f t="shared" si="2"/>
        <v>0.27272727272727271</v>
      </c>
      <c r="AB8" s="12">
        <f t="shared" si="2"/>
        <v>6.8181818181818177E-2</v>
      </c>
      <c r="AC8" s="12">
        <f t="shared" si="2"/>
        <v>0.27272727272727271</v>
      </c>
      <c r="AD8" s="12" t="str">
        <f t="shared" si="2"/>
        <v>0%</v>
      </c>
      <c r="AE8" s="12" t="str">
        <f t="shared" si="2"/>
        <v>0%</v>
      </c>
      <c r="AF8" s="12" t="str">
        <f t="shared" si="2"/>
        <v>0%</v>
      </c>
      <c r="AG8" s="12" t="str">
        <f t="shared" si="2"/>
        <v>0%</v>
      </c>
      <c r="AH8" s="12" t="str">
        <f t="shared" si="2"/>
        <v>0%</v>
      </c>
      <c r="AI8" s="12" t="str">
        <f t="shared" si="2"/>
        <v>0%</v>
      </c>
      <c r="AJ8" s="12" t="str">
        <f t="shared" si="2"/>
        <v>0%</v>
      </c>
      <c r="AK8" s="12" t="str">
        <f t="shared" si="2"/>
        <v>0%</v>
      </c>
      <c r="AL8" s="12" t="str">
        <f t="shared" si="2"/>
        <v>0%</v>
      </c>
      <c r="AM8" s="12">
        <f t="shared" si="2"/>
        <v>0.19924812030075187</v>
      </c>
      <c r="AN8" s="12">
        <f t="shared" si="2"/>
        <v>0.15294117647058825</v>
      </c>
      <c r="AO8" s="11"/>
      <c r="AP8" s="11"/>
      <c r="AQ8" s="11"/>
      <c r="AR8" s="11"/>
      <c r="AS8" s="11"/>
      <c r="AT8" s="11"/>
      <c r="AU8" s="11"/>
      <c r="AV8" s="11"/>
      <c r="AW8" s="11"/>
    </row>
    <row r="9" spans="1:49" ht="18">
      <c r="A9" s="1" t="s">
        <v>24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13" t="s">
        <v>19</v>
      </c>
      <c r="H9" s="2">
        <v>0</v>
      </c>
      <c r="I9" s="2">
        <v>1</v>
      </c>
      <c r="J9" s="2">
        <v>5</v>
      </c>
      <c r="K9" s="2">
        <v>0</v>
      </c>
      <c r="L9" s="2">
        <v>2</v>
      </c>
      <c r="M9" s="2">
        <v>1</v>
      </c>
      <c r="N9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[1]流入チャネル別顧客一覧_7月以降完全ユニークではない!$S:$S,"&gt;="&amp;EOMONTH(N$3,-1)+1,
[1]流入チャネル別顧客一覧_7月以降完全ユニークではない!$S:$S,"&lt;"&amp;EOMONTH(N$3,0)+1
)</f>
        <v>2</v>
      </c>
      <c r="O9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[1]流入チャネル別顧客一覧_7月以降完全ユニークではない!$S:$S,"&gt;="&amp;EOMONTH(O$3,-1)+1,
[1]流入チャネル別顧客一覧_7月以降完全ユニークではない!$S:$S,"&lt;"&amp;EOMONTH(O$3,0)+1
)</f>
        <v>5</v>
      </c>
      <c r="P9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[1]流入チャネル別顧客一覧_7月以降完全ユニークではない!$S:$S,"&gt;="&amp;EOMONTH(P$3,-1)+1,
[1]流入チャネル別顧客一覧_7月以降完全ユニークではない!$S:$S,"&lt;"&amp;EOMONTH(P$3,0)+1
)</f>
        <v>3</v>
      </c>
      <c r="Q9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[1]流入チャネル別顧客一覧_7月以降完全ユニークではない!$S:$S,"&gt;="&amp;EOMONTH(Q$3,-1)+1,
[1]流入チャネル別顧客一覧_7月以降完全ユニークではない!$S:$S,"&lt;"&amp;EOMONTH(Q$3,0)+1
)</f>
        <v>4</v>
      </c>
      <c r="R9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[1]流入チャネル別顧客一覧_7月以降完全ユニークではない!$S:$S,"&gt;="&amp;EOMONTH(R$3,-1)+1,
[1]流入チャネル別顧客一覧_7月以降完全ユニークではない!$S:$S,"&lt;"&amp;EOMONTH(R$3,0)+1
)</f>
        <v>3</v>
      </c>
      <c r="S9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[1]流入チャネル別顧客一覧_7月以降完全ユニークではない!$S:$S,"&gt;="&amp;EOMONTH(S$3,-1)+1,
[1]流入チャネル別顧客一覧_7月以降完全ユニークではない!$S:$S,"&lt;"&amp;EOMONTH(S$3,0)+1
)</f>
        <v>6</v>
      </c>
      <c r="T9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[1]流入チャネル別顧客一覧_7月以降完全ユニークではない!$S:$S,"&gt;="&amp;EOMONTH(T$3,-1)+1,
[1]流入チャネル別顧客一覧_7月以降完全ユニークではない!$S:$S,"&lt;"&amp;EOMONTH(T$3,0)+1
)</f>
        <v>8</v>
      </c>
      <c r="U9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[1]流入チャネル別顧客一覧_7月以降完全ユニークではない!$S:$S,"&gt;="&amp;EOMONTH(U$3,-1)+1,
[1]流入チャネル別顧客一覧_7月以降完全ユニークではない!$S:$S,"&lt;"&amp;EOMONTH(U$3,0)+1
)</f>
        <v>2</v>
      </c>
      <c r="V9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[1]流入チャネル別顧客一覧_7月以降完全ユニークではない!$S:$S,"&gt;="&amp;EOMONTH(V$3,-1)+1,
[1]流入チャネル別顧客一覧_7月以降完全ユニークではない!$S:$S,"&lt;"&amp;EOMONTH(V$3,0)+1
)</f>
        <v>4</v>
      </c>
      <c r="W9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[1]流入チャネル別顧客一覧_7月以降完全ユニークではない!$S:$S,"&gt;="&amp;EOMONTH(W$3,-1)+1,
[1]流入チャネル別顧客一覧_7月以降完全ユニークではない!$S:$S,"&lt;"&amp;EOMONTH(W$3,0)+1
)</f>
        <v>3</v>
      </c>
      <c r="X9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[1]流入チャネル別顧客一覧_7月以降完全ユニークではない!$S:$S,"&gt;="&amp;EOMONTH(X$3,-1)+1,
[1]流入チャネル別顧客一覧_7月以降完全ユニークではない!$S:$S,"&lt;"&amp;EOMONTH(X$3,0)+1
)</f>
        <v>3</v>
      </c>
      <c r="Y9" s="2">
        <f>COUNTIFS(
[1]流入チャネル別顧客一覧_7月以降完全ユニークではない!$C:$C,"&gt;="&amp;DATE(2025,3,1),
[1]流入チャネル別顧客一覧_7月以降完全ユニークではない!$C:$C,"&lt;"&amp;DATE(2026,3,1),
[1]流入チャネル別顧客一覧_7月以降完全ユニークではない!$S:$S,"&gt;="&amp;EOMONTH(Y$3,-1)+1,
[1]流入チャネル別顧客一覧_7月以降完全ユニークではない!$S:$S,"&lt;"&amp;EOMONTH(Y$3,0)+1
)</f>
        <v>2</v>
      </c>
      <c r="Z9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[1]流入チャネル別顧客一覧_7月以降完全ユニークではない!$S:$S,"&gt;="&amp;EOMONTH(Z$3,-1)+1,
[1]流入チャネル別顧客一覧_7月以降完全ユニークではない!$S:$S,"&lt;"&amp;EOMONTH(Z$3,0)+1
)</f>
        <v>0</v>
      </c>
      <c r="AA9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[1]流入チャネル別顧客一覧_7月以降完全ユニークではない!$S:$S,"&gt;="&amp;EOMONTH(AA$3,-1)+1,
[1]流入チャネル別顧客一覧_7月以降完全ユニークではない!$S:$S,"&lt;"&amp;EOMONTH(AA$3,0)+1
)</f>
        <v>1</v>
      </c>
      <c r="AB9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[1]流入チャネル別顧客一覧_7月以降完全ユニークではない!$S:$S,"&gt;="&amp;EOMONTH(AB$3,-1)+1,
[1]流入チャネル別顧客一覧_7月以降完全ユニークではない!$S:$S,"&lt;"&amp;EOMONTH(AB$3,0)+1
)</f>
        <v>2</v>
      </c>
      <c r="AC9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[1]流入チャネル別顧客一覧_7月以降完全ユニークではない!$S:$S,"&gt;="&amp;EOMONTH(AC$3,-1)+1,
[1]流入チャネル別顧客一覧_7月以降完全ユニークではない!$S:$S,"&lt;"&amp;EOMONTH(AC$3,0)+1
)</f>
        <v>5</v>
      </c>
      <c r="AD9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[1]流入チャネル別顧客一覧_7月以降完全ユニークではない!$S:$S,"&gt;="&amp;EOMONTH(AD$3,-1)+1,
[1]流入チャネル別顧客一覧_7月以降完全ユニークではない!$S:$S,"&lt;"&amp;EOMONTH(AD$3,0)+1
)</f>
        <v>0</v>
      </c>
      <c r="AE9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[1]流入チャネル別顧客一覧_7月以降完全ユニークではない!$S:$S,"&gt;="&amp;EOMONTH(AE$3,-1)+1,
[1]流入チャネル別顧客一覧_7月以降完全ユニークではない!$S:$S,"&lt;"&amp;EOMONTH(AE$3,0)+1
)</f>
        <v>0</v>
      </c>
      <c r="AF9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[1]流入チャネル別顧客一覧_7月以降完全ユニークではない!$S:$S,"&gt;="&amp;EOMONTH(AF$3,-1)+1,
[1]流入チャネル別顧客一覧_7月以降完全ユニークではない!$S:$S,"&lt;"&amp;EOMONTH(AF$3,0)+1
)</f>
        <v>0</v>
      </c>
      <c r="AG9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[1]流入チャネル別顧客一覧_7月以降完全ユニークではない!$S:$S,"&gt;="&amp;EOMONTH(AG$3,-1)+1,
[1]流入チャネル別顧客一覧_7月以降完全ユニークではない!$S:$S,"&lt;"&amp;EOMONTH(AG$3,0)+1
)</f>
        <v>0</v>
      </c>
      <c r="AH9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[1]流入チャネル別顧客一覧_7月以降完全ユニークではない!$S:$S,"&gt;="&amp;EOMONTH(AH$3,-1)+1,
[1]流入チャネル別顧客一覧_7月以降完全ユニークではない!$S:$S,"&lt;"&amp;EOMONTH(AH$3,0)+1
)</f>
        <v>0</v>
      </c>
      <c r="AI9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[1]流入チャネル別顧客一覧_7月以降完全ユニークではない!$S:$S,"&gt;="&amp;EOMONTH(AI$3,-1)+1,
[1]流入チャネル別顧客一覧_7月以降完全ユニークではない!$S:$S,"&lt;"&amp;EOMONTH(AI$3,0)+1
)</f>
        <v>0</v>
      </c>
      <c r="AJ9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[1]流入チャネル別顧客一覧_7月以降完全ユニークではない!$S:$S,"&gt;="&amp;EOMONTH(AJ$3,-1)+1,
[1]流入チャネル別顧客一覧_7月以降完全ユニークではない!$S:$S,"&lt;"&amp;EOMONTH(AJ$3,0)+1
)</f>
        <v>0</v>
      </c>
      <c r="AK9" s="2">
        <f>COUNTIFS(
[1]流入チャネル別顧客一覧_7月以降完全ユニークではない!$C:$C,"&gt;="&amp;DATE(2026,3,1),
[1]流入チャネル別顧客一覧_7月以降完全ユニークではない!$C:$C,"&lt;"&amp;DATE(2027,3,1),
[1]流入チャネル別顧客一覧_7月以降完全ユニークではない!$S:$S,"&gt;="&amp;EOMONTH(AK$3,-1)+1,
[1]流入チャネル別顧客一覧_7月以降完全ユニークではない!$S:$S,"&lt;"&amp;EOMONTH(AK$3,0)+1
)</f>
        <v>0</v>
      </c>
      <c r="AL9" s="8">
        <f>SUM(E9:M9)</f>
        <v>9</v>
      </c>
      <c r="AM9" s="2">
        <f>SUM(N9:Y9)</f>
        <v>45</v>
      </c>
      <c r="AN9" s="2">
        <f t="shared" si="0"/>
        <v>8</v>
      </c>
    </row>
    <row r="10" spans="1:49" s="10" customFormat="1" ht="18">
      <c r="A10" s="10" t="s">
        <v>25</v>
      </c>
      <c r="B10" s="11" t="s">
        <v>19</v>
      </c>
      <c r="C10" s="11" t="s">
        <v>19</v>
      </c>
      <c r="D10" s="11" t="s">
        <v>19</v>
      </c>
      <c r="E10" s="11" t="s">
        <v>19</v>
      </c>
      <c r="F10" s="11" t="s">
        <v>19</v>
      </c>
      <c r="G10" s="11" t="s">
        <v>19</v>
      </c>
      <c r="H10" s="12" t="str">
        <f t="shared" ref="H10:AN10" si="3">IF(H9=0,"0%",H9/H5)</f>
        <v>0%</v>
      </c>
      <c r="I10" s="12">
        <f t="shared" si="3"/>
        <v>0.14285714285714285</v>
      </c>
      <c r="J10" s="12">
        <f t="shared" si="3"/>
        <v>0.2</v>
      </c>
      <c r="K10" s="12" t="str">
        <f t="shared" si="3"/>
        <v>0%</v>
      </c>
      <c r="L10" s="12">
        <f t="shared" si="3"/>
        <v>0.125</v>
      </c>
      <c r="M10" s="12">
        <f t="shared" si="3"/>
        <v>5.5555555555555552E-2</v>
      </c>
      <c r="N10" s="12">
        <f t="shared" si="3"/>
        <v>6.0606060606060608E-2</v>
      </c>
      <c r="O10" s="12">
        <f t="shared" si="3"/>
        <v>0.25</v>
      </c>
      <c r="P10" s="12">
        <f t="shared" si="3"/>
        <v>0.23076923076923078</v>
      </c>
      <c r="Q10" s="12">
        <f t="shared" si="3"/>
        <v>0.26666666666666666</v>
      </c>
      <c r="R10" s="12">
        <f t="shared" si="3"/>
        <v>6.8181818181818177E-2</v>
      </c>
      <c r="S10" s="12">
        <f t="shared" si="3"/>
        <v>0.20689655172413793</v>
      </c>
      <c r="T10" s="12">
        <f t="shared" si="3"/>
        <v>0.26666666666666666</v>
      </c>
      <c r="U10" s="12">
        <f t="shared" si="3"/>
        <v>0.10526315789473684</v>
      </c>
      <c r="V10" s="12">
        <f t="shared" si="3"/>
        <v>0.17391304347826086</v>
      </c>
      <c r="W10" s="12">
        <f t="shared" si="3"/>
        <v>0.21428571428571427</v>
      </c>
      <c r="X10" s="12">
        <f t="shared" si="3"/>
        <v>0.23076923076923078</v>
      </c>
      <c r="Y10" s="12">
        <f t="shared" si="3"/>
        <v>0.15384615384615385</v>
      </c>
      <c r="Z10" s="12" t="str">
        <f t="shared" si="3"/>
        <v>0%</v>
      </c>
      <c r="AA10" s="12">
        <f t="shared" si="3"/>
        <v>9.0909090909090912E-2</v>
      </c>
      <c r="AB10" s="12">
        <f t="shared" si="3"/>
        <v>4.5454545454545456E-2</v>
      </c>
      <c r="AC10" s="12">
        <f t="shared" si="3"/>
        <v>0.22727272727272727</v>
      </c>
      <c r="AD10" s="12" t="str">
        <f t="shared" si="3"/>
        <v>0%</v>
      </c>
      <c r="AE10" s="12" t="str">
        <f t="shared" si="3"/>
        <v>0%</v>
      </c>
      <c r="AF10" s="12" t="str">
        <f t="shared" si="3"/>
        <v>0%</v>
      </c>
      <c r="AG10" s="12" t="str">
        <f t="shared" si="3"/>
        <v>0%</v>
      </c>
      <c r="AH10" s="12" t="str">
        <f t="shared" si="3"/>
        <v>0%</v>
      </c>
      <c r="AI10" s="12" t="str">
        <f t="shared" si="3"/>
        <v>0%</v>
      </c>
      <c r="AJ10" s="12" t="str">
        <f t="shared" si="3"/>
        <v>0%</v>
      </c>
      <c r="AK10" s="12" t="str">
        <f t="shared" si="3"/>
        <v>0%</v>
      </c>
      <c r="AL10" s="12">
        <f t="shared" si="3"/>
        <v>0.11392405063291139</v>
      </c>
      <c r="AM10" s="12">
        <f t="shared" si="3"/>
        <v>0.16917293233082706</v>
      </c>
      <c r="AN10" s="12">
        <f t="shared" si="3"/>
        <v>9.4117647058823528E-2</v>
      </c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ht="18">
      <c r="A11" s="1" t="s">
        <v>26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19</v>
      </c>
      <c r="G11" s="13" t="s">
        <v>19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0</v>
      </c>
      <c r="N11" s="2">
        <f>COUNTIFS(
[1]流入チャネル別顧客一覧_7月以降完全ユニークではない!$T:$T,"&gt;="&amp;EOMONTH(N$3,-1)+1,
[1]流入チャネル別顧客一覧_7月以降完全ユニークではない!$T:$T,"&lt;"&amp;EOMONTH(N$3,0)+1
)</f>
        <v>0</v>
      </c>
      <c r="O11" s="2">
        <f>COUNTIFS(
[1]流入チャネル別顧客一覧_7月以降完全ユニークではない!$T:$T,"&gt;="&amp;EOMONTH(O$3,-1)+1,
[1]流入チャネル別顧客一覧_7月以降完全ユニークではない!$T:$T,"&lt;"&amp;EOMONTH(O$3,0)+1
)</f>
        <v>0</v>
      </c>
      <c r="P11" s="2">
        <f>COUNTIFS(
[1]流入チャネル別顧客一覧_7月以降完全ユニークではない!$T:$T,"&gt;="&amp;EOMONTH(P$3,-1)+1,
[1]流入チャネル別顧客一覧_7月以降完全ユニークではない!$T:$T,"&lt;"&amp;EOMONTH(P$3,0)+1
)</f>
        <v>1</v>
      </c>
      <c r="Q11" s="2">
        <f>COUNTIFS(
[1]流入チャネル別顧客一覧_7月以降完全ユニークではない!$T:$T,"&gt;="&amp;EOMONTH(Q$3,-1)+1,
[1]流入チャネル別顧客一覧_7月以降完全ユニークではない!$T:$T,"&lt;"&amp;EOMONTH(Q$3,0)+1
)</f>
        <v>0</v>
      </c>
      <c r="R11" s="2">
        <f>COUNTIFS(
[1]流入チャネル別顧客一覧_7月以降完全ユニークではない!$T:$T,"&gt;="&amp;EOMONTH(R$3,-1)+1,
[1]流入チャネル別顧客一覧_7月以降完全ユニークではない!$T:$T,"&lt;"&amp;EOMONTH(R$3,0)+1
)</f>
        <v>0</v>
      </c>
      <c r="S11" s="2">
        <f>COUNTIFS(
[1]流入チャネル別顧客一覧_7月以降完全ユニークではない!$T:$T,"&gt;="&amp;EOMONTH(S$3,-1)+1,
[1]流入チャネル別顧客一覧_7月以降完全ユニークではない!$T:$T,"&lt;"&amp;EOMONTH(S$3,0)+1
)</f>
        <v>0</v>
      </c>
      <c r="T11" s="2">
        <f>COUNTIFS(
[1]流入チャネル別顧客一覧_7月以降完全ユニークではない!$T:$T,"&gt;="&amp;EOMONTH(T$3,-1)+1,
[1]流入チャネル別顧客一覧_7月以降完全ユニークではない!$T:$T,"&lt;"&amp;EOMONTH(T$3,0)+1
)</f>
        <v>2</v>
      </c>
      <c r="U11" s="2">
        <f>COUNTIFS(
[1]流入チャネル別顧客一覧_7月以降完全ユニークではない!$T:$T,"&gt;="&amp;EOMONTH(U$3,-1)+1,
[1]流入チャネル別顧客一覧_7月以降完全ユニークではない!$T:$T,"&lt;"&amp;EOMONTH(U$3,0)+1
)</f>
        <v>0</v>
      </c>
      <c r="V11" s="2">
        <f>COUNTIFS(
[1]流入チャネル別顧客一覧_7月以降完全ユニークではない!$T:$T,"&gt;="&amp;EOMONTH(V$3,-1)+1,
[1]流入チャネル別顧客一覧_7月以降完全ユニークではない!$T:$T,"&lt;"&amp;EOMONTH(V$3,0)+1
)</f>
        <v>1</v>
      </c>
      <c r="W11" s="2">
        <f>COUNTIFS(
[1]流入チャネル別顧客一覧_7月以降完全ユニークではない!$T:$T,"&gt;="&amp;EOMONTH(W$3,-1)+1,
[1]流入チャネル別顧客一覧_7月以降完全ユニークではない!$T:$T,"&lt;"&amp;EOMONTH(W$3,0)+1
)</f>
        <v>0</v>
      </c>
      <c r="X11" s="2">
        <f>COUNTIFS(
[1]流入チャネル別顧客一覧_7月以降完全ユニークではない!$T:$T,"&gt;="&amp;EOMONTH(X$3,-1)+1,
[1]流入チャネル別顧客一覧_7月以降完全ユニークではない!$T:$T,"&lt;"&amp;EOMONTH(X$3,0)+1
)</f>
        <v>2</v>
      </c>
      <c r="Y11" s="2">
        <f>COUNTIFS(
[1]流入チャネル別顧客一覧_7月以降完全ユニークではない!$T:$T,"&gt;="&amp;EOMONTH(Y$3,-1)+1,
[1]流入チャネル別顧客一覧_7月以降完全ユニークではない!$T:$T,"&lt;"&amp;EOMONTH(Y$3,0)+1
)</f>
        <v>0</v>
      </c>
      <c r="Z11" s="2">
        <f>COUNTIFS(
[1]流入チャネル別顧客一覧_7月以降完全ユニークではない!$T:$T,"&gt;="&amp;EOMONTH(Z$3,-1)+1,
[1]流入チャネル別顧客一覧_7月以降完全ユニークではない!$T:$T,"&lt;"&amp;EOMONTH(Z$3,0)+1
)</f>
        <v>0</v>
      </c>
      <c r="AA11" s="2">
        <f>COUNTIFS(
[1]流入チャネル別顧客一覧_7月以降完全ユニークではない!$T:$T,"&gt;="&amp;EOMONTH(AA$3,-1)+1,
[1]流入チャネル別顧客一覧_7月以降完全ユニークではない!$T:$T,"&lt;"&amp;EOMONTH(AA$3,0)+1
)</f>
        <v>0</v>
      </c>
      <c r="AB11" s="2">
        <f>COUNTIFS(
[1]流入チャネル別顧客一覧_7月以降完全ユニークではない!$T:$T,"&gt;="&amp;EOMONTH(AB$3,-1)+1,
[1]流入チャネル別顧客一覧_7月以降完全ユニークではない!$T:$T,"&lt;"&amp;EOMONTH(AB$3,0)+1
)</f>
        <v>0</v>
      </c>
      <c r="AC11" s="2">
        <f>COUNTIFS(
[1]流入チャネル別顧客一覧_7月以降完全ユニークではない!$T:$T,"&gt;="&amp;EOMONTH(AC$3,-1)+1,
[1]流入チャネル別顧客一覧_7月以降完全ユニークではない!$T:$T,"&lt;"&amp;EOMONTH(AC$3,0)+1
)</f>
        <v>0</v>
      </c>
      <c r="AD11" s="2">
        <f>COUNTIFS(
[1]流入チャネル別顧客一覧_7月以降完全ユニークではない!$T:$T,"&gt;="&amp;EOMONTH(AD$3,-1)+1,
[1]流入チャネル別顧客一覧_7月以降完全ユニークではない!$T:$T,"&lt;"&amp;EOMONTH(AD$3,0)+1
)</f>
        <v>0</v>
      </c>
      <c r="AE11" s="2">
        <f>COUNTIFS(
[1]流入チャネル別顧客一覧_7月以降完全ユニークではない!$T:$T,"&gt;="&amp;EOMONTH(AE$3,-1)+1,
[1]流入チャネル別顧客一覧_7月以降完全ユニークではない!$T:$T,"&lt;"&amp;EOMONTH(AE$3,0)+1
)</f>
        <v>0</v>
      </c>
      <c r="AF11" s="2">
        <f>COUNTIFS(
[1]流入チャネル別顧客一覧_7月以降完全ユニークではない!$T:$T,"&gt;="&amp;EOMONTH(AF$3,-1)+1,
[1]流入チャネル別顧客一覧_7月以降完全ユニークではない!$T:$T,"&lt;"&amp;EOMONTH(AF$3,0)+1
)</f>
        <v>0</v>
      </c>
      <c r="AG11" s="2">
        <f>COUNTIFS(
[1]流入チャネル別顧客一覧_7月以降完全ユニークではない!$T:$T,"&gt;="&amp;EOMONTH(AG$3,-1)+1,
[1]流入チャネル別顧客一覧_7月以降完全ユニークではない!$T:$T,"&lt;"&amp;EOMONTH(AG$3,0)+1
)</f>
        <v>0</v>
      </c>
      <c r="AH11" s="2">
        <f>COUNTIFS(
[1]流入チャネル別顧客一覧_7月以降完全ユニークではない!$T:$T,"&gt;="&amp;EOMONTH(AH$3,-1)+1,
[1]流入チャネル別顧客一覧_7月以降完全ユニークではない!$T:$T,"&lt;"&amp;EOMONTH(AH$3,0)+1
)</f>
        <v>0</v>
      </c>
      <c r="AI11" s="2">
        <f>COUNTIFS(
[1]流入チャネル別顧客一覧_7月以降完全ユニークではない!$T:$T,"&gt;="&amp;EOMONTH(AI$3,-1)+1,
[1]流入チャネル別顧客一覧_7月以降完全ユニークではない!$T:$T,"&lt;"&amp;EOMONTH(AI$3,0)+1
)</f>
        <v>0</v>
      </c>
      <c r="AJ11" s="2">
        <f>COUNTIFS(
[1]流入チャネル別顧客一覧_7月以降完全ユニークではない!$T:$T,"&gt;="&amp;EOMONTH(AJ$3,-1)+1,
[1]流入チャネル別顧客一覧_7月以降完全ユニークではない!$T:$T,"&lt;"&amp;EOMONTH(AJ$3,0)+1
)</f>
        <v>0</v>
      </c>
      <c r="AK11" s="2">
        <f>COUNTIFS(
[1]流入チャネル別顧客一覧_7月以降完全ユニークではない!$T:$T,"&gt;="&amp;EOMONTH(AK$3,-1)+1,
[1]流入チャネル別顧客一覧_7月以降完全ユニークではない!$T:$T,"&lt;"&amp;EOMONTH(AK$3,0)+1
)</f>
        <v>0</v>
      </c>
      <c r="AL11" s="8">
        <f>SUM(E11:M11)</f>
        <v>1</v>
      </c>
      <c r="AM11" s="2">
        <f>SUM(N11:Y11)</f>
        <v>6</v>
      </c>
      <c r="AN11" s="2">
        <f t="shared" si="0"/>
        <v>0</v>
      </c>
    </row>
    <row r="12" spans="1:49" s="10" customFormat="1" ht="18">
      <c r="A12" s="10" t="s">
        <v>27</v>
      </c>
      <c r="B12" s="11" t="s">
        <v>19</v>
      </c>
      <c r="C12" s="11" t="s">
        <v>19</v>
      </c>
      <c r="D12" s="11" t="s">
        <v>19</v>
      </c>
      <c r="E12" s="11" t="s">
        <v>19</v>
      </c>
      <c r="F12" s="11" t="s">
        <v>19</v>
      </c>
      <c r="G12" s="11" t="s">
        <v>19</v>
      </c>
      <c r="H12" s="12" t="str">
        <f t="shared" ref="H12:AN12" si="4">IF(H11=0,"0%",H11/H5)</f>
        <v>0%</v>
      </c>
      <c r="I12" s="12" t="str">
        <f t="shared" si="4"/>
        <v>0%</v>
      </c>
      <c r="J12" s="12" t="str">
        <f t="shared" si="4"/>
        <v>0%</v>
      </c>
      <c r="K12" s="12" t="str">
        <f t="shared" si="4"/>
        <v>0%</v>
      </c>
      <c r="L12" s="12">
        <f t="shared" si="4"/>
        <v>6.25E-2</v>
      </c>
      <c r="M12" s="12" t="str">
        <f t="shared" si="4"/>
        <v>0%</v>
      </c>
      <c r="N12" s="12" t="str">
        <f t="shared" si="4"/>
        <v>0%</v>
      </c>
      <c r="O12" s="12" t="str">
        <f t="shared" si="4"/>
        <v>0%</v>
      </c>
      <c r="P12" s="12">
        <f t="shared" si="4"/>
        <v>7.6923076923076927E-2</v>
      </c>
      <c r="Q12" s="12" t="str">
        <f t="shared" si="4"/>
        <v>0%</v>
      </c>
      <c r="R12" s="12" t="str">
        <f t="shared" si="4"/>
        <v>0%</v>
      </c>
      <c r="S12" s="12" t="str">
        <f t="shared" si="4"/>
        <v>0%</v>
      </c>
      <c r="T12" s="12">
        <f t="shared" si="4"/>
        <v>6.6666666666666666E-2</v>
      </c>
      <c r="U12" s="12" t="str">
        <f t="shared" si="4"/>
        <v>0%</v>
      </c>
      <c r="V12" s="12">
        <f t="shared" si="4"/>
        <v>4.3478260869565216E-2</v>
      </c>
      <c r="W12" s="12" t="str">
        <f t="shared" si="4"/>
        <v>0%</v>
      </c>
      <c r="X12" s="12">
        <f t="shared" si="4"/>
        <v>0.15384615384615385</v>
      </c>
      <c r="Y12" s="12" t="str">
        <f t="shared" si="4"/>
        <v>0%</v>
      </c>
      <c r="Z12" s="12" t="str">
        <f t="shared" si="4"/>
        <v>0%</v>
      </c>
      <c r="AA12" s="12" t="str">
        <f t="shared" si="4"/>
        <v>0%</v>
      </c>
      <c r="AB12" s="12" t="str">
        <f t="shared" si="4"/>
        <v>0%</v>
      </c>
      <c r="AC12" s="12" t="str">
        <f t="shared" si="4"/>
        <v>0%</v>
      </c>
      <c r="AD12" s="12" t="str">
        <f t="shared" si="4"/>
        <v>0%</v>
      </c>
      <c r="AE12" s="12" t="str">
        <f t="shared" si="4"/>
        <v>0%</v>
      </c>
      <c r="AF12" s="12" t="str">
        <f t="shared" si="4"/>
        <v>0%</v>
      </c>
      <c r="AG12" s="12" t="str">
        <f t="shared" si="4"/>
        <v>0%</v>
      </c>
      <c r="AH12" s="12" t="str">
        <f t="shared" si="4"/>
        <v>0%</v>
      </c>
      <c r="AI12" s="12" t="str">
        <f t="shared" si="4"/>
        <v>0%</v>
      </c>
      <c r="AJ12" s="12" t="str">
        <f t="shared" si="4"/>
        <v>0%</v>
      </c>
      <c r="AK12" s="12" t="str">
        <f t="shared" si="4"/>
        <v>0%</v>
      </c>
      <c r="AL12" s="12">
        <f t="shared" si="4"/>
        <v>1.2658227848101266E-2</v>
      </c>
      <c r="AM12" s="12">
        <f t="shared" si="4"/>
        <v>2.2556390977443608E-2</v>
      </c>
      <c r="AN12" s="12" t="str">
        <f t="shared" si="4"/>
        <v>0%</v>
      </c>
      <c r="AO12" s="11"/>
      <c r="AP12" s="11"/>
      <c r="AQ12" s="11"/>
      <c r="AR12" s="11"/>
      <c r="AS12" s="11"/>
      <c r="AT12" s="11"/>
      <c r="AU12" s="11"/>
      <c r="AV12" s="11"/>
      <c r="AW12" s="11"/>
    </row>
    <row r="13" spans="1:49" s="3" customFormat="1" ht="18">
      <c r="A13" s="3" t="s">
        <v>28</v>
      </c>
      <c r="B13" s="3">
        <v>269</v>
      </c>
      <c r="C13" s="3">
        <v>349</v>
      </c>
      <c r="D13" s="3">
        <v>404</v>
      </c>
      <c r="E13" s="4">
        <v>454</v>
      </c>
      <c r="F13" s="4">
        <v>504</v>
      </c>
      <c r="G13" s="4">
        <v>564</v>
      </c>
      <c r="H13" s="4">
        <v>614</v>
      </c>
      <c r="I13" s="4">
        <v>664</v>
      </c>
      <c r="J13" s="4">
        <v>724</v>
      </c>
      <c r="K13" s="4">
        <v>874</v>
      </c>
      <c r="L13" s="4">
        <v>924</v>
      </c>
      <c r="M13" s="4">
        <v>924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27">
        <f t="shared" ref="Z13:AJ13" si="5">$AN13/12</f>
        <v>3302.1666666666665</v>
      </c>
      <c r="AA13" s="127">
        <f t="shared" si="5"/>
        <v>3302.1666666666665</v>
      </c>
      <c r="AB13" s="127">
        <f t="shared" si="5"/>
        <v>3302.1666666666665</v>
      </c>
      <c r="AC13" s="127">
        <f t="shared" si="5"/>
        <v>3302.1666666666665</v>
      </c>
      <c r="AD13" s="127">
        <f t="shared" si="5"/>
        <v>3302.1666666666665</v>
      </c>
      <c r="AE13" s="127">
        <f t="shared" si="5"/>
        <v>3302.1666666666665</v>
      </c>
      <c r="AF13" s="127">
        <f t="shared" si="5"/>
        <v>3302.1666666666665</v>
      </c>
      <c r="AG13" s="127">
        <f t="shared" si="5"/>
        <v>3302.1666666666665</v>
      </c>
      <c r="AH13" s="127">
        <f t="shared" si="5"/>
        <v>3302.1666666666665</v>
      </c>
      <c r="AI13" s="127">
        <f t="shared" si="5"/>
        <v>3302.1666666666665</v>
      </c>
      <c r="AJ13" s="127">
        <f t="shared" si="5"/>
        <v>3302.1666666666665</v>
      </c>
      <c r="AK13" s="127">
        <f>$AN13/12</f>
        <v>3302.1666666666665</v>
      </c>
      <c r="AL13" s="4"/>
      <c r="AM13" s="4"/>
      <c r="AN13" s="127">
        <v>39626</v>
      </c>
      <c r="AO13" s="4"/>
      <c r="AP13" s="4"/>
      <c r="AQ13" s="4"/>
      <c r="AR13" s="4"/>
      <c r="AS13" s="4"/>
      <c r="AT13" s="4"/>
      <c r="AU13" s="4"/>
      <c r="AV13" s="4"/>
      <c r="AW13" s="4"/>
    </row>
    <row r="14" spans="1:49" s="34" customFormat="1" ht="18">
      <c r="A14" s="34" t="s">
        <v>29</v>
      </c>
      <c r="E14" s="129"/>
      <c r="F14" s="129"/>
      <c r="G14" s="129"/>
      <c r="H14" s="130">
        <f t="shared" ref="H14:Y14" si="6">IF(H13=0,"0%",H4/H13)</f>
        <v>0.21009771986970685</v>
      </c>
      <c r="I14" s="130">
        <f t="shared" si="6"/>
        <v>1.3719879518072289</v>
      </c>
      <c r="J14" s="130">
        <f t="shared" si="6"/>
        <v>2.8729281767955803</v>
      </c>
      <c r="K14" s="130">
        <f t="shared" si="6"/>
        <v>1.7013729977116705</v>
      </c>
      <c r="L14" s="130">
        <f t="shared" si="6"/>
        <v>3.4491341991341993</v>
      </c>
      <c r="M14" s="130">
        <f t="shared" si="6"/>
        <v>1.9177489177489178</v>
      </c>
      <c r="N14" s="130" t="str">
        <f t="shared" si="6"/>
        <v>0%</v>
      </c>
      <c r="O14" s="130" t="str">
        <f t="shared" si="6"/>
        <v>0%</v>
      </c>
      <c r="P14" s="130" t="str">
        <f t="shared" si="6"/>
        <v>0%</v>
      </c>
      <c r="Q14" s="130" t="str">
        <f t="shared" si="6"/>
        <v>0%</v>
      </c>
      <c r="R14" s="130" t="str">
        <f t="shared" si="6"/>
        <v>0%</v>
      </c>
      <c r="S14" s="130" t="str">
        <f t="shared" si="6"/>
        <v>0%</v>
      </c>
      <c r="T14" s="130" t="str">
        <f t="shared" si="6"/>
        <v>0%</v>
      </c>
      <c r="U14" s="130" t="str">
        <f t="shared" si="6"/>
        <v>0%</v>
      </c>
      <c r="V14" s="130" t="str">
        <f t="shared" si="6"/>
        <v>0%</v>
      </c>
      <c r="W14" s="130" t="str">
        <f t="shared" si="6"/>
        <v>0%</v>
      </c>
      <c r="X14" s="130" t="str">
        <f t="shared" si="6"/>
        <v>0%</v>
      </c>
      <c r="Y14" s="130" t="str">
        <f t="shared" si="6"/>
        <v>0%</v>
      </c>
      <c r="Z14" s="130">
        <f>SUM($Z4:Z4)/SUM($Z13:Z13)</f>
        <v>0.91485388381365773</v>
      </c>
      <c r="AA14" s="130">
        <f>SUM($Z4:AA4)/SUM($Z13:AA13)</f>
        <v>0.93862615454499576</v>
      </c>
      <c r="AB14" s="130">
        <f>SUM($Z4:AB4)/SUM($Z13:AB13)</f>
        <v>0.89214152324231566</v>
      </c>
      <c r="AC14" s="130">
        <f>SUM($Z4:AC4)/SUM($Z13:AC13)</f>
        <v>0.99472568515621063</v>
      </c>
      <c r="AD14" s="130">
        <f>SUM($Z4:AD4)/SUM($Z13:AD13)</f>
        <v>0.79578054812496857</v>
      </c>
      <c r="AE14" s="130">
        <f>SUM($Z4:AE4)/SUM($Z13:AE13)</f>
        <v>0.66315045677080708</v>
      </c>
      <c r="AF14" s="130">
        <f>SUM($Z4:AF4)/SUM($Z13:AF13)</f>
        <v>0.56841467723212025</v>
      </c>
      <c r="AG14" s="130">
        <f>SUM($Z4:AG4)/SUM($Z13:AG13)</f>
        <v>0.49736284257810526</v>
      </c>
      <c r="AH14" s="130">
        <f>SUM($Z4:AH4)/SUM($Z13:AH13)</f>
        <v>0.44210030451387133</v>
      </c>
      <c r="AI14" s="130">
        <f>SUM($Z4:AI4)/SUM($Z13:AI13)</f>
        <v>0.39789027406248417</v>
      </c>
      <c r="AJ14" s="130">
        <f>SUM($Z4:AJ4)/SUM($Z13:AJ13)</f>
        <v>0.36171843096589473</v>
      </c>
      <c r="AK14" s="130">
        <f>SUM($Z4:AK4)/SUM($Z13:AK13)</f>
        <v>0.33157522838540354</v>
      </c>
      <c r="AL14" s="130" t="str">
        <f>IF(AL13=0,"0%",AL4/AL13)</f>
        <v>0%</v>
      </c>
      <c r="AM14" s="130" t="str">
        <f>IF(AM13=0,"0%",AM4/AM13)</f>
        <v>0%</v>
      </c>
      <c r="AN14" s="130">
        <f>IF(AN13=0,"0%",AN4/AN13)</f>
        <v>0.33157522838540354</v>
      </c>
      <c r="AO14" s="129"/>
      <c r="AP14" s="129"/>
      <c r="AQ14" s="129"/>
      <c r="AR14" s="129"/>
      <c r="AS14" s="129"/>
      <c r="AT14" s="129"/>
      <c r="AU14" s="129"/>
      <c r="AV14" s="129"/>
      <c r="AW14" s="129"/>
    </row>
    <row r="15" spans="1:49" s="3" customFormat="1" ht="18">
      <c r="A15" s="117" t="s">
        <v>30</v>
      </c>
      <c r="B15" s="41">
        <v>3</v>
      </c>
      <c r="C15" s="41">
        <v>4</v>
      </c>
      <c r="D15" s="41">
        <v>4</v>
      </c>
      <c r="E15" s="14">
        <v>4</v>
      </c>
      <c r="F15" s="14">
        <v>4</v>
      </c>
      <c r="G15" s="14">
        <v>4</v>
      </c>
      <c r="H15" s="14">
        <v>5</v>
      </c>
      <c r="I15" s="14">
        <v>5</v>
      </c>
      <c r="J15" s="14">
        <v>5</v>
      </c>
      <c r="K15" s="14">
        <v>6</v>
      </c>
      <c r="L15" s="14">
        <v>7</v>
      </c>
      <c r="M15" s="14">
        <v>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126">
        <f t="shared" ref="Z15:AJ15" si="7">$AN15/12</f>
        <v>25</v>
      </c>
      <c r="AA15" s="126">
        <f t="shared" si="7"/>
        <v>25</v>
      </c>
      <c r="AB15" s="126">
        <f t="shared" si="7"/>
        <v>25</v>
      </c>
      <c r="AC15" s="126">
        <f t="shared" si="7"/>
        <v>25</v>
      </c>
      <c r="AD15" s="126">
        <f t="shared" si="7"/>
        <v>25</v>
      </c>
      <c r="AE15" s="126">
        <f t="shared" si="7"/>
        <v>25</v>
      </c>
      <c r="AF15" s="126">
        <f t="shared" si="7"/>
        <v>25</v>
      </c>
      <c r="AG15" s="126">
        <f t="shared" si="7"/>
        <v>25</v>
      </c>
      <c r="AH15" s="126">
        <f t="shared" si="7"/>
        <v>25</v>
      </c>
      <c r="AI15" s="126">
        <f t="shared" si="7"/>
        <v>25</v>
      </c>
      <c r="AJ15" s="126">
        <f t="shared" si="7"/>
        <v>25</v>
      </c>
      <c r="AK15" s="126">
        <f>$AN15/12</f>
        <v>25</v>
      </c>
      <c r="AL15" s="8"/>
      <c r="AM15" s="4"/>
      <c r="AN15" s="127">
        <v>300</v>
      </c>
      <c r="AO15" s="4"/>
      <c r="AP15" s="4"/>
      <c r="AQ15" s="4"/>
      <c r="AR15" s="4"/>
      <c r="AS15" s="4"/>
      <c r="AT15" s="4"/>
      <c r="AU15" s="4"/>
      <c r="AV15" s="4"/>
      <c r="AW15" s="4"/>
    </row>
    <row r="16" spans="1:49" s="34" customFormat="1" ht="18">
      <c r="A16" s="34" t="s">
        <v>31</v>
      </c>
      <c r="E16" s="129"/>
      <c r="F16" s="129"/>
      <c r="G16" s="129"/>
      <c r="H16" s="130">
        <f t="shared" ref="H16:Y16" si="8">IF(H15=0,"0%",H5/H15)</f>
        <v>0.6</v>
      </c>
      <c r="I16" s="130">
        <f t="shared" si="8"/>
        <v>1.4</v>
      </c>
      <c r="J16" s="130">
        <f t="shared" si="8"/>
        <v>5</v>
      </c>
      <c r="K16" s="130">
        <f t="shared" si="8"/>
        <v>1.6666666666666667</v>
      </c>
      <c r="L16" s="130">
        <f t="shared" si="8"/>
        <v>2.2857142857142856</v>
      </c>
      <c r="M16" s="130">
        <f t="shared" si="8"/>
        <v>2.5714285714285716</v>
      </c>
      <c r="N16" s="130" t="str">
        <f t="shared" si="8"/>
        <v>0%</v>
      </c>
      <c r="O16" s="130" t="str">
        <f t="shared" si="8"/>
        <v>0%</v>
      </c>
      <c r="P16" s="130" t="str">
        <f t="shared" si="8"/>
        <v>0%</v>
      </c>
      <c r="Q16" s="130" t="str">
        <f t="shared" si="8"/>
        <v>0%</v>
      </c>
      <c r="R16" s="130" t="str">
        <f t="shared" si="8"/>
        <v>0%</v>
      </c>
      <c r="S16" s="130" t="str">
        <f t="shared" si="8"/>
        <v>0%</v>
      </c>
      <c r="T16" s="130" t="str">
        <f t="shared" si="8"/>
        <v>0%</v>
      </c>
      <c r="U16" s="130" t="str">
        <f t="shared" si="8"/>
        <v>0%</v>
      </c>
      <c r="V16" s="130" t="str">
        <f t="shared" si="8"/>
        <v>0%</v>
      </c>
      <c r="W16" s="130" t="str">
        <f t="shared" si="8"/>
        <v>0%</v>
      </c>
      <c r="X16" s="130" t="str">
        <f t="shared" si="8"/>
        <v>0%</v>
      </c>
      <c r="Y16" s="130" t="str">
        <f t="shared" si="8"/>
        <v>0%</v>
      </c>
      <c r="Z16" s="130">
        <f>SUM($Z5:Z5)/SUM($Z15:Z15)</f>
        <v>0.32</v>
      </c>
      <c r="AA16" s="130">
        <f>SUM($Z5:AA5)/SUM($Z15:AA15)</f>
        <v>0.38</v>
      </c>
      <c r="AB16" s="130">
        <f>SUM($Z5:AB5)/SUM($Z15:AB15)</f>
        <v>0.84</v>
      </c>
      <c r="AC16" s="130">
        <f>SUM($Z5:AC5)/SUM($Z15:AC15)</f>
        <v>0.85</v>
      </c>
      <c r="AD16" s="130">
        <f>SUM($Z5:AD5)/SUM($Z15:AD15)</f>
        <v>0.68</v>
      </c>
      <c r="AE16" s="130">
        <f>SUM($Z5:AE5)/SUM($Z15:AE15)</f>
        <v>0.56666666666666665</v>
      </c>
      <c r="AF16" s="130">
        <f>SUM($Z5:AF5)/SUM($Z15:AF15)</f>
        <v>0.48571428571428571</v>
      </c>
      <c r="AG16" s="130">
        <f>SUM($Z5:AG5)/SUM($Z15:AG15)</f>
        <v>0.42499999999999999</v>
      </c>
      <c r="AH16" s="130">
        <f>SUM($Z5:AH5)/SUM($Z15:AH15)</f>
        <v>0.37777777777777777</v>
      </c>
      <c r="AI16" s="130">
        <f>SUM($Z5:AI5)/SUM($Z15:AI15)</f>
        <v>0.34</v>
      </c>
      <c r="AJ16" s="130">
        <f>SUM($Z5:AJ5)/SUM($Z15:AJ15)</f>
        <v>0.30909090909090908</v>
      </c>
      <c r="AK16" s="130">
        <f>SUM($Z5:AK5)/SUM($Z15:AK15)</f>
        <v>0.28333333333333333</v>
      </c>
      <c r="AL16" s="130">
        <f>SUM($Z5:AL5)/SUM($Z15:AL15)</f>
        <v>0.54666666666666663</v>
      </c>
      <c r="AM16" s="130" t="str">
        <f>IF(AM15=0,"0%",AM5/AM15)</f>
        <v>0%</v>
      </c>
      <c r="AN16" s="130">
        <f>IF(AN15=0,"0%",AN5/AN15)</f>
        <v>0.28333333333333333</v>
      </c>
      <c r="AO16" s="129"/>
      <c r="AP16" s="129"/>
      <c r="AQ16" s="129"/>
      <c r="AR16" s="129"/>
      <c r="AS16" s="129"/>
      <c r="AT16" s="129"/>
      <c r="AU16" s="129"/>
      <c r="AV16" s="129"/>
      <c r="AW16" s="129"/>
    </row>
    <row r="17" spans="1:49" s="3" customFormat="1" ht="18" hidden="1">
      <c r="A17" s="3" t="s">
        <v>32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4" cm="1">
        <f t="array" ref="N17">ROUNDUP(SUM(($H$5:$M$5)*1.2)/12,0)</f>
        <v>8</v>
      </c>
      <c r="O17" s="4" cm="1">
        <f t="array" ref="O17">ROUNDUP(SUM(($H$5:$M$5)*1.2)/12,0)</f>
        <v>8</v>
      </c>
      <c r="P17" s="4" cm="1">
        <f t="array" ref="P17">ROUNDUP(SUM(($H$5:$M$5)*1.2)/12,0)</f>
        <v>8</v>
      </c>
      <c r="Q17" s="4" cm="1">
        <f t="array" ref="Q17">ROUNDUP(SUM(($H$5:$M$5)*1.2)/12,0)</f>
        <v>8</v>
      </c>
      <c r="R17" s="4" cm="1">
        <f t="array" ref="R17">ROUNDUP(SUM(($H$5:$M$5)*1.2)/12,0)</f>
        <v>8</v>
      </c>
      <c r="S17" s="4" cm="1">
        <f t="array" ref="S17">ROUNDUP(SUM(($H$5:$M$5)*1.2)/12,0)</f>
        <v>8</v>
      </c>
      <c r="T17" s="4" cm="1">
        <f t="array" ref="T17">ROUNDUP(SUM(($H$5:$M$5)*1.2)/12,0)</f>
        <v>8</v>
      </c>
      <c r="U17" s="4" cm="1">
        <f t="array" ref="U17">ROUNDUP(SUM(($H$5:$M$5)*1.2)/12,0)</f>
        <v>8</v>
      </c>
      <c r="V17" s="4" cm="1">
        <f t="array" ref="V17">ROUNDUP(SUM(($H$5:$M$5)*1.2)/12,0)</f>
        <v>8</v>
      </c>
      <c r="W17" s="4" cm="1">
        <f t="array" ref="W17">ROUNDUP(SUM(($H$5:$M$5)*1.2)/12,0)</f>
        <v>8</v>
      </c>
      <c r="X17" s="4" cm="1">
        <f t="array" ref="X17">ROUNDUP(SUM(($H$5:$M$5)*1.2)/12,0)</f>
        <v>8</v>
      </c>
      <c r="Y17" s="4" cm="1">
        <f t="array" ref="Y17">ROUNDUP(SUM(($H$5:$M$5)*1.2)/12,0)</f>
        <v>8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7"/>
      <c r="AM17" s="4"/>
      <c r="AN17" s="127">
        <f t="shared" ref="AN17:AN21" si="9">SUM(Z17:AK17)</f>
        <v>0</v>
      </c>
      <c r="AO17" s="4"/>
      <c r="AP17" s="4"/>
      <c r="AQ17" s="4"/>
      <c r="AR17" s="4"/>
      <c r="AS17" s="4"/>
      <c r="AT17" s="4"/>
      <c r="AU17" s="4"/>
      <c r="AV17" s="4"/>
      <c r="AW17" s="4"/>
    </row>
    <row r="18" spans="1:49" s="3" customFormat="1" ht="18" hidden="1">
      <c r="A18" s="3" t="s">
        <v>33</v>
      </c>
      <c r="B18" s="7"/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4">
        <f>8.9/12</f>
        <v>0.7416666666666667</v>
      </c>
      <c r="O18" s="4">
        <f t="shared" ref="O18:Y18" si="10">8.9/12</f>
        <v>0.7416666666666667</v>
      </c>
      <c r="P18" s="4">
        <f t="shared" si="10"/>
        <v>0.7416666666666667</v>
      </c>
      <c r="Q18" s="4">
        <f t="shared" si="10"/>
        <v>0.7416666666666667</v>
      </c>
      <c r="R18" s="4">
        <f t="shared" si="10"/>
        <v>0.7416666666666667</v>
      </c>
      <c r="S18" s="4">
        <f t="shared" si="10"/>
        <v>0.7416666666666667</v>
      </c>
      <c r="T18" s="4">
        <f t="shared" si="10"/>
        <v>0.7416666666666667</v>
      </c>
      <c r="U18" s="4">
        <f t="shared" si="10"/>
        <v>0.7416666666666667</v>
      </c>
      <c r="V18" s="4">
        <f t="shared" si="10"/>
        <v>0.7416666666666667</v>
      </c>
      <c r="W18" s="4">
        <f t="shared" si="10"/>
        <v>0.7416666666666667</v>
      </c>
      <c r="X18" s="4">
        <f t="shared" si="10"/>
        <v>0.7416666666666667</v>
      </c>
      <c r="Y18" s="4">
        <f t="shared" si="10"/>
        <v>0.7416666666666667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8"/>
      <c r="AM18" s="4"/>
      <c r="AN18" s="127">
        <f t="shared" si="9"/>
        <v>0</v>
      </c>
      <c r="AO18" s="4"/>
      <c r="AP18" s="4"/>
      <c r="AQ18" s="4"/>
      <c r="AR18" s="4"/>
      <c r="AS18" s="4"/>
      <c r="AT18" s="4"/>
      <c r="AU18" s="4"/>
      <c r="AV18" s="4"/>
      <c r="AW18" s="4"/>
    </row>
    <row r="19" spans="1:49" s="3" customFormat="1" ht="18" hidden="1">
      <c r="A19" s="3" t="s">
        <v>34</v>
      </c>
      <c r="B19" s="7"/>
      <c r="C19" s="7"/>
      <c r="D19" s="7"/>
      <c r="E19" s="8"/>
      <c r="F19" s="8"/>
      <c r="G19" s="8"/>
      <c r="H19" s="8"/>
      <c r="I19" s="8"/>
      <c r="J19" s="8"/>
      <c r="K19" s="8"/>
      <c r="L19" s="8"/>
      <c r="M19" s="8"/>
      <c r="N19" s="4">
        <v>24.2</v>
      </c>
      <c r="O19" s="4">
        <v>24.2</v>
      </c>
      <c r="P19" s="4">
        <v>24.2</v>
      </c>
      <c r="Q19" s="4">
        <v>24.2</v>
      </c>
      <c r="R19" s="4">
        <v>24.2</v>
      </c>
      <c r="S19" s="4">
        <v>24.2</v>
      </c>
      <c r="T19" s="4">
        <v>24.2</v>
      </c>
      <c r="U19" s="4">
        <v>24.2</v>
      </c>
      <c r="V19" s="4">
        <v>24.2</v>
      </c>
      <c r="W19" s="4">
        <v>24.2</v>
      </c>
      <c r="X19" s="4">
        <v>24.2</v>
      </c>
      <c r="Y19" s="4">
        <v>24.2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8"/>
      <c r="AM19" s="4"/>
      <c r="AN19" s="127">
        <f t="shared" si="9"/>
        <v>0</v>
      </c>
      <c r="AO19" s="4"/>
      <c r="AP19" s="4"/>
      <c r="AQ19" s="4"/>
      <c r="AR19" s="4"/>
      <c r="AS19" s="4"/>
      <c r="AT19" s="4"/>
      <c r="AU19" s="4"/>
      <c r="AV19" s="4"/>
      <c r="AW19" s="4"/>
    </row>
    <row r="20" spans="1:49" s="3" customFormat="1" ht="18" hidden="1">
      <c r="A20" s="3" t="s">
        <v>35</v>
      </c>
      <c r="B20" s="7"/>
      <c r="C20" s="7"/>
      <c r="D20" s="7"/>
      <c r="E20" s="8"/>
      <c r="F20" s="8"/>
      <c r="G20" s="8"/>
      <c r="H20" s="8"/>
      <c r="I20" s="8"/>
      <c r="J20" s="8"/>
      <c r="K20" s="8"/>
      <c r="L20" s="8"/>
      <c r="M20" s="8"/>
      <c r="N20" s="39">
        <f t="shared" ref="N20:Y20" si="11">AVERAGE(N17:N19)</f>
        <v>10.980555555555554</v>
      </c>
      <c r="O20" s="39">
        <f t="shared" si="11"/>
        <v>10.980555555555554</v>
      </c>
      <c r="P20" s="39">
        <f t="shared" si="11"/>
        <v>10.980555555555554</v>
      </c>
      <c r="Q20" s="39">
        <f t="shared" si="11"/>
        <v>10.980555555555554</v>
      </c>
      <c r="R20" s="39">
        <f t="shared" si="11"/>
        <v>10.980555555555554</v>
      </c>
      <c r="S20" s="39">
        <f t="shared" si="11"/>
        <v>10.980555555555554</v>
      </c>
      <c r="T20" s="39">
        <f t="shared" si="11"/>
        <v>10.980555555555554</v>
      </c>
      <c r="U20" s="39">
        <f t="shared" si="11"/>
        <v>10.980555555555554</v>
      </c>
      <c r="V20" s="39">
        <f t="shared" si="11"/>
        <v>10.980555555555554</v>
      </c>
      <c r="W20" s="39">
        <f t="shared" si="11"/>
        <v>10.980555555555554</v>
      </c>
      <c r="X20" s="39">
        <f t="shared" si="11"/>
        <v>10.980555555555554</v>
      </c>
      <c r="Y20" s="39">
        <f t="shared" si="11"/>
        <v>10.980555555555554</v>
      </c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8"/>
      <c r="AM20" s="4"/>
      <c r="AN20" s="127">
        <f t="shared" si="9"/>
        <v>0</v>
      </c>
      <c r="AO20" s="4"/>
      <c r="AP20" s="4"/>
      <c r="AQ20" s="4"/>
      <c r="AR20" s="4"/>
      <c r="AS20" s="4"/>
      <c r="AT20" s="4"/>
      <c r="AU20" s="4"/>
      <c r="AV20" s="4"/>
      <c r="AW20" s="4"/>
    </row>
    <row r="21" spans="1:49" s="7" customFormat="1" ht="18" hidden="1">
      <c r="A21" s="7" t="s">
        <v>36</v>
      </c>
      <c r="B21" s="7">
        <v>1.3</v>
      </c>
      <c r="C21" s="7">
        <v>2.2999999999999998</v>
      </c>
      <c r="D21" s="7">
        <v>3</v>
      </c>
      <c r="E21" s="8">
        <v>3.4</v>
      </c>
      <c r="F21" s="8">
        <v>3.9</v>
      </c>
      <c r="G21" s="8">
        <v>4.3</v>
      </c>
      <c r="H21" s="8">
        <v>4.5999999999999996</v>
      </c>
      <c r="I21" s="8">
        <v>4.9000000000000004</v>
      </c>
      <c r="J21" s="8">
        <v>5.2</v>
      </c>
      <c r="K21" s="8">
        <v>6.2</v>
      </c>
      <c r="L21" s="8">
        <v>6.2</v>
      </c>
      <c r="M21" s="8">
        <v>6.2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127">
        <f t="shared" si="9"/>
        <v>0</v>
      </c>
      <c r="AO21" s="8"/>
      <c r="AP21" s="8"/>
      <c r="AQ21" s="8"/>
      <c r="AR21" s="8"/>
      <c r="AS21" s="8"/>
      <c r="AT21" s="8"/>
      <c r="AU21" s="8"/>
      <c r="AV21" s="8"/>
      <c r="AW21" s="8"/>
    </row>
    <row r="22" spans="1:49" s="3" customFormat="1" ht="18">
      <c r="A22" s="117" t="s">
        <v>37</v>
      </c>
      <c r="B22" s="41">
        <v>0.5</v>
      </c>
      <c r="C22" s="41">
        <v>0.8</v>
      </c>
      <c r="D22" s="41">
        <v>0.9</v>
      </c>
      <c r="E22" s="14">
        <v>1.1000000000000001</v>
      </c>
      <c r="F22" s="14">
        <v>1.2</v>
      </c>
      <c r="G22" s="14">
        <v>1.3</v>
      </c>
      <c r="H22" s="14">
        <v>1.4</v>
      </c>
      <c r="I22" s="14">
        <v>1.5</v>
      </c>
      <c r="J22" s="14">
        <v>1.6</v>
      </c>
      <c r="K22" s="14">
        <v>1.9</v>
      </c>
      <c r="L22" s="14">
        <v>1.9</v>
      </c>
      <c r="M22" s="14">
        <v>1.9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126">
        <f t="shared" ref="Z22:AJ22" si="12">$AN22/12</f>
        <v>5</v>
      </c>
      <c r="AA22" s="126">
        <f t="shared" si="12"/>
        <v>5</v>
      </c>
      <c r="AB22" s="126">
        <f t="shared" si="12"/>
        <v>5</v>
      </c>
      <c r="AC22" s="126">
        <f t="shared" si="12"/>
        <v>5</v>
      </c>
      <c r="AD22" s="126">
        <f t="shared" si="12"/>
        <v>5</v>
      </c>
      <c r="AE22" s="126">
        <f t="shared" si="12"/>
        <v>5</v>
      </c>
      <c r="AF22" s="126">
        <f t="shared" si="12"/>
        <v>5</v>
      </c>
      <c r="AG22" s="126">
        <f t="shared" si="12"/>
        <v>5</v>
      </c>
      <c r="AH22" s="126">
        <f t="shared" si="12"/>
        <v>5</v>
      </c>
      <c r="AI22" s="126">
        <f t="shared" si="12"/>
        <v>5</v>
      </c>
      <c r="AJ22" s="126">
        <f t="shared" si="12"/>
        <v>5</v>
      </c>
      <c r="AK22" s="126">
        <f>$AN22/12</f>
        <v>5</v>
      </c>
      <c r="AL22" s="8"/>
      <c r="AM22" s="4"/>
      <c r="AN22" s="127">
        <v>60</v>
      </c>
      <c r="AO22" s="4"/>
      <c r="AP22" s="4"/>
      <c r="AQ22" s="4"/>
      <c r="AR22" s="4"/>
      <c r="AS22" s="4"/>
      <c r="AT22" s="4"/>
      <c r="AU22" s="4"/>
      <c r="AV22" s="4"/>
      <c r="AW22" s="4"/>
    </row>
    <row r="23" spans="1:49" s="34" customFormat="1" ht="18">
      <c r="A23" s="34" t="s">
        <v>38</v>
      </c>
      <c r="E23" s="129"/>
      <c r="F23" s="129"/>
      <c r="G23" s="129"/>
      <c r="H23" s="130">
        <f t="shared" ref="H23:Y23" si="13">IF(H15=0,"0%",H9/H22)</f>
        <v>0</v>
      </c>
      <c r="I23" s="130">
        <f t="shared" si="13"/>
        <v>0.66666666666666663</v>
      </c>
      <c r="J23" s="130">
        <f t="shared" si="13"/>
        <v>3.125</v>
      </c>
      <c r="K23" s="130">
        <f t="shared" si="13"/>
        <v>0</v>
      </c>
      <c r="L23" s="130">
        <f t="shared" si="13"/>
        <v>1.0526315789473684</v>
      </c>
      <c r="M23" s="130">
        <f t="shared" si="13"/>
        <v>0.52631578947368418</v>
      </c>
      <c r="N23" s="130" t="str">
        <f t="shared" si="13"/>
        <v>0%</v>
      </c>
      <c r="O23" s="130" t="str">
        <f t="shared" si="13"/>
        <v>0%</v>
      </c>
      <c r="P23" s="130" t="str">
        <f t="shared" si="13"/>
        <v>0%</v>
      </c>
      <c r="Q23" s="130" t="str">
        <f t="shared" si="13"/>
        <v>0%</v>
      </c>
      <c r="R23" s="130" t="str">
        <f t="shared" si="13"/>
        <v>0%</v>
      </c>
      <c r="S23" s="130" t="str">
        <f t="shared" si="13"/>
        <v>0%</v>
      </c>
      <c r="T23" s="130" t="str">
        <f t="shared" si="13"/>
        <v>0%</v>
      </c>
      <c r="U23" s="130" t="str">
        <f t="shared" si="13"/>
        <v>0%</v>
      </c>
      <c r="V23" s="130" t="str">
        <f t="shared" si="13"/>
        <v>0%</v>
      </c>
      <c r="W23" s="130" t="str">
        <f t="shared" si="13"/>
        <v>0%</v>
      </c>
      <c r="X23" s="130" t="str">
        <f t="shared" si="13"/>
        <v>0%</v>
      </c>
      <c r="Y23" s="130" t="str">
        <f t="shared" si="13"/>
        <v>0%</v>
      </c>
      <c r="Z23" s="130">
        <f>SUM($Z9:Z9)/SUM($Z22:Z22)</f>
        <v>0</v>
      </c>
      <c r="AA23" s="130">
        <f>SUM($Z9:AA9)/SUM($Z22:AA22)</f>
        <v>0.1</v>
      </c>
      <c r="AB23" s="130">
        <f>SUM($Z9:AB9)/SUM($Z22:AB22)</f>
        <v>0.2</v>
      </c>
      <c r="AC23" s="130">
        <f>SUM($Z9:AC9)/SUM($Z22:AC22)</f>
        <v>0.4</v>
      </c>
      <c r="AD23" s="130">
        <f>SUM($Z9:AD9)/SUM($Z22:AD22)</f>
        <v>0.32</v>
      </c>
      <c r="AE23" s="130">
        <f>SUM($Z9:AE9)/SUM($Z22:AE22)</f>
        <v>0.26666666666666666</v>
      </c>
      <c r="AF23" s="130">
        <f>SUM($Z9:AF9)/SUM($Z22:AF22)</f>
        <v>0.22857142857142856</v>
      </c>
      <c r="AG23" s="130">
        <f>SUM($Z9:AG9)/SUM($Z22:AG22)</f>
        <v>0.2</v>
      </c>
      <c r="AH23" s="130">
        <f>SUM($Z9:AH9)/SUM($Z22:AH22)</f>
        <v>0.17777777777777778</v>
      </c>
      <c r="AI23" s="130">
        <f>SUM($Z9:AI9)/SUM($Z22:AI22)</f>
        <v>0.16</v>
      </c>
      <c r="AJ23" s="130">
        <f>SUM($Z9:AJ9)/SUM($Z22:AJ22)</f>
        <v>0.14545454545454545</v>
      </c>
      <c r="AK23" s="130">
        <f>SUM($Z9:AK9)/SUM($Z22:AK22)</f>
        <v>0.13333333333333333</v>
      </c>
      <c r="AL23" s="130" t="str">
        <f>IF(AL22=0,"0%",AL9/AL22)</f>
        <v>0%</v>
      </c>
      <c r="AM23" s="130" t="str">
        <f>IF(AM22=0,"0%",AM9/AM22)</f>
        <v>0%</v>
      </c>
      <c r="AN23" s="130">
        <f>IF(AN22=0,"0%",AN9/AN22)</f>
        <v>0.13333333333333333</v>
      </c>
      <c r="AO23" s="129"/>
      <c r="AP23" s="129"/>
      <c r="AQ23" s="129"/>
      <c r="AR23" s="129"/>
      <c r="AS23" s="129"/>
      <c r="AT23" s="129"/>
      <c r="AU23" s="129"/>
      <c r="AV23" s="129"/>
      <c r="AW23" s="129"/>
    </row>
    <row r="24" spans="1:49" s="3" customFormat="1" ht="18" hidden="1">
      <c r="A24" s="3" t="s">
        <v>39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4" cm="1">
        <f t="array" ref="N24">ROUNDUP(SUM(($H$9:$M$9)*1.2)/12,0)</f>
        <v>1</v>
      </c>
      <c r="O24" s="4" cm="1">
        <f t="array" ref="O24">ROUNDUP(SUM(($H$9:$M$9)*1.2)/12,0)</f>
        <v>1</v>
      </c>
      <c r="P24" s="4" cm="1">
        <f t="array" ref="P24">ROUNDUP(SUM(($H$9:$M$9)*1.2)/12,0)</f>
        <v>1</v>
      </c>
      <c r="Q24" s="4" cm="1">
        <f t="array" ref="Q24">ROUNDUP(SUM(($H$9:$M$9)*1.2)/12,0)</f>
        <v>1</v>
      </c>
      <c r="R24" s="4" cm="1">
        <f t="array" ref="R24">ROUNDUP(SUM(($H$9:$M$9)*1.2)/12,0)</f>
        <v>1</v>
      </c>
      <c r="S24" s="4" cm="1">
        <f t="array" ref="S24">ROUNDUP(SUM(($H$9:$M$9)*1.2)/12,0)</f>
        <v>1</v>
      </c>
      <c r="T24" s="4" cm="1">
        <f t="array" ref="T24">ROUNDUP(SUM(($H$9:$M$9)*1.2)/12,0)</f>
        <v>1</v>
      </c>
      <c r="U24" s="4" cm="1">
        <f t="array" ref="U24">ROUNDUP(SUM(($H$9:$M$9)*1.2)/12,0)</f>
        <v>1</v>
      </c>
      <c r="V24" s="4" cm="1">
        <f t="array" ref="V24">ROUNDUP(SUM(($H$9:$M$9)*1.2)/12,0)</f>
        <v>1</v>
      </c>
      <c r="W24" s="4" cm="1">
        <f t="array" ref="W24">ROUNDUP(SUM(($H$9:$M$9)*1.2)/12,0)</f>
        <v>1</v>
      </c>
      <c r="X24" s="4" cm="1">
        <f t="array" ref="X24">ROUNDUP(SUM(($H$9:$M$9)*1.2)/12,0)</f>
        <v>1</v>
      </c>
      <c r="Y24" s="4" cm="1">
        <f t="array" ref="Y24">ROUNDUP(SUM(($H$9:$M$9)*1.2)/12,0)</f>
        <v>1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7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1:49" s="3" customFormat="1" ht="18" hidden="1">
      <c r="A25" s="3" t="s">
        <v>40</v>
      </c>
      <c r="B25" s="7"/>
      <c r="C25" s="7"/>
      <c r="D25" s="7"/>
      <c r="E25" s="8"/>
      <c r="F25" s="8"/>
      <c r="G25" s="8"/>
      <c r="H25" s="8"/>
      <c r="I25" s="8"/>
      <c r="J25" s="8"/>
      <c r="K25" s="8"/>
      <c r="L25" s="8"/>
      <c r="M25" s="8"/>
      <c r="N25" s="4">
        <f t="shared" ref="N25:Y25" si="14">N18*0.038*1.2</f>
        <v>3.3820000000000003E-2</v>
      </c>
      <c r="O25" s="4">
        <f t="shared" si="14"/>
        <v>3.3820000000000003E-2</v>
      </c>
      <c r="P25" s="4">
        <f t="shared" si="14"/>
        <v>3.3820000000000003E-2</v>
      </c>
      <c r="Q25" s="4">
        <f t="shared" si="14"/>
        <v>3.3820000000000003E-2</v>
      </c>
      <c r="R25" s="4">
        <f t="shared" si="14"/>
        <v>3.3820000000000003E-2</v>
      </c>
      <c r="S25" s="4">
        <f t="shared" si="14"/>
        <v>3.3820000000000003E-2</v>
      </c>
      <c r="T25" s="4">
        <f t="shared" si="14"/>
        <v>3.3820000000000003E-2</v>
      </c>
      <c r="U25" s="4">
        <f t="shared" si="14"/>
        <v>3.3820000000000003E-2</v>
      </c>
      <c r="V25" s="4">
        <f t="shared" si="14"/>
        <v>3.3820000000000003E-2</v>
      </c>
      <c r="W25" s="4">
        <f t="shared" si="14"/>
        <v>3.3820000000000003E-2</v>
      </c>
      <c r="X25" s="4">
        <f t="shared" si="14"/>
        <v>3.3820000000000003E-2</v>
      </c>
      <c r="Y25" s="4">
        <f t="shared" si="14"/>
        <v>3.3820000000000003E-2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8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1:49" s="3" customFormat="1" ht="18" hidden="1">
      <c r="A26" s="3" t="s">
        <v>41</v>
      </c>
      <c r="B26" s="7"/>
      <c r="C26" s="7"/>
      <c r="D26" s="7"/>
      <c r="E26" s="8"/>
      <c r="F26" s="8"/>
      <c r="G26" s="8"/>
      <c r="H26" s="8"/>
      <c r="I26" s="8"/>
      <c r="J26" s="8"/>
      <c r="K26" s="8"/>
      <c r="L26" s="8"/>
      <c r="M26" s="8"/>
      <c r="N26" s="4">
        <f>ROUNDUP(14.5/12,0)</f>
        <v>2</v>
      </c>
      <c r="O26" s="4">
        <f t="shared" ref="O26:Y26" si="15">ROUNDUP(14.5/12,0)</f>
        <v>2</v>
      </c>
      <c r="P26" s="4">
        <f t="shared" si="15"/>
        <v>2</v>
      </c>
      <c r="Q26" s="4">
        <f t="shared" si="15"/>
        <v>2</v>
      </c>
      <c r="R26" s="4">
        <f t="shared" si="15"/>
        <v>2</v>
      </c>
      <c r="S26" s="4">
        <f t="shared" si="15"/>
        <v>2</v>
      </c>
      <c r="T26" s="4">
        <f t="shared" si="15"/>
        <v>2</v>
      </c>
      <c r="U26" s="4">
        <f t="shared" si="15"/>
        <v>2</v>
      </c>
      <c r="V26" s="4">
        <f t="shared" si="15"/>
        <v>2</v>
      </c>
      <c r="W26" s="4">
        <f t="shared" si="15"/>
        <v>2</v>
      </c>
      <c r="X26" s="4">
        <f t="shared" si="15"/>
        <v>2</v>
      </c>
      <c r="Y26" s="4">
        <f t="shared" si="15"/>
        <v>2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8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1:49" s="3" customFormat="1" ht="18" hidden="1">
      <c r="A27" s="3" t="s">
        <v>42</v>
      </c>
      <c r="B27" s="7"/>
      <c r="C27" s="7"/>
      <c r="D27" s="7"/>
      <c r="E27" s="8"/>
      <c r="F27" s="8"/>
      <c r="G27" s="8"/>
      <c r="H27" s="8"/>
      <c r="I27" s="8"/>
      <c r="J27" s="8"/>
      <c r="K27" s="8"/>
      <c r="L27" s="8"/>
      <c r="M27" s="8"/>
      <c r="N27" s="39">
        <f t="shared" ref="N27:Y27" si="16">AVERAGE(N24:N26)</f>
        <v>1.0112733333333332</v>
      </c>
      <c r="O27" s="39">
        <f t="shared" si="16"/>
        <v>1.0112733333333332</v>
      </c>
      <c r="P27" s="39">
        <f t="shared" si="16"/>
        <v>1.0112733333333332</v>
      </c>
      <c r="Q27" s="39">
        <f t="shared" si="16"/>
        <v>1.0112733333333332</v>
      </c>
      <c r="R27" s="39">
        <f t="shared" si="16"/>
        <v>1.0112733333333332</v>
      </c>
      <c r="S27" s="39">
        <f t="shared" si="16"/>
        <v>1.0112733333333332</v>
      </c>
      <c r="T27" s="39">
        <f t="shared" si="16"/>
        <v>1.0112733333333332</v>
      </c>
      <c r="U27" s="39">
        <f t="shared" si="16"/>
        <v>1.0112733333333332</v>
      </c>
      <c r="V27" s="39">
        <f t="shared" si="16"/>
        <v>1.0112733333333332</v>
      </c>
      <c r="W27" s="39">
        <f t="shared" si="16"/>
        <v>1.0112733333333332</v>
      </c>
      <c r="X27" s="39">
        <f t="shared" si="16"/>
        <v>1.0112733333333332</v>
      </c>
      <c r="Y27" s="39">
        <f t="shared" si="16"/>
        <v>1.0112733333333332</v>
      </c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8"/>
      <c r="AM27" s="4"/>
      <c r="AN27" s="39"/>
      <c r="AO27" s="4"/>
      <c r="AP27" s="4"/>
      <c r="AQ27" s="4"/>
      <c r="AR27" s="4"/>
      <c r="AS27" s="4"/>
      <c r="AT27" s="4"/>
      <c r="AU27" s="4"/>
      <c r="AV27" s="4"/>
      <c r="AW27" s="4"/>
    </row>
    <row r="28" spans="1:49" s="3" customFormat="1" ht="18">
      <c r="A28" s="3" t="s">
        <v>43</v>
      </c>
      <c r="E28" s="4"/>
      <c r="F28" s="4"/>
      <c r="G28" s="4"/>
      <c r="H28" s="4"/>
      <c r="I28" s="4"/>
      <c r="J28" s="4"/>
      <c r="K28" s="4"/>
      <c r="L28" s="4"/>
      <c r="M28" s="4"/>
      <c r="N28" s="86">
        <v>1287500</v>
      </c>
      <c r="O28" s="86">
        <v>1287500</v>
      </c>
      <c r="P28" s="86">
        <v>1175000</v>
      </c>
      <c r="Q28" s="86">
        <v>1175000</v>
      </c>
      <c r="R28" s="86">
        <v>1175000</v>
      </c>
      <c r="S28" s="86">
        <v>1175000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8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1:49" s="95" customFormat="1" ht="18">
      <c r="A29" s="95" t="s">
        <v>44</v>
      </c>
      <c r="B29" s="96" t="e">
        <f>SUM(#REF!,#REF!,#REF!)</f>
        <v>#REF!</v>
      </c>
      <c r="C29" s="96" t="e">
        <f>SUM(#REF!,#REF!,#REF!)</f>
        <v>#REF!</v>
      </c>
      <c r="D29" s="96" t="e">
        <f>SUM(#REF!,#REF!,#REF!)</f>
        <v>#REF!</v>
      </c>
      <c r="E29" s="96" t="e">
        <f>SUM(#REF!,#REF!,#REF!)</f>
        <v>#REF!</v>
      </c>
      <c r="F29" s="96" t="e">
        <f>SUM(#REF!,#REF!,#REF!)</f>
        <v>#REF!</v>
      </c>
      <c r="G29" s="96" t="e">
        <f>SUM(#REF!,#REF!,#REF!)</f>
        <v>#REF!</v>
      </c>
      <c r="H29" s="96" t="e">
        <f>SUM(#REF!,#REF!,#REF!)</f>
        <v>#REF!</v>
      </c>
      <c r="I29" s="96" t="e">
        <f>SUM(#REF!,#REF!,#REF!)</f>
        <v>#REF!</v>
      </c>
      <c r="J29" s="96" t="e">
        <f>SUM(#REF!,#REF!,#REF!)</f>
        <v>#REF!</v>
      </c>
      <c r="K29" s="96" t="e">
        <f>SUM(#REF!,#REF!,#REF!)</f>
        <v>#REF!</v>
      </c>
      <c r="L29" s="96" t="e">
        <f>SUM(#REF!,#REF!,#REF!)</f>
        <v>#REF!</v>
      </c>
      <c r="M29" s="96" t="e">
        <f>SUM(#REF!,#REF!,#REF!)</f>
        <v>#REF!</v>
      </c>
      <c r="N29" s="98">
        <f>SUM(N30:N37)</f>
        <v>730614</v>
      </c>
      <c r="O29" s="98">
        <f>SUM(O30:O37)</f>
        <v>904536</v>
      </c>
      <c r="P29" s="98">
        <f t="shared" ref="P29:X29" si="17">SUM(P30:P37)</f>
        <v>575477</v>
      </c>
      <c r="Q29" s="98">
        <f t="shared" si="17"/>
        <v>789410</v>
      </c>
      <c r="R29" s="98">
        <f t="shared" si="17"/>
        <v>654768</v>
      </c>
      <c r="S29" s="98">
        <f t="shared" si="17"/>
        <v>539796</v>
      </c>
      <c r="T29" s="98">
        <f>SUM(T30:T37)</f>
        <v>484185</v>
      </c>
      <c r="U29" s="98">
        <f>SUM(U30:U37)</f>
        <v>595988</v>
      </c>
      <c r="V29" s="98">
        <f t="shared" si="17"/>
        <v>521641</v>
      </c>
      <c r="W29" s="98">
        <f t="shared" si="17"/>
        <v>809267</v>
      </c>
      <c r="X29" s="98">
        <f t="shared" si="17"/>
        <v>1202467</v>
      </c>
      <c r="Y29" s="98">
        <f t="shared" ref="Y29:AK29" si="18">SUM(Y30:Y37)</f>
        <v>674932</v>
      </c>
      <c r="Z29" s="98">
        <f t="shared" si="18"/>
        <v>1178479</v>
      </c>
      <c r="AA29" s="98">
        <f t="shared" si="18"/>
        <v>473826</v>
      </c>
      <c r="AB29" s="98">
        <f t="shared" si="18"/>
        <v>828000</v>
      </c>
      <c r="AC29" s="98">
        <f t="shared" si="18"/>
        <v>813446</v>
      </c>
      <c r="AD29" s="98">
        <f t="shared" si="18"/>
        <v>255000</v>
      </c>
      <c r="AE29" s="98">
        <f t="shared" si="18"/>
        <v>255000</v>
      </c>
      <c r="AF29" s="98">
        <f t="shared" si="18"/>
        <v>255000</v>
      </c>
      <c r="AG29" s="98">
        <f t="shared" si="18"/>
        <v>255000</v>
      </c>
      <c r="AH29" s="98">
        <f t="shared" si="18"/>
        <v>255000</v>
      </c>
      <c r="AI29" s="98">
        <f t="shared" si="18"/>
        <v>255000</v>
      </c>
      <c r="AJ29" s="98">
        <f t="shared" si="18"/>
        <v>255000</v>
      </c>
      <c r="AK29" s="98">
        <f t="shared" si="18"/>
        <v>255000</v>
      </c>
      <c r="AL29" s="107" t="e">
        <f>SUM(B29:M29)</f>
        <v>#REF!</v>
      </c>
      <c r="AM29" s="98">
        <f>SUM(N29:Y29)</f>
        <v>8483081</v>
      </c>
      <c r="AN29" s="98">
        <f t="shared" ref="AN29:AN37" si="19">SUM(Z29:AK29)</f>
        <v>5333751</v>
      </c>
      <c r="AO29" s="97"/>
      <c r="AP29" s="97"/>
      <c r="AQ29" s="97"/>
      <c r="AR29" s="97"/>
      <c r="AS29" s="97"/>
      <c r="AT29" s="97"/>
      <c r="AU29" s="97"/>
      <c r="AV29" s="97"/>
      <c r="AW29" s="97"/>
    </row>
    <row r="30" spans="1:49" s="91" customFormat="1" ht="18">
      <c r="A30" s="91" t="s">
        <v>45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9">
        <f>'[2]2025'!Z$84</f>
        <v>0</v>
      </c>
      <c r="O30" s="99">
        <f>'[2]2025'!AA$84</f>
        <v>220000</v>
      </c>
      <c r="P30" s="99">
        <f>'[2]2025'!AB$84</f>
        <v>0</v>
      </c>
      <c r="Q30" s="99">
        <f>'[2]2025'!AC$84</f>
        <v>220000</v>
      </c>
      <c r="R30" s="99">
        <f>'[2]2025'!AD$84</f>
        <v>55000</v>
      </c>
      <c r="S30" s="99">
        <f>'[2]2025'!AE$84</f>
        <v>0</v>
      </c>
      <c r="T30" s="99">
        <f>'[2]2025'!AF$84</f>
        <v>0</v>
      </c>
      <c r="U30" s="99">
        <f>'[2]2025'!AG$84</f>
        <v>110000</v>
      </c>
      <c r="V30" s="99">
        <f>'[2]2025'!AH$84</f>
        <v>0</v>
      </c>
      <c r="W30" s="99">
        <f>'[2]2025'!AI$84</f>
        <v>0</v>
      </c>
      <c r="X30" s="99">
        <f>'[2]2025'!AJ$84</f>
        <v>330000</v>
      </c>
      <c r="Y30" s="99">
        <f>'[2]2025'!AK$84</f>
        <v>110000</v>
      </c>
      <c r="Z30" s="99">
        <f>'[2]2026'!F$23</f>
        <v>356000</v>
      </c>
      <c r="AA30" s="99">
        <f>'[2]2026'!G$23</f>
        <v>78000</v>
      </c>
      <c r="AB30" s="99">
        <f>'[2]2026'!H$23</f>
        <v>0</v>
      </c>
      <c r="AC30" s="99">
        <f>'[2]2026'!I$23</f>
        <v>0</v>
      </c>
      <c r="AD30" s="99">
        <f>'[2]2026'!J$23</f>
        <v>0</v>
      </c>
      <c r="AE30" s="99">
        <f>'[2]2026'!K$23</f>
        <v>0</v>
      </c>
      <c r="AF30" s="99">
        <f>'[2]2026'!L$23</f>
        <v>0</v>
      </c>
      <c r="AG30" s="99">
        <f>'[2]2026'!M$23</f>
        <v>0</v>
      </c>
      <c r="AH30" s="99">
        <f>'[2]2026'!N$23</f>
        <v>0</v>
      </c>
      <c r="AI30" s="99">
        <f>'[2]2026'!O$23</f>
        <v>0</v>
      </c>
      <c r="AJ30" s="99">
        <f>'[2]2026'!P$23</f>
        <v>0</v>
      </c>
      <c r="AK30" s="99">
        <f>'[2]2026'!Q$23</f>
        <v>0</v>
      </c>
      <c r="AL30" s="103"/>
      <c r="AM30" s="98">
        <f t="shared" ref="AM30:AM37" si="20">SUM(N30:Y30)</f>
        <v>1045000</v>
      </c>
      <c r="AN30" s="98">
        <f t="shared" si="19"/>
        <v>434000</v>
      </c>
      <c r="AO30" s="93"/>
      <c r="AP30" s="93"/>
      <c r="AQ30" s="93"/>
      <c r="AR30" s="93"/>
      <c r="AS30" s="93"/>
      <c r="AT30" s="93"/>
      <c r="AU30" s="93"/>
      <c r="AV30" s="93"/>
      <c r="AW30" s="93"/>
    </row>
    <row r="31" spans="1:49" s="91" customFormat="1" ht="18">
      <c r="A31" s="91" t="s">
        <v>46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9">
        <f>'[2]2025'!Z$139</f>
        <v>90000</v>
      </c>
      <c r="O31" s="99">
        <f>'[2]2025'!AA$139</f>
        <v>30000</v>
      </c>
      <c r="P31" s="99">
        <f>'[2]2025'!AB$139</f>
        <v>30000</v>
      </c>
      <c r="Q31" s="99">
        <f>'[2]2025'!AC$139</f>
        <v>30000</v>
      </c>
      <c r="R31" s="99">
        <f>'[2]2025'!AD$139</f>
        <v>60000</v>
      </c>
      <c r="S31" s="99">
        <f>'[2]2025'!AE$139</f>
        <v>30000</v>
      </c>
      <c r="T31" s="99">
        <f>'[2]2025'!AF$139</f>
        <v>0</v>
      </c>
      <c r="U31" s="99">
        <f>'[2]2025'!AG$139</f>
        <v>0</v>
      </c>
      <c r="V31" s="99">
        <f>'[2]2025'!AH$139</f>
        <v>30000</v>
      </c>
      <c r="W31" s="99">
        <f>'[2]2025'!AI$139</f>
        <v>0</v>
      </c>
      <c r="X31" s="99">
        <f>'[2]2025'!AJ$139</f>
        <v>45000</v>
      </c>
      <c r="Y31" s="99">
        <f>'[2]2025'!AK$139</f>
        <v>105000</v>
      </c>
      <c r="Z31" s="99">
        <f>'[2]2026'!F$90</f>
        <v>75000</v>
      </c>
      <c r="AA31" s="99">
        <f>'[2]2026'!G$90</f>
        <v>43000</v>
      </c>
      <c r="AB31" s="99">
        <f>'[2]2026'!H$90</f>
        <v>73000</v>
      </c>
      <c r="AC31" s="99">
        <f>'[2]2026'!I$90</f>
        <v>0</v>
      </c>
      <c r="AD31" s="99">
        <f>'[2]2026'!J$90</f>
        <v>0</v>
      </c>
      <c r="AE31" s="99">
        <f>'[2]2026'!K$90</f>
        <v>0</v>
      </c>
      <c r="AF31" s="99">
        <f>'[2]2026'!L$90</f>
        <v>0</v>
      </c>
      <c r="AG31" s="99">
        <f>'[2]2026'!M$90</f>
        <v>0</v>
      </c>
      <c r="AH31" s="99">
        <f>'[2]2026'!N$90</f>
        <v>0</v>
      </c>
      <c r="AI31" s="99">
        <f>'[2]2026'!O$90</f>
        <v>0</v>
      </c>
      <c r="AJ31" s="99">
        <f>'[2]2026'!P$90</f>
        <v>0</v>
      </c>
      <c r="AK31" s="99">
        <f>'[2]2026'!Q$90</f>
        <v>0</v>
      </c>
      <c r="AL31" s="103"/>
      <c r="AM31" s="98">
        <f t="shared" si="20"/>
        <v>450000</v>
      </c>
      <c r="AN31" s="98">
        <f t="shared" si="19"/>
        <v>191000</v>
      </c>
      <c r="AO31" s="93"/>
      <c r="AP31" s="93"/>
      <c r="AQ31" s="93"/>
      <c r="AR31" s="93"/>
      <c r="AS31" s="93"/>
      <c r="AT31" s="93"/>
      <c r="AU31" s="93"/>
      <c r="AV31" s="93"/>
      <c r="AW31" s="93"/>
    </row>
    <row r="32" spans="1:49" s="91" customFormat="1" ht="18">
      <c r="A32" s="91" t="s">
        <v>47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9">
        <f>'[2]2025'!Z$112</f>
        <v>0</v>
      </c>
      <c r="O32" s="99">
        <f>'[2]2025'!AA$112</f>
        <v>0</v>
      </c>
      <c r="P32" s="99">
        <f>'[2]2025'!AB$112</f>
        <v>0</v>
      </c>
      <c r="Q32" s="99">
        <f>'[2]2025'!AC$112</f>
        <v>0</v>
      </c>
      <c r="R32" s="99">
        <f>'[2]2025'!AD$112</f>
        <v>0</v>
      </c>
      <c r="S32" s="99">
        <f>'[2]2025'!AE$112</f>
        <v>0</v>
      </c>
      <c r="T32" s="99">
        <f>'[2]2025'!AF$112</f>
        <v>0</v>
      </c>
      <c r="U32" s="99">
        <f>'[2]2025'!AG$112</f>
        <v>0</v>
      </c>
      <c r="V32" s="99">
        <f>'[2]2025'!AH$112</f>
        <v>0</v>
      </c>
      <c r="W32" s="99">
        <f>'[2]2025'!AI$112</f>
        <v>0</v>
      </c>
      <c r="X32" s="99">
        <f>'[2]2025'!AJ$112</f>
        <v>0</v>
      </c>
      <c r="Y32" s="99">
        <f>'[2]2025'!AK$112</f>
        <v>0</v>
      </c>
      <c r="Z32" s="99">
        <f>'[2]2026'!F$58</f>
        <v>0</v>
      </c>
      <c r="AA32" s="99">
        <f>'[2]2026'!G$58</f>
        <v>0</v>
      </c>
      <c r="AB32" s="99">
        <f>'[2]2026'!H$58</f>
        <v>500000</v>
      </c>
      <c r="AC32" s="99">
        <f>'[2]2026'!I$58</f>
        <v>0</v>
      </c>
      <c r="AD32" s="99">
        <f>'[2]2026'!J$58</f>
        <v>0</v>
      </c>
      <c r="AE32" s="99">
        <f>'[2]2026'!K$58</f>
        <v>0</v>
      </c>
      <c r="AF32" s="99">
        <f>'[2]2026'!L$58</f>
        <v>0</v>
      </c>
      <c r="AG32" s="99">
        <f>'[2]2026'!M$58</f>
        <v>0</v>
      </c>
      <c r="AH32" s="99">
        <f>'[2]2026'!N$58</f>
        <v>0</v>
      </c>
      <c r="AI32" s="99">
        <f>'[2]2026'!O$58</f>
        <v>0</v>
      </c>
      <c r="AJ32" s="99">
        <f>'[2]2026'!P$58</f>
        <v>0</v>
      </c>
      <c r="AK32" s="99">
        <f>'[2]2026'!Q$58</f>
        <v>0</v>
      </c>
      <c r="AL32" s="103"/>
      <c r="AM32" s="98">
        <f t="shared" si="20"/>
        <v>0</v>
      </c>
      <c r="AN32" s="98">
        <f t="shared" si="19"/>
        <v>500000</v>
      </c>
      <c r="AO32" s="93"/>
      <c r="AP32" s="93"/>
      <c r="AQ32" s="93"/>
      <c r="AR32" s="93"/>
      <c r="AS32" s="93"/>
      <c r="AT32" s="93"/>
      <c r="AU32" s="93"/>
      <c r="AV32" s="93"/>
      <c r="AW32" s="93"/>
    </row>
    <row r="33" spans="1:49" s="91" customFormat="1" ht="18">
      <c r="A33" s="91" t="s">
        <v>48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9">
        <f>'[2]2025'!Z$161</f>
        <v>0</v>
      </c>
      <c r="O33" s="99">
        <f>'[2]2025'!AA$161</f>
        <v>10000</v>
      </c>
      <c r="P33" s="99">
        <f>'[2]2025'!AB$161</f>
        <v>20000</v>
      </c>
      <c r="Q33" s="99">
        <f>'[2]2025'!AC$161</f>
        <v>10000</v>
      </c>
      <c r="R33" s="99">
        <f>'[2]2025'!AD$161</f>
        <v>10000</v>
      </c>
      <c r="S33" s="99">
        <f>'[2]2025'!AE$161</f>
        <v>0</v>
      </c>
      <c r="T33" s="99">
        <f>'[2]2025'!AF$161</f>
        <v>0</v>
      </c>
      <c r="U33" s="99">
        <f>'[2]2025'!AG$161</f>
        <v>0</v>
      </c>
      <c r="V33" s="99">
        <f>'[2]2025'!AH$161</f>
        <v>0</v>
      </c>
      <c r="W33" s="99">
        <f>'[2]2025'!AI$161</f>
        <v>355000</v>
      </c>
      <c r="X33" s="99">
        <f>'[2]2025'!AJ$161</f>
        <v>355000</v>
      </c>
      <c r="Y33" s="99">
        <f>'[2]2025'!AK$161</f>
        <v>0</v>
      </c>
      <c r="Z33" s="99">
        <f>'[2]2026'!F$113</f>
        <v>355000</v>
      </c>
      <c r="AA33" s="99">
        <f>'[2]2026'!G$113</f>
        <v>0</v>
      </c>
      <c r="AB33" s="99">
        <f>'[2]2026'!H$113</f>
        <v>0</v>
      </c>
      <c r="AC33" s="99">
        <f>'[2]2026'!I$113</f>
        <v>0</v>
      </c>
      <c r="AD33" s="99">
        <f>'[2]2026'!J$113</f>
        <v>0</v>
      </c>
      <c r="AE33" s="99">
        <f>'[2]2026'!K$113</f>
        <v>0</v>
      </c>
      <c r="AF33" s="99">
        <f>'[2]2026'!L$113</f>
        <v>0</v>
      </c>
      <c r="AG33" s="99">
        <f>'[2]2026'!M$113</f>
        <v>0</v>
      </c>
      <c r="AH33" s="99">
        <f>'[2]2026'!N$113</f>
        <v>0</v>
      </c>
      <c r="AI33" s="99">
        <f>'[2]2026'!O$113</f>
        <v>0</v>
      </c>
      <c r="AJ33" s="99">
        <f>'[2]2026'!P$113</f>
        <v>0</v>
      </c>
      <c r="AK33" s="99">
        <f>'[2]2026'!Q$113</f>
        <v>0</v>
      </c>
      <c r="AL33" s="103"/>
      <c r="AM33" s="98">
        <f t="shared" si="20"/>
        <v>760000</v>
      </c>
      <c r="AN33" s="98">
        <f t="shared" si="19"/>
        <v>355000</v>
      </c>
      <c r="AO33" s="93"/>
      <c r="AP33" s="93"/>
      <c r="AQ33" s="93"/>
      <c r="AR33" s="93"/>
      <c r="AS33" s="93"/>
      <c r="AT33" s="93"/>
      <c r="AU33" s="93"/>
      <c r="AV33" s="93"/>
      <c r="AW33" s="93"/>
    </row>
    <row r="34" spans="1:49" s="91" customFormat="1" ht="18">
      <c r="A34" s="91" t="s">
        <v>49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9">
        <v>153114</v>
      </c>
      <c r="O34" s="99">
        <v>157036</v>
      </c>
      <c r="P34" s="99">
        <v>150477</v>
      </c>
      <c r="Q34" s="99">
        <v>154410</v>
      </c>
      <c r="R34" s="99">
        <v>154768</v>
      </c>
      <c r="S34" s="99">
        <v>134796</v>
      </c>
      <c r="T34" s="99">
        <v>229185</v>
      </c>
      <c r="U34" s="99">
        <v>230988</v>
      </c>
      <c r="V34" s="99">
        <v>236641</v>
      </c>
      <c r="W34" s="99">
        <v>199267</v>
      </c>
      <c r="X34" s="99">
        <v>217467</v>
      </c>
      <c r="Y34" s="99">
        <v>204932</v>
      </c>
      <c r="Z34" s="99">
        <v>137479</v>
      </c>
      <c r="AA34" s="142">
        <v>97826</v>
      </c>
      <c r="AB34" s="143">
        <v>0</v>
      </c>
      <c r="AC34" s="143">
        <f>58446+500000</f>
        <v>558446</v>
      </c>
      <c r="AD34" s="143"/>
      <c r="AE34" s="143"/>
      <c r="AF34" s="143"/>
      <c r="AG34" s="143"/>
      <c r="AH34" s="143"/>
      <c r="AI34" s="143"/>
      <c r="AJ34" s="143"/>
      <c r="AK34" s="143"/>
      <c r="AL34" s="103"/>
      <c r="AM34" s="98">
        <f>SUM(N34:Z34)</f>
        <v>2360560</v>
      </c>
      <c r="AN34" s="98">
        <f t="shared" si="19"/>
        <v>793751</v>
      </c>
      <c r="AO34" s="93"/>
      <c r="AP34" s="93"/>
      <c r="AQ34" s="93"/>
      <c r="AR34" s="93"/>
      <c r="AS34" s="93"/>
      <c r="AT34" s="93"/>
      <c r="AU34" s="93"/>
      <c r="AV34" s="93"/>
      <c r="AW34" s="93"/>
    </row>
    <row r="35" spans="1:49" s="91" customFormat="1" ht="18">
      <c r="A35" s="91" t="s">
        <v>50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9">
        <v>0</v>
      </c>
      <c r="O35" s="99">
        <v>0</v>
      </c>
      <c r="P35" s="99">
        <v>0</v>
      </c>
      <c r="Q35" s="99">
        <v>0</v>
      </c>
      <c r="R35" s="99">
        <v>0</v>
      </c>
      <c r="S35" s="99">
        <v>0</v>
      </c>
      <c r="T35" s="99">
        <v>55000</v>
      </c>
      <c r="U35" s="99">
        <v>55000</v>
      </c>
      <c r="V35" s="99">
        <v>55000</v>
      </c>
      <c r="W35" s="99">
        <v>55000</v>
      </c>
      <c r="X35" s="99">
        <v>55000</v>
      </c>
      <c r="Y35" s="99">
        <v>55000</v>
      </c>
      <c r="Z35" s="99">
        <v>55000</v>
      </c>
      <c r="AA35" s="99">
        <v>55000</v>
      </c>
      <c r="AB35" s="99">
        <v>55000</v>
      </c>
      <c r="AC35" s="99">
        <v>55000</v>
      </c>
      <c r="AD35" s="99">
        <v>55000</v>
      </c>
      <c r="AE35" s="99">
        <v>55000</v>
      </c>
      <c r="AF35" s="99">
        <v>55000</v>
      </c>
      <c r="AG35" s="99">
        <v>55000</v>
      </c>
      <c r="AH35" s="99">
        <v>55000</v>
      </c>
      <c r="AI35" s="99">
        <v>55000</v>
      </c>
      <c r="AJ35" s="99">
        <v>55000</v>
      </c>
      <c r="AK35" s="99">
        <v>55000</v>
      </c>
      <c r="AL35" s="103"/>
      <c r="AM35" s="98">
        <f t="shared" si="20"/>
        <v>330000</v>
      </c>
      <c r="AN35" s="98">
        <f t="shared" si="19"/>
        <v>660000</v>
      </c>
      <c r="AO35" s="93"/>
      <c r="AP35" s="93"/>
      <c r="AQ35" s="93"/>
      <c r="AR35" s="93"/>
      <c r="AS35" s="93"/>
      <c r="AT35" s="93"/>
      <c r="AU35" s="93"/>
      <c r="AV35" s="93"/>
      <c r="AW35" s="93"/>
    </row>
    <row r="36" spans="1:49" s="91" customFormat="1" ht="18">
      <c r="A36" s="91" t="s">
        <v>51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9">
        <v>487500</v>
      </c>
      <c r="O36" s="99">
        <v>487500</v>
      </c>
      <c r="P36" s="99">
        <v>375000</v>
      </c>
      <c r="Q36" s="99">
        <v>375000</v>
      </c>
      <c r="R36" s="99">
        <v>375000</v>
      </c>
      <c r="S36" s="99">
        <v>375000</v>
      </c>
      <c r="T36" s="99">
        <v>200000</v>
      </c>
      <c r="U36" s="99">
        <v>200000</v>
      </c>
      <c r="V36" s="99">
        <v>200000</v>
      </c>
      <c r="W36" s="99">
        <v>200000</v>
      </c>
      <c r="X36" s="99">
        <v>200000</v>
      </c>
      <c r="Y36" s="99">
        <v>200000</v>
      </c>
      <c r="Z36" s="99">
        <v>200000</v>
      </c>
      <c r="AA36" s="99">
        <v>200000</v>
      </c>
      <c r="AB36" s="99">
        <v>200000</v>
      </c>
      <c r="AC36" s="99">
        <v>200000</v>
      </c>
      <c r="AD36" s="99">
        <v>200000</v>
      </c>
      <c r="AE36" s="99">
        <v>200000</v>
      </c>
      <c r="AF36" s="99">
        <v>200000</v>
      </c>
      <c r="AG36" s="99">
        <v>200000</v>
      </c>
      <c r="AH36" s="99">
        <v>200000</v>
      </c>
      <c r="AI36" s="99">
        <v>200000</v>
      </c>
      <c r="AJ36" s="99">
        <v>200000</v>
      </c>
      <c r="AK36" s="99">
        <v>200000</v>
      </c>
      <c r="AL36" s="103"/>
      <c r="AM36" s="98">
        <f t="shared" si="20"/>
        <v>3675000</v>
      </c>
      <c r="AN36" s="98">
        <f t="shared" si="19"/>
        <v>2400000</v>
      </c>
      <c r="AO36" s="93"/>
      <c r="AP36" s="93"/>
      <c r="AQ36" s="93"/>
      <c r="AR36" s="93"/>
      <c r="AS36" s="93"/>
      <c r="AT36" s="93"/>
      <c r="AU36" s="93"/>
      <c r="AV36" s="93"/>
      <c r="AW36" s="93"/>
    </row>
    <row r="37" spans="1:49" s="91" customFormat="1" ht="18">
      <c r="A37" s="91" t="s">
        <v>52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Z37" s="99">
        <v>0</v>
      </c>
      <c r="AA37" s="99">
        <v>0</v>
      </c>
      <c r="AB37" s="99">
        <v>0</v>
      </c>
      <c r="AC37" s="99">
        <v>0</v>
      </c>
      <c r="AD37" s="99">
        <v>0</v>
      </c>
      <c r="AE37" s="99">
        <v>0</v>
      </c>
      <c r="AF37" s="99">
        <v>0</v>
      </c>
      <c r="AG37" s="99">
        <v>0</v>
      </c>
      <c r="AH37" s="99">
        <v>0</v>
      </c>
      <c r="AI37" s="99">
        <v>0</v>
      </c>
      <c r="AJ37" s="99">
        <v>0</v>
      </c>
      <c r="AK37" s="99">
        <v>0</v>
      </c>
      <c r="AL37" s="103"/>
      <c r="AM37" s="98">
        <f t="shared" si="20"/>
        <v>0</v>
      </c>
      <c r="AN37" s="98">
        <f t="shared" si="19"/>
        <v>0</v>
      </c>
      <c r="AO37" s="93"/>
      <c r="AP37" s="93"/>
      <c r="AQ37" s="93"/>
      <c r="AR37" s="93"/>
      <c r="AS37" s="93"/>
      <c r="AT37" s="93"/>
      <c r="AU37" s="93"/>
      <c r="AV37" s="93"/>
      <c r="AW37" s="93"/>
    </row>
    <row r="38" spans="1:49" s="87" customFormat="1" ht="18">
      <c r="A38" s="87" t="s">
        <v>53</v>
      </c>
      <c r="B38" s="88" t="str">
        <f t="shared" ref="B38:M38" si="21">IFERROR(B$29/B58,"")</f>
        <v/>
      </c>
      <c r="C38" s="88" t="str">
        <f t="shared" si="21"/>
        <v/>
      </c>
      <c r="D38" s="88" t="str">
        <f t="shared" si="21"/>
        <v/>
      </c>
      <c r="E38" s="88" t="str">
        <f t="shared" si="21"/>
        <v/>
      </c>
      <c r="F38" s="88" t="str">
        <f t="shared" si="21"/>
        <v/>
      </c>
      <c r="G38" s="88" t="str">
        <f t="shared" si="21"/>
        <v/>
      </c>
      <c r="H38" s="88" t="str">
        <f t="shared" si="21"/>
        <v/>
      </c>
      <c r="I38" s="88" t="str">
        <f t="shared" si="21"/>
        <v/>
      </c>
      <c r="J38" s="88" t="str">
        <f t="shared" si="21"/>
        <v/>
      </c>
      <c r="K38" s="88" t="str">
        <f t="shared" si="21"/>
        <v/>
      </c>
      <c r="L38" s="88" t="str">
        <f t="shared" si="21"/>
        <v/>
      </c>
      <c r="M38" s="88" t="str">
        <f t="shared" si="21"/>
        <v/>
      </c>
      <c r="N38" s="100">
        <f t="shared" ref="N38:S38" si="22">IF(N5=0,0,N$29/N5)</f>
        <v>22139.81818181818</v>
      </c>
      <c r="O38" s="100">
        <f t="shared" si="22"/>
        <v>45226.8</v>
      </c>
      <c r="P38" s="100">
        <f t="shared" si="22"/>
        <v>44267.461538461539</v>
      </c>
      <c r="Q38" s="100">
        <f t="shared" si="22"/>
        <v>52627.333333333336</v>
      </c>
      <c r="R38" s="100">
        <f t="shared" si="22"/>
        <v>14881.09090909091</v>
      </c>
      <c r="S38" s="100">
        <f t="shared" si="22"/>
        <v>18613.655172413793</v>
      </c>
      <c r="T38" s="100">
        <f t="shared" ref="T38:AL38" si="23">IF(T5=0,0,$N$29/T5)</f>
        <v>24353.8</v>
      </c>
      <c r="U38" s="100">
        <f t="shared" si="23"/>
        <v>38453.368421052633</v>
      </c>
      <c r="V38" s="100">
        <f t="shared" si="23"/>
        <v>31765.82608695652</v>
      </c>
      <c r="W38" s="100">
        <f t="shared" si="23"/>
        <v>52186.714285714283</v>
      </c>
      <c r="X38" s="100">
        <f t="shared" si="23"/>
        <v>56201.076923076922</v>
      </c>
      <c r="Y38" s="100">
        <f t="shared" si="23"/>
        <v>56201.076923076922</v>
      </c>
      <c r="Z38" s="100">
        <f t="shared" si="23"/>
        <v>91326.75</v>
      </c>
      <c r="AA38" s="100">
        <f t="shared" si="23"/>
        <v>66419.454545454544</v>
      </c>
      <c r="AB38" s="100">
        <f t="shared" si="23"/>
        <v>16604.863636363636</v>
      </c>
      <c r="AC38" s="100">
        <f t="shared" si="23"/>
        <v>33209.727272727272</v>
      </c>
      <c r="AD38" s="100">
        <f t="shared" si="23"/>
        <v>0</v>
      </c>
      <c r="AE38" s="100">
        <f t="shared" si="23"/>
        <v>0</v>
      </c>
      <c r="AF38" s="100">
        <f t="shared" si="23"/>
        <v>0</v>
      </c>
      <c r="AG38" s="100">
        <f t="shared" si="23"/>
        <v>0</v>
      </c>
      <c r="AH38" s="100">
        <f t="shared" si="23"/>
        <v>0</v>
      </c>
      <c r="AI38" s="100">
        <f t="shared" si="23"/>
        <v>0</v>
      </c>
      <c r="AJ38" s="100">
        <f t="shared" si="23"/>
        <v>0</v>
      </c>
      <c r="AK38" s="100">
        <f t="shared" si="23"/>
        <v>0</v>
      </c>
      <c r="AL38" s="103">
        <f t="shared" si="23"/>
        <v>9248.2784810126577</v>
      </c>
      <c r="AM38" s="100">
        <f>IF(AM5=0,0,AM$29/AM5)</f>
        <v>31891.281954887218</v>
      </c>
      <c r="AN38" s="100">
        <f>IF(AN5=0,0,AN$29/AN5)</f>
        <v>62750.01176470588</v>
      </c>
      <c r="AO38" s="89"/>
      <c r="AP38" s="89"/>
      <c r="AQ38" s="89"/>
      <c r="AR38" s="89"/>
      <c r="AS38" s="89"/>
      <c r="AT38" s="89"/>
      <c r="AU38" s="89"/>
      <c r="AV38" s="89"/>
      <c r="AW38" s="89"/>
    </row>
    <row r="39" spans="1:49" s="87" customFormat="1" ht="18">
      <c r="A39" s="87" t="s">
        <v>54</v>
      </c>
      <c r="B39" s="88" t="str">
        <f t="shared" ref="B39:M39" si="24">IFERROR(B$29/B9,"")</f>
        <v/>
      </c>
      <c r="C39" s="88" t="str">
        <f t="shared" si="24"/>
        <v/>
      </c>
      <c r="D39" s="88" t="str">
        <f t="shared" si="24"/>
        <v/>
      </c>
      <c r="E39" s="88" t="str">
        <f t="shared" si="24"/>
        <v/>
      </c>
      <c r="F39" s="88" t="str">
        <f t="shared" si="24"/>
        <v/>
      </c>
      <c r="G39" s="88" t="str">
        <f t="shared" si="24"/>
        <v/>
      </c>
      <c r="H39" s="88" t="str">
        <f t="shared" si="24"/>
        <v/>
      </c>
      <c r="I39" s="88" t="str">
        <f t="shared" si="24"/>
        <v/>
      </c>
      <c r="J39" s="88" t="str">
        <f t="shared" si="24"/>
        <v/>
      </c>
      <c r="K39" s="88" t="str">
        <f t="shared" si="24"/>
        <v/>
      </c>
      <c r="L39" s="88" t="str">
        <f t="shared" si="24"/>
        <v/>
      </c>
      <c r="M39" s="88" t="str">
        <f t="shared" si="24"/>
        <v/>
      </c>
      <c r="N39" s="100">
        <f t="shared" ref="N39:AK39" si="25">IF(N9=0,0,N$29/N9)</f>
        <v>365307</v>
      </c>
      <c r="O39" s="100">
        <f t="shared" si="25"/>
        <v>180907.2</v>
      </c>
      <c r="P39" s="100">
        <f t="shared" si="25"/>
        <v>191825.66666666666</v>
      </c>
      <c r="Q39" s="100">
        <f t="shared" si="25"/>
        <v>197352.5</v>
      </c>
      <c r="R39" s="100">
        <f t="shared" si="25"/>
        <v>218256</v>
      </c>
      <c r="S39" s="100">
        <f t="shared" si="25"/>
        <v>89966</v>
      </c>
      <c r="T39" s="100">
        <f t="shared" si="25"/>
        <v>60523.125</v>
      </c>
      <c r="U39" s="100">
        <f t="shared" si="25"/>
        <v>297994</v>
      </c>
      <c r="V39" s="100">
        <f t="shared" si="25"/>
        <v>130410.25</v>
      </c>
      <c r="W39" s="100">
        <f t="shared" si="25"/>
        <v>269755.66666666669</v>
      </c>
      <c r="X39" s="100">
        <f t="shared" si="25"/>
        <v>400822.33333333331</v>
      </c>
      <c r="Y39" s="100">
        <f t="shared" si="25"/>
        <v>337466</v>
      </c>
      <c r="Z39" s="100">
        <f t="shared" si="25"/>
        <v>0</v>
      </c>
      <c r="AA39" s="100">
        <f t="shared" si="25"/>
        <v>473826</v>
      </c>
      <c r="AB39" s="100">
        <f t="shared" si="25"/>
        <v>414000</v>
      </c>
      <c r="AC39" s="100">
        <f t="shared" si="25"/>
        <v>162689.20000000001</v>
      </c>
      <c r="AD39" s="100">
        <f t="shared" si="25"/>
        <v>0</v>
      </c>
      <c r="AE39" s="100">
        <f t="shared" si="25"/>
        <v>0</v>
      </c>
      <c r="AF39" s="100">
        <f t="shared" si="25"/>
        <v>0</v>
      </c>
      <c r="AG39" s="100">
        <f t="shared" si="25"/>
        <v>0</v>
      </c>
      <c r="AH39" s="100">
        <f t="shared" si="25"/>
        <v>0</v>
      </c>
      <c r="AI39" s="100">
        <f t="shared" si="25"/>
        <v>0</v>
      </c>
      <c r="AJ39" s="100">
        <f t="shared" si="25"/>
        <v>0</v>
      </c>
      <c r="AK39" s="100">
        <f t="shared" si="25"/>
        <v>0</v>
      </c>
      <c r="AL39" s="103">
        <f>IF(AL9=0,0,$N$29/AL9)</f>
        <v>81179.333333333328</v>
      </c>
      <c r="AM39" s="100">
        <f>IF(AM9=0,0,AM$29/AM9)</f>
        <v>188512.91111111111</v>
      </c>
      <c r="AN39" s="100">
        <f>IF(AN9=0,0,AN$29/AN9)</f>
        <v>666718.875</v>
      </c>
      <c r="AO39" s="89"/>
      <c r="AP39" s="89"/>
      <c r="AQ39" s="89"/>
      <c r="AR39" s="89"/>
      <c r="AS39" s="89"/>
      <c r="AT39" s="89"/>
      <c r="AU39" s="89"/>
      <c r="AV39" s="89"/>
      <c r="AW39" s="89"/>
    </row>
    <row r="40" spans="1:49" s="87" customFormat="1" ht="18.95" customHeight="1">
      <c r="A40" s="87" t="s">
        <v>55</v>
      </c>
      <c r="B40" s="88" t="str">
        <f t="shared" ref="B40:M40" si="26">IFERROR(B$29/B11,"")</f>
        <v/>
      </c>
      <c r="C40" s="88" t="str">
        <f t="shared" si="26"/>
        <v/>
      </c>
      <c r="D40" s="88" t="str">
        <f t="shared" si="26"/>
        <v/>
      </c>
      <c r="E40" s="88" t="str">
        <f t="shared" si="26"/>
        <v/>
      </c>
      <c r="F40" s="88" t="str">
        <f t="shared" si="26"/>
        <v/>
      </c>
      <c r="G40" s="88" t="str">
        <f t="shared" si="26"/>
        <v/>
      </c>
      <c r="H40" s="88" t="str">
        <f t="shared" si="26"/>
        <v/>
      </c>
      <c r="I40" s="88" t="str">
        <f t="shared" si="26"/>
        <v/>
      </c>
      <c r="J40" s="88" t="str">
        <f t="shared" si="26"/>
        <v/>
      </c>
      <c r="K40" s="88" t="str">
        <f t="shared" si="26"/>
        <v/>
      </c>
      <c r="L40" s="88" t="str">
        <f t="shared" si="26"/>
        <v/>
      </c>
      <c r="M40" s="88" t="str">
        <f t="shared" si="26"/>
        <v/>
      </c>
      <c r="N40" s="100">
        <f t="shared" ref="N40:AK40" si="27">IF(N11=0,0,N$29/N11)</f>
        <v>0</v>
      </c>
      <c r="O40" s="100">
        <f t="shared" si="27"/>
        <v>0</v>
      </c>
      <c r="P40" s="100">
        <f t="shared" si="27"/>
        <v>575477</v>
      </c>
      <c r="Q40" s="100">
        <f t="shared" si="27"/>
        <v>0</v>
      </c>
      <c r="R40" s="100">
        <f t="shared" si="27"/>
        <v>0</v>
      </c>
      <c r="S40" s="100">
        <f t="shared" si="27"/>
        <v>0</v>
      </c>
      <c r="T40" s="100">
        <f t="shared" si="27"/>
        <v>242092.5</v>
      </c>
      <c r="U40" s="100">
        <f t="shared" si="27"/>
        <v>0</v>
      </c>
      <c r="V40" s="100">
        <f t="shared" si="27"/>
        <v>521641</v>
      </c>
      <c r="W40" s="100">
        <f t="shared" si="27"/>
        <v>0</v>
      </c>
      <c r="X40" s="100">
        <f t="shared" si="27"/>
        <v>601233.5</v>
      </c>
      <c r="Y40" s="100">
        <f t="shared" si="27"/>
        <v>0</v>
      </c>
      <c r="Z40" s="100">
        <f t="shared" si="27"/>
        <v>0</v>
      </c>
      <c r="AA40" s="100">
        <f t="shared" si="27"/>
        <v>0</v>
      </c>
      <c r="AB40" s="100">
        <f t="shared" si="27"/>
        <v>0</v>
      </c>
      <c r="AC40" s="100">
        <f t="shared" si="27"/>
        <v>0</v>
      </c>
      <c r="AD40" s="100">
        <f t="shared" si="27"/>
        <v>0</v>
      </c>
      <c r="AE40" s="100">
        <f t="shared" si="27"/>
        <v>0</v>
      </c>
      <c r="AF40" s="100">
        <f t="shared" si="27"/>
        <v>0</v>
      </c>
      <c r="AG40" s="100">
        <f t="shared" si="27"/>
        <v>0</v>
      </c>
      <c r="AH40" s="100">
        <f t="shared" si="27"/>
        <v>0</v>
      </c>
      <c r="AI40" s="100">
        <f t="shared" si="27"/>
        <v>0</v>
      </c>
      <c r="AJ40" s="100">
        <f t="shared" si="27"/>
        <v>0</v>
      </c>
      <c r="AK40" s="100">
        <f t="shared" si="27"/>
        <v>0</v>
      </c>
      <c r="AL40" s="103">
        <f>IF(AL11=0,0,$N$29/AL11)</f>
        <v>730614</v>
      </c>
      <c r="AM40" s="100">
        <f>IF(AM11=0,0,AM$29/AM11)</f>
        <v>1413846.8333333333</v>
      </c>
      <c r="AN40" s="100">
        <f>IF(AN11=0,0,AN$29/AN11)</f>
        <v>0</v>
      </c>
      <c r="AO40" s="89"/>
      <c r="AP40" s="89"/>
      <c r="AQ40" s="89"/>
      <c r="AR40" s="89"/>
      <c r="AS40" s="89"/>
      <c r="AT40" s="89"/>
      <c r="AU40" s="89"/>
      <c r="AV40" s="89"/>
      <c r="AW40" s="89"/>
    </row>
    <row r="41" spans="1:49" ht="18.95" customHeight="1"/>
    <row r="42" spans="1:49" ht="18"/>
    <row r="44" spans="1:49" ht="18">
      <c r="A44" s="49" t="s">
        <v>56</v>
      </c>
      <c r="N44" s="2">
        <f>SUM(N45:N53)</f>
        <v>19</v>
      </c>
      <c r="O44" s="2">
        <f t="shared" ref="O44:AL44" si="28">SUM(O45:O53)</f>
        <v>20</v>
      </c>
      <c r="P44" s="2">
        <f t="shared" si="28"/>
        <v>14</v>
      </c>
      <c r="Q44" s="2">
        <f t="shared" si="28"/>
        <v>17</v>
      </c>
      <c r="R44" s="2">
        <f t="shared" si="28"/>
        <v>45</v>
      </c>
      <c r="S44" s="2">
        <f t="shared" si="28"/>
        <v>33</v>
      </c>
      <c r="T44" s="2">
        <f t="shared" si="28"/>
        <v>30</v>
      </c>
      <c r="U44" s="2">
        <f t="shared" si="28"/>
        <v>19</v>
      </c>
      <c r="V44" s="2">
        <f t="shared" si="28"/>
        <v>23</v>
      </c>
      <c r="W44" s="2">
        <f t="shared" si="28"/>
        <v>14</v>
      </c>
      <c r="X44" s="2">
        <f t="shared" si="28"/>
        <v>13</v>
      </c>
      <c r="Y44" s="2">
        <f t="shared" si="28"/>
        <v>13</v>
      </c>
      <c r="Z44" s="2">
        <f t="shared" si="28"/>
        <v>8</v>
      </c>
      <c r="AA44" s="2">
        <f t="shared" si="28"/>
        <v>11</v>
      </c>
      <c r="AB44" s="2">
        <f t="shared" si="28"/>
        <v>44</v>
      </c>
      <c r="AC44" s="2">
        <f t="shared" si="28"/>
        <v>22</v>
      </c>
      <c r="AD44" s="2">
        <f t="shared" si="28"/>
        <v>0</v>
      </c>
      <c r="AE44" s="2">
        <f t="shared" si="28"/>
        <v>0</v>
      </c>
      <c r="AF44" s="2">
        <f t="shared" si="28"/>
        <v>0</v>
      </c>
      <c r="AG44" s="2">
        <f t="shared" si="28"/>
        <v>0</v>
      </c>
      <c r="AH44" s="2">
        <f t="shared" si="28"/>
        <v>0</v>
      </c>
      <c r="AI44" s="2">
        <f t="shared" si="28"/>
        <v>0</v>
      </c>
      <c r="AJ44" s="2">
        <f t="shared" si="28"/>
        <v>0</v>
      </c>
      <c r="AK44" s="2">
        <f t="shared" si="28"/>
        <v>0</v>
      </c>
      <c r="AL44" s="2">
        <f t="shared" si="28"/>
        <v>98</v>
      </c>
      <c r="AM44" s="2">
        <f>SUM(N44:Y44)</f>
        <v>260</v>
      </c>
      <c r="AN44" s="2">
        <f>SUM(Z44:AK44)</f>
        <v>85</v>
      </c>
    </row>
    <row r="45" spans="1:49" ht="18">
      <c r="A45" s="1" t="s">
        <v>57</v>
      </c>
      <c r="B45" s="2" t="s">
        <v>19</v>
      </c>
      <c r="C45" s="2" t="s">
        <v>19</v>
      </c>
      <c r="D45" s="2" t="s">
        <v>19</v>
      </c>
      <c r="E45" s="2" t="s">
        <v>19</v>
      </c>
      <c r="F45" s="2" t="s">
        <v>19</v>
      </c>
      <c r="G45" s="2" t="s">
        <v>19</v>
      </c>
      <c r="H45" s="2">
        <v>0</v>
      </c>
      <c r="I45" s="2">
        <v>2</v>
      </c>
      <c r="J45" s="2">
        <v>7</v>
      </c>
      <c r="K45" s="2">
        <v>8</v>
      </c>
      <c r="L45" s="2">
        <v>8</v>
      </c>
      <c r="M45" s="2">
        <v>5</v>
      </c>
      <c r="N45" s="2">
        <f>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organic")+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オーガニック検索")+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column")+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case")</f>
        <v>5</v>
      </c>
      <c r="O45" s="2">
        <f>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organic")+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オーガニック検索")+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column")+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case")</f>
        <v>3</v>
      </c>
      <c r="P45" s="2">
        <f>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organic")+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オーガニック検索")+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column")+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case")</f>
        <v>2</v>
      </c>
      <c r="Q45" s="2">
        <f>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organic")+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オーガニック検索")+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column")+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case")</f>
        <v>2</v>
      </c>
      <c r="R45" s="2">
        <f>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organic")+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オーガニック検索")+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column")+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case")</f>
        <v>14</v>
      </c>
      <c r="S45" s="2">
        <f>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organic")+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オーガニック検索")+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column")+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case")</f>
        <v>11</v>
      </c>
      <c r="T45" s="2">
        <f>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organic")+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オーガニック検索")+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column")+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case")</f>
        <v>11</v>
      </c>
      <c r="U45" s="2">
        <f>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organic")+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オーガニック検索")+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column")+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case")</f>
        <v>5</v>
      </c>
      <c r="V45" s="2">
        <f>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organic")+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オーガニック検索")+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column")+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case")</f>
        <v>6</v>
      </c>
      <c r="W45" s="2">
        <f>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organic")+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オーガニック検索")+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column")+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case")</f>
        <v>4</v>
      </c>
      <c r="X45" s="2">
        <f>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organic")+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オーガニック検索")+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column")+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case")</f>
        <v>3</v>
      </c>
      <c r="Y45" s="2">
        <f>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organic")+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オーガニック検索")+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column")+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case")</f>
        <v>2</v>
      </c>
      <c r="Z45" s="2">
        <f>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organic")+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オーガニック検索")+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column")+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case")</f>
        <v>3</v>
      </c>
      <c r="AA45" s="2">
        <f>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organic")+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オーガニック検索")+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column")+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case")</f>
        <v>2</v>
      </c>
      <c r="AB45" s="2">
        <f>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organic")+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オーガニック検索")+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column")+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case")</f>
        <v>9</v>
      </c>
      <c r="AC45" s="2">
        <f>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organic")+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オーガニック検索")+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column")+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case")</f>
        <v>5</v>
      </c>
      <c r="AD45" s="2">
        <f>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organic")+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オーガニック検索")+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column")+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case")</f>
        <v>0</v>
      </c>
      <c r="AE45" s="2">
        <f>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organic")+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オーガニック検索")+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column")+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case")</f>
        <v>0</v>
      </c>
      <c r="AF45" s="2">
        <f>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organic")+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オーガニック検索")+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column")+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case")</f>
        <v>0</v>
      </c>
      <c r="AG45" s="2">
        <f>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organic")+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オーガニック検索")+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column")+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case")</f>
        <v>0</v>
      </c>
      <c r="AH45" s="2">
        <f>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organic")+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オーガニック検索")+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column")+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case")</f>
        <v>0</v>
      </c>
      <c r="AI45" s="2">
        <f>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organic")+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オーガニック検索")+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column")+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case")</f>
        <v>0</v>
      </c>
      <c r="AJ45" s="2">
        <f>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organic")+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オーガニック検索")+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column")+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case")</f>
        <v>0</v>
      </c>
      <c r="AK45" s="2">
        <f>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organic")+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オーガニック検索")+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column")+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case")</f>
        <v>0</v>
      </c>
      <c r="AL45" s="8">
        <f>SUM(B45:M45)</f>
        <v>30</v>
      </c>
      <c r="AM45" s="2">
        <f t="shared" ref="AM45:AM53" si="29">SUM(N45:Y45)</f>
        <v>68</v>
      </c>
      <c r="AN45" s="2">
        <f t="shared" ref="AN45:AN53" si="30">SUM(Z45:AK45)</f>
        <v>19</v>
      </c>
    </row>
    <row r="46" spans="1:49" ht="18">
      <c r="A46" s="1" t="s">
        <v>58</v>
      </c>
      <c r="B46" s="2" t="s">
        <v>19</v>
      </c>
      <c r="C46" s="2" t="s">
        <v>19</v>
      </c>
      <c r="D46" s="2" t="s">
        <v>19</v>
      </c>
      <c r="E46" s="2" t="s">
        <v>19</v>
      </c>
      <c r="F46" s="2" t="s">
        <v>19</v>
      </c>
      <c r="G46" s="2" t="s">
        <v>19</v>
      </c>
      <c r="H46" s="2">
        <v>0</v>
      </c>
      <c r="I46" s="2">
        <v>2</v>
      </c>
      <c r="J46" s="2">
        <v>15</v>
      </c>
      <c r="K46" s="2">
        <v>2</v>
      </c>
      <c r="L46" s="2">
        <v>4</v>
      </c>
      <c r="M46" s="2">
        <v>4</v>
      </c>
      <c r="N46" s="2">
        <f>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listing")+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検索連動型広告")+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display")</f>
        <v>4</v>
      </c>
      <c r="O46" s="2">
        <f>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listing")+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検索連動型広告")+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display")</f>
        <v>8</v>
      </c>
      <c r="P46" s="2">
        <f>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listing")+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検索連動型広告")+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display")</f>
        <v>4</v>
      </c>
      <c r="Q46" s="2">
        <f>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listing")+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検索連動型広告")+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display")</f>
        <v>7</v>
      </c>
      <c r="R46" s="2">
        <f>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listing")+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検索連動型広告")+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display")</f>
        <v>8</v>
      </c>
      <c r="S46" s="2">
        <f>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listing")+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検索連動型広告")+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display")</f>
        <v>9</v>
      </c>
      <c r="T46" s="2">
        <f>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listing")+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検索連動型広告")+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display")</f>
        <v>5</v>
      </c>
      <c r="U46" s="2">
        <f>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listing")+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検索連動型広告")+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display")</f>
        <v>6</v>
      </c>
      <c r="V46" s="2">
        <f>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listing")+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検索連動型広告")+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display")</f>
        <v>6</v>
      </c>
      <c r="W46" s="2">
        <f>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listing")+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検索連動型広告")+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display")</f>
        <v>4</v>
      </c>
      <c r="X46" s="2">
        <f>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listing")+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検索連動型広告")+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display")</f>
        <v>4</v>
      </c>
      <c r="Y46" s="2">
        <f>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listing")+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検索連動型広告")+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display")</f>
        <v>3</v>
      </c>
      <c r="Z46" s="2">
        <f>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listing")+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検索連動型広告")+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display")</f>
        <v>1</v>
      </c>
      <c r="AA46" s="2">
        <f>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listing")+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検索連動型広告")+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display")</f>
        <v>1</v>
      </c>
      <c r="AB46" s="2">
        <f>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listing")+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検索連動型広告")+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display")</f>
        <v>0</v>
      </c>
      <c r="AC46" s="2">
        <f>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listing")+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検索連動型広告")+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display")</f>
        <v>4</v>
      </c>
      <c r="AD46" s="2">
        <f>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listing")+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検索連動型広告")+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display")</f>
        <v>0</v>
      </c>
      <c r="AE46" s="2">
        <f>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listing")+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検索連動型広告")+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display")</f>
        <v>0</v>
      </c>
      <c r="AF46" s="2">
        <f>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listing")+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検索連動型広告")+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display")</f>
        <v>0</v>
      </c>
      <c r="AG46" s="2">
        <f>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listing")+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検索連動型広告")+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display")</f>
        <v>0</v>
      </c>
      <c r="AH46" s="2">
        <f>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listing")+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検索連動型広告")+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display")</f>
        <v>0</v>
      </c>
      <c r="AI46" s="2">
        <f>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listing")+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検索連動型広告")+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display")</f>
        <v>0</v>
      </c>
      <c r="AJ46" s="2">
        <f>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listing")+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検索連動型広告")+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display")</f>
        <v>0</v>
      </c>
      <c r="AK46" s="2">
        <f>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listing")+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検索連動型広告")+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display")</f>
        <v>0</v>
      </c>
      <c r="AL46" s="8">
        <f t="shared" ref="AL46:AL59" si="31">SUM(B46:M46)</f>
        <v>27</v>
      </c>
      <c r="AM46" s="2">
        <f t="shared" si="29"/>
        <v>68</v>
      </c>
      <c r="AN46" s="2">
        <f t="shared" si="30"/>
        <v>6</v>
      </c>
    </row>
    <row r="47" spans="1:49" ht="18">
      <c r="A47" s="141" t="s">
        <v>59</v>
      </c>
      <c r="B47" s="2"/>
      <c r="C47" s="2"/>
      <c r="D47" s="2"/>
    </row>
    <row r="48" spans="1:49" ht="18">
      <c r="A48" s="1" t="s">
        <v>60</v>
      </c>
      <c r="B48" s="2" t="s">
        <v>19</v>
      </c>
      <c r="C48" s="2" t="s">
        <v>19</v>
      </c>
      <c r="D48" s="2" t="s">
        <v>19</v>
      </c>
      <c r="E48" s="2" t="s">
        <v>19</v>
      </c>
      <c r="F48" s="2" t="s">
        <v>19</v>
      </c>
      <c r="G48" s="2" t="s">
        <v>19</v>
      </c>
      <c r="H48" s="2">
        <v>0</v>
      </c>
      <c r="I48" s="2">
        <v>0</v>
      </c>
      <c r="J48" s="2">
        <v>2</v>
      </c>
      <c r="K48" s="2">
        <v>0</v>
      </c>
      <c r="L48" s="2">
        <v>3</v>
      </c>
      <c r="M48" s="2">
        <v>4</v>
      </c>
      <c r="N48" s="2">
        <f>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mail")+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Eメールマーケティング")</f>
        <v>1</v>
      </c>
      <c r="O48" s="2">
        <f>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mail")+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Eメールマーケティング")</f>
        <v>1</v>
      </c>
      <c r="P48" s="2">
        <f>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mail")+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Eメールマーケティング")</f>
        <v>0</v>
      </c>
      <c r="Q48" s="2">
        <f>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mail")+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Eメールマーケティング")</f>
        <v>0</v>
      </c>
      <c r="R48" s="2">
        <f>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mail")+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Eメールマーケティング")</f>
        <v>1</v>
      </c>
      <c r="S48" s="2">
        <f>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mail")+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Eメールマーケティング")</f>
        <v>1</v>
      </c>
      <c r="T48" s="2">
        <f>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mail")+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Eメールマーケティング")</f>
        <v>0</v>
      </c>
      <c r="U48" s="2">
        <f>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mail")+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Eメールマーケティング")</f>
        <v>0</v>
      </c>
      <c r="V48" s="2">
        <f>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mail")+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Eメールマーケティング")</f>
        <v>0</v>
      </c>
      <c r="W48" s="2">
        <f>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mail")+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Eメールマーケティング")</f>
        <v>0</v>
      </c>
      <c r="X48" s="2">
        <f>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mail")+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Eメールマーケティング")</f>
        <v>0</v>
      </c>
      <c r="Y48" s="2">
        <f>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mail")+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Eメールマーケティング")</f>
        <v>0</v>
      </c>
      <c r="Z48" s="2">
        <f>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mail")+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Eメールマーケティング")</f>
        <v>0</v>
      </c>
      <c r="AA48" s="2">
        <f>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mail")+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Eメールマーケティング")</f>
        <v>5</v>
      </c>
      <c r="AB48" s="2">
        <f>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mail")+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Eメールマーケティング")</f>
        <v>14</v>
      </c>
      <c r="AC48" s="2">
        <f>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mail")+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Eメールマーケティング")</f>
        <v>3</v>
      </c>
      <c r="AD48" s="2">
        <f>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mail")+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Eメールマーケティング")</f>
        <v>0</v>
      </c>
      <c r="AE48" s="2">
        <f>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mail")+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Eメールマーケティング")</f>
        <v>0</v>
      </c>
      <c r="AF48" s="2">
        <f>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mail")+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Eメールマーケティング")</f>
        <v>0</v>
      </c>
      <c r="AG48" s="2">
        <f>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mail")+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Eメールマーケティング")</f>
        <v>0</v>
      </c>
      <c r="AH48" s="2">
        <f>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mail")+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Eメールマーケティング")</f>
        <v>0</v>
      </c>
      <c r="AI48" s="2">
        <f>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mail")+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Eメールマーケティング")</f>
        <v>0</v>
      </c>
      <c r="AJ48" s="2">
        <f>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mail")+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Eメールマーケティング")</f>
        <v>0</v>
      </c>
      <c r="AK48" s="2">
        <f>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mail")+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Eメールマーケティング")</f>
        <v>0</v>
      </c>
      <c r="AL48" s="8">
        <f t="shared" si="31"/>
        <v>9</v>
      </c>
      <c r="AM48" s="2">
        <f t="shared" si="29"/>
        <v>4</v>
      </c>
      <c r="AN48" s="2">
        <f t="shared" si="30"/>
        <v>22</v>
      </c>
    </row>
    <row r="49" spans="1:49" ht="18">
      <c r="A49" s="1" t="s">
        <v>61</v>
      </c>
      <c r="B49" s="2" t="s">
        <v>19</v>
      </c>
      <c r="C49" s="2" t="s">
        <v>19</v>
      </c>
      <c r="D49" s="2" t="s">
        <v>19</v>
      </c>
      <c r="E49" s="2" t="s">
        <v>19</v>
      </c>
      <c r="F49" s="2" t="s">
        <v>19</v>
      </c>
      <c r="G49" s="2" t="s">
        <v>19</v>
      </c>
      <c r="H49" s="2">
        <v>1</v>
      </c>
      <c r="I49" s="2">
        <v>9</v>
      </c>
      <c r="J49" s="2">
        <v>5</v>
      </c>
      <c r="K49" s="2">
        <v>7</v>
      </c>
      <c r="L49" s="2">
        <v>2</v>
      </c>
      <c r="M49" s="2">
        <v>8</v>
      </c>
      <c r="N49" s="2">
        <f>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direct")+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直接トラフィック")</f>
        <v>2</v>
      </c>
      <c r="O49" s="2">
        <f>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direct")+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直接トラフィック")</f>
        <v>5</v>
      </c>
      <c r="P49" s="2">
        <f>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direct")+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直接トラフィック")</f>
        <v>1</v>
      </c>
      <c r="Q49" s="2">
        <f>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direct")+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直接トラフィック")</f>
        <v>4</v>
      </c>
      <c r="R49" s="2">
        <f>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direct")+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直接トラフィック")</f>
        <v>15</v>
      </c>
      <c r="S49" s="2">
        <f>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direct")+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直接トラフィック")</f>
        <v>8</v>
      </c>
      <c r="T49" s="2">
        <f>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direct")+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直接トラフィック")</f>
        <v>5</v>
      </c>
      <c r="U49" s="2">
        <f>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direct")+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直接トラフィック")</f>
        <v>2</v>
      </c>
      <c r="V49" s="2">
        <f>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direct")+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直接トラフィック")</f>
        <v>7</v>
      </c>
      <c r="W49" s="2">
        <f>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direct")+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直接トラフィック")</f>
        <v>5</v>
      </c>
      <c r="X49" s="2">
        <f>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direct")+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直接トラフィック")</f>
        <v>1</v>
      </c>
      <c r="Y49" s="2">
        <f>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direct")+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直接トラフィック")</f>
        <v>3</v>
      </c>
      <c r="Z49" s="2">
        <f>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direct")+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直接トラフィック")</f>
        <v>2</v>
      </c>
      <c r="AA49" s="2">
        <f>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direct")+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直接トラフィック")</f>
        <v>2</v>
      </c>
      <c r="AB49" s="2">
        <f>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direct")+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直接トラフィック")</f>
        <v>6</v>
      </c>
      <c r="AC49" s="2">
        <f>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direct")+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直接トラフィック")</f>
        <v>6</v>
      </c>
      <c r="AD49" s="2">
        <f>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direct")+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直接トラフィック")</f>
        <v>0</v>
      </c>
      <c r="AE49" s="2">
        <f>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direct")+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直接トラフィック")</f>
        <v>0</v>
      </c>
      <c r="AF49" s="2">
        <f>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direct")+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直接トラフィック")</f>
        <v>0</v>
      </c>
      <c r="AG49" s="2">
        <f>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direct")+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直接トラフィック")</f>
        <v>0</v>
      </c>
      <c r="AH49" s="2">
        <f>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direct")+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直接トラフィック")</f>
        <v>0</v>
      </c>
      <c r="AI49" s="2">
        <f>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direct")+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直接トラフィック")</f>
        <v>0</v>
      </c>
      <c r="AJ49" s="2">
        <f>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direct")+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直接トラフィック")</f>
        <v>0</v>
      </c>
      <c r="AK49" s="2">
        <f>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direct")+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直接トラフィック")</f>
        <v>0</v>
      </c>
      <c r="AL49" s="8">
        <f t="shared" si="31"/>
        <v>32</v>
      </c>
      <c r="AM49" s="2">
        <f t="shared" si="29"/>
        <v>58</v>
      </c>
      <c r="AN49" s="2">
        <f t="shared" si="30"/>
        <v>16</v>
      </c>
    </row>
    <row r="50" spans="1:49" ht="18">
      <c r="A50" s="1" t="s">
        <v>62</v>
      </c>
      <c r="B50" s="2" t="s">
        <v>19</v>
      </c>
      <c r="C50" s="2" t="s">
        <v>19</v>
      </c>
      <c r="D50" s="2" t="s">
        <v>19</v>
      </c>
      <c r="E50" s="2" t="s">
        <v>19</v>
      </c>
      <c r="F50" s="2" t="s">
        <v>19</v>
      </c>
      <c r="G50" s="2" t="s">
        <v>19</v>
      </c>
      <c r="H50" s="2">
        <v>19</v>
      </c>
      <c r="I50" s="2">
        <v>1</v>
      </c>
      <c r="J50" s="2">
        <v>0</v>
      </c>
      <c r="K50" s="2">
        <v>0</v>
      </c>
      <c r="L50" s="2">
        <v>2</v>
      </c>
      <c r="M50" s="2">
        <v>0</v>
      </c>
      <c r="N50" s="2">
        <f>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link")+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リファラル")+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AIリファーラル")+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リファーラル")</f>
        <v>5</v>
      </c>
      <c r="O50" s="2">
        <f>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link")+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リファラル")+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AIリファーラル")+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リファーラル")</f>
        <v>3</v>
      </c>
      <c r="P50" s="2">
        <f>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link")+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リファラル")+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AIリファーラル")+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リファーラル")</f>
        <v>5</v>
      </c>
      <c r="Q50" s="2">
        <f>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link")+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リファラル")+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AIリファーラル")+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リファーラル")</f>
        <v>4</v>
      </c>
      <c r="R50" s="2">
        <f>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link")+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リファラル")+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AIリファーラル")+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リファーラル")</f>
        <v>3</v>
      </c>
      <c r="S50" s="2">
        <f>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link")+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リファラル")+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AIリファーラル")+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リファーラル")</f>
        <v>0</v>
      </c>
      <c r="T50" s="2">
        <f>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link")+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リファラル")+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AIリファーラル")+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リファーラル")</f>
        <v>6</v>
      </c>
      <c r="U50" s="2">
        <f>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link")+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リファラル")+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AIリファーラル")+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リファーラル")</f>
        <v>2</v>
      </c>
      <c r="V50" s="2">
        <f>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link")+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リファラル")+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AIリファーラル")+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リファーラル")</f>
        <v>2</v>
      </c>
      <c r="W50" s="2">
        <f>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link")+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リファラル")+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AIリファーラル")+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リファーラル")</f>
        <v>0</v>
      </c>
      <c r="X50" s="2">
        <f>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link")+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リファラル")+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AIリファーラル")+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リファーラル")</f>
        <v>2</v>
      </c>
      <c r="Y50" s="2">
        <f>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link")+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リファラル")+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AIリファーラル")+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リファーラル")</f>
        <v>0</v>
      </c>
      <c r="Z50" s="2">
        <f>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link")+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リファラル")+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AIリファーラル")+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リファーラル")</f>
        <v>0</v>
      </c>
      <c r="AA50" s="2">
        <f>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link")+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リファラル")+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AIリファーラル")+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リファーラル")</f>
        <v>0</v>
      </c>
      <c r="AB50" s="2">
        <f>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link")+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リファラル")+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AIリファーラル")+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リファーラル")</f>
        <v>3</v>
      </c>
      <c r="AC50" s="2">
        <f>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link")+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リファラル")+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AIリファーラル")+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リファーラル")</f>
        <v>1</v>
      </c>
      <c r="AD50" s="2">
        <f>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link")+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リファラル")+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AIリファーラル")+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リファーラル")</f>
        <v>0</v>
      </c>
      <c r="AE50" s="2">
        <f>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link")+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リファラル")+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AIリファーラル")+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リファーラル")</f>
        <v>0</v>
      </c>
      <c r="AF50" s="2">
        <f>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link")+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リファラル")+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AIリファーラル")+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リファーラル")</f>
        <v>0</v>
      </c>
      <c r="AG50" s="2">
        <f>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link")+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リファラル")+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AIリファーラル")+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リファーラル")</f>
        <v>0</v>
      </c>
      <c r="AH50" s="2">
        <f>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link")+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リファラル")+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AIリファーラル")+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リファーラル")</f>
        <v>0</v>
      </c>
      <c r="AI50" s="2">
        <f>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link")+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リファラル")+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AIリファーラル")+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リファーラル")</f>
        <v>0</v>
      </c>
      <c r="AJ50" s="2">
        <f>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link")+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リファラル")+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AIリファーラル")+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リファーラル")</f>
        <v>0</v>
      </c>
      <c r="AK50" s="2">
        <f>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link")+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リファラル")+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AIリファーラル")+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リファーラル")</f>
        <v>0</v>
      </c>
      <c r="AL50" s="2">
        <f>COUNTIFS([1]流入チャネル別顧客一覧_7月以降完全ユニークではない!$C:$C,"&gt;="&amp;AL$3,[1]流入チャネル別顧客一覧_7月以降完全ユニークではない!$C:$C,"&lt;"&amp;EDATE(AL$3,1),[1]流入チャネル別顧客一覧_7月以降完全ユニークではない!$H:$H,"link")+COUNTIFS([1]流入チャネル別顧客一覧_7月以降完全ユニークではない!$C:$C,"&gt;="&amp;AL$3,[1]流入チャネル別顧客一覧_7月以降完全ユニークではない!$C:$C,"&lt;"&amp;EDATE(AL$3,1),[1]流入チャネル別顧客一覧_7月以降完全ユニークではない!$H:$H,"リファラル")+COUNTIFS([1]流入チャネル別顧客一覧_7月以降完全ユニークではない!$C:$C,"&gt;="&amp;AL$3,[1]流入チャネル別顧客一覧_7月以降完全ユニークではない!$C:$C,"&lt;"&amp;EDATE(AL$3,1),[1]流入チャネル別顧客一覧_7月以降完全ユニークではない!$H:$H,"AIリファーラル")+COUNTIFS([1]流入チャネル別顧客一覧_7月以降完全ユニークではない!$C:$C,"&gt;="&amp;AL$3,[1]流入チャネル別顧客一覧_7月以降完全ユニークではない!$C:$C,"&lt;"&amp;EDATE(AL$3,1),[1]流入チャネル別顧客一覧_7月以降完全ユニークではない!$H:$H,"リファーラル")</f>
        <v>0</v>
      </c>
      <c r="AM50" s="2">
        <f t="shared" si="29"/>
        <v>32</v>
      </c>
      <c r="AN50" s="2">
        <f t="shared" si="30"/>
        <v>4</v>
      </c>
    </row>
    <row r="51" spans="1:49" ht="18">
      <c r="A51" s="1" t="s">
        <v>63</v>
      </c>
      <c r="B51" s="2" t="s">
        <v>19</v>
      </c>
      <c r="C51" s="2" t="s">
        <v>19</v>
      </c>
      <c r="D51" s="2" t="s">
        <v>19</v>
      </c>
      <c r="E51" s="2" t="s">
        <v>19</v>
      </c>
      <c r="F51" s="2" t="s">
        <v>19</v>
      </c>
      <c r="G51" s="2" t="s">
        <v>19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AL51" s="8">
        <f t="shared" si="31"/>
        <v>0</v>
      </c>
      <c r="AM51" s="2">
        <f t="shared" si="29"/>
        <v>0</v>
      </c>
      <c r="AN51" s="2">
        <f t="shared" si="30"/>
        <v>0</v>
      </c>
    </row>
    <row r="52" spans="1:49" ht="18">
      <c r="A52" s="1" t="s">
        <v>64</v>
      </c>
      <c r="B52" s="2"/>
      <c r="C52" s="2"/>
      <c r="D52" s="2"/>
      <c r="N52" s="2">
        <f>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オフラインソース")+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ベルシステム")</f>
        <v>0</v>
      </c>
      <c r="O52" s="2">
        <f>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オフラインソース")+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ベルシステム")</f>
        <v>0</v>
      </c>
      <c r="P52" s="2">
        <f>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オフラインソース")+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ベルシステム")</f>
        <v>0</v>
      </c>
      <c r="Q52" s="2">
        <f>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オフラインソース")+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ベルシステム")</f>
        <v>0</v>
      </c>
      <c r="R52" s="2">
        <f>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オフラインソース")+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ベルシステム")</f>
        <v>0</v>
      </c>
      <c r="S52" s="2">
        <f>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オフラインソース")+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ベルシステム")</f>
        <v>4</v>
      </c>
      <c r="T52" s="2">
        <f>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オフラインソース")+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ベルシステム")</f>
        <v>0</v>
      </c>
      <c r="U52" s="2">
        <f>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オフラインソース")+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ベルシステム")</f>
        <v>0</v>
      </c>
      <c r="V52" s="2">
        <f>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オフラインソース")+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ベルシステム")</f>
        <v>0</v>
      </c>
      <c r="W52" s="2">
        <f>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オフラインソース")+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ベルシステム")</f>
        <v>0</v>
      </c>
      <c r="X52" s="2">
        <f>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オフラインソース")+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ベルシステム")</f>
        <v>1</v>
      </c>
      <c r="Y52" s="2">
        <f>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オフラインソース")+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ベルシステム")</f>
        <v>5</v>
      </c>
      <c r="Z52" s="2">
        <f>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オフラインソース")+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ベルシステム")</f>
        <v>0</v>
      </c>
      <c r="AA52" s="2">
        <f>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オフラインソース")+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ベルシステム")</f>
        <v>0</v>
      </c>
      <c r="AB52" s="2">
        <f>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オフラインソース")+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ベルシステム")</f>
        <v>0</v>
      </c>
      <c r="AC52" s="2">
        <f>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オフラインソース")+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ベルシステム")</f>
        <v>2</v>
      </c>
      <c r="AD52" s="2">
        <f>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オフラインソース")+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ベルシステム")</f>
        <v>0</v>
      </c>
      <c r="AE52" s="2">
        <f>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オフラインソース")+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ベルシステム")</f>
        <v>0</v>
      </c>
      <c r="AF52" s="2">
        <f>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オフラインソース")+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ベルシステム")</f>
        <v>0</v>
      </c>
      <c r="AG52" s="2">
        <f>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オフラインソース")+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ベルシステム")</f>
        <v>0</v>
      </c>
      <c r="AH52" s="2">
        <f>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オフラインソース")+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ベルシステム")</f>
        <v>0</v>
      </c>
      <c r="AI52" s="2">
        <f>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オフラインソース")+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ベルシステム")</f>
        <v>0</v>
      </c>
      <c r="AJ52" s="2">
        <f>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オフラインソース")+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ベルシステム")</f>
        <v>0</v>
      </c>
      <c r="AK52" s="2">
        <f>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オフラインソース")+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ベルシステム")</f>
        <v>0</v>
      </c>
      <c r="AM52" s="2">
        <f t="shared" si="29"/>
        <v>10</v>
      </c>
      <c r="AN52" s="2">
        <f t="shared" si="30"/>
        <v>2</v>
      </c>
    </row>
    <row r="53" spans="1:49" ht="18">
      <c r="A53" s="1" t="s">
        <v>65</v>
      </c>
      <c r="B53" s="2" t="s">
        <v>19</v>
      </c>
      <c r="C53" s="2" t="s">
        <v>19</v>
      </c>
      <c r="D53" s="2" t="s">
        <v>19</v>
      </c>
      <c r="E53" s="2" t="s">
        <v>19</v>
      </c>
      <c r="F53" s="2" t="s">
        <v>19</v>
      </c>
      <c r="G53" s="2" t="s">
        <v>19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f>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他のキャンペーン")+COUNTIFS([1]流入チャネル別顧客一覧_7月以降完全ユニークではない!$C:$C,"&gt;="&amp;N$3,[1]流入チャネル別顧客一覧_7月以降完全ユニークではない!$C:$C,"&lt;"&amp;EDATE(N$3,1),[1]流入チャネル別顧客一覧_7月以降完全ユニークではない!$H:$H,"others")</f>
        <v>2</v>
      </c>
      <c r="O53" s="2">
        <f>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他のキャンペーン")+COUNTIFS([1]流入チャネル別顧客一覧_7月以降完全ユニークではない!$C:$C,"&gt;="&amp;O$3,[1]流入チャネル別顧客一覧_7月以降完全ユニークではない!$C:$C,"&lt;"&amp;EDATE(O$3,1),[1]流入チャネル別顧客一覧_7月以降完全ユニークではない!$H:$H,"others")</f>
        <v>0</v>
      </c>
      <c r="P53" s="2">
        <f>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他のキャンペーン")+COUNTIFS([1]流入チャネル別顧客一覧_7月以降完全ユニークではない!$C:$C,"&gt;="&amp;P$3,[1]流入チャネル別顧客一覧_7月以降完全ユニークではない!$C:$C,"&lt;"&amp;EDATE(P$3,1),[1]流入チャネル別顧客一覧_7月以降完全ユニークではない!$H:$H,"others")</f>
        <v>2</v>
      </c>
      <c r="Q53" s="2">
        <f>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他のキャンペーン")+COUNTIFS([1]流入チャネル別顧客一覧_7月以降完全ユニークではない!$C:$C,"&gt;="&amp;Q$3,[1]流入チャネル別顧客一覧_7月以降完全ユニークではない!$C:$C,"&lt;"&amp;EDATE(Q$3,1),[1]流入チャネル別顧客一覧_7月以降完全ユニークではない!$H:$H,"others")</f>
        <v>0</v>
      </c>
      <c r="R53" s="2">
        <f>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他のキャンペーン")+COUNTIFS([1]流入チャネル別顧客一覧_7月以降完全ユニークではない!$C:$C,"&gt;="&amp;R$3,[1]流入チャネル別顧客一覧_7月以降完全ユニークではない!$C:$C,"&lt;"&amp;EDATE(R$3,1),[1]流入チャネル別顧客一覧_7月以降完全ユニークではない!$H:$H,"others")</f>
        <v>4</v>
      </c>
      <c r="S53" s="2">
        <f>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他のキャンペーン")+COUNTIFS([1]流入チャネル別顧客一覧_7月以降完全ユニークではない!$C:$C,"&gt;="&amp;S$3,[1]流入チャネル別顧客一覧_7月以降完全ユニークではない!$C:$C,"&lt;"&amp;EDATE(S$3,1),[1]流入チャネル別顧客一覧_7月以降完全ユニークではない!$H:$H,"others")</f>
        <v>0</v>
      </c>
      <c r="T53" s="2">
        <f>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他のキャンペーン")+COUNTIFS([1]流入チャネル別顧客一覧_7月以降完全ユニークではない!$C:$C,"&gt;="&amp;T$3,[1]流入チャネル別顧客一覧_7月以降完全ユニークではない!$C:$C,"&lt;"&amp;EDATE(T$3,1),[1]流入チャネル別顧客一覧_7月以降完全ユニークではない!$H:$H,"others")</f>
        <v>3</v>
      </c>
      <c r="U53" s="2">
        <f>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他のキャンペーン")+COUNTIFS([1]流入チャネル別顧客一覧_7月以降完全ユニークではない!$C:$C,"&gt;="&amp;U$3,[1]流入チャネル別顧客一覧_7月以降完全ユニークではない!$C:$C,"&lt;"&amp;EDATE(U$3,1),[1]流入チャネル別顧客一覧_7月以降完全ユニークではない!$H:$H,"others")</f>
        <v>4</v>
      </c>
      <c r="V53" s="2">
        <f>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他のキャンペーン")+COUNTIFS([1]流入チャネル別顧客一覧_7月以降完全ユニークではない!$C:$C,"&gt;="&amp;V$3,[1]流入チャネル別顧客一覧_7月以降完全ユニークではない!$C:$C,"&lt;"&amp;EDATE(V$3,1),[1]流入チャネル別顧客一覧_7月以降完全ユニークではない!$H:$H,"others")</f>
        <v>2</v>
      </c>
      <c r="W53" s="2">
        <f>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他のキャンペーン")+COUNTIFS([1]流入チャネル別顧客一覧_7月以降完全ユニークではない!$C:$C,"&gt;="&amp;W$3,[1]流入チャネル別顧客一覧_7月以降完全ユニークではない!$C:$C,"&lt;"&amp;EDATE(W$3,1),[1]流入チャネル別顧客一覧_7月以降完全ユニークではない!$H:$H,"others")</f>
        <v>1</v>
      </c>
      <c r="X53" s="2">
        <f>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他のキャンペーン")+COUNTIFS([1]流入チャネル別顧客一覧_7月以降完全ユニークではない!$C:$C,"&gt;="&amp;X$3,[1]流入チャネル別顧客一覧_7月以降完全ユニークではない!$C:$C,"&lt;"&amp;EDATE(X$3,1),[1]流入チャネル別顧客一覧_7月以降完全ユニークではない!$H:$H,"others")</f>
        <v>2</v>
      </c>
      <c r="Y53" s="2">
        <f>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他のキャンペーン")+COUNTIFS([1]流入チャネル別顧客一覧_7月以降完全ユニークではない!$C:$C,"&gt;="&amp;Y$3,[1]流入チャネル別顧客一覧_7月以降完全ユニークではない!$C:$C,"&lt;"&amp;EDATE(Y$3,1),[1]流入チャネル別顧客一覧_7月以降完全ユニークではない!$H:$H,"others")</f>
        <v>0</v>
      </c>
      <c r="Z53" s="2">
        <f>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他のキャンペーン")+COUNTIFS([1]流入チャネル別顧客一覧_7月以降完全ユニークではない!$C:$C,"&gt;="&amp;Z$3,[1]流入チャネル別顧客一覧_7月以降完全ユニークではない!$C:$C,"&lt;"&amp;EDATE(Z$3,1),[1]流入チャネル別顧客一覧_7月以降完全ユニークではない!$H:$H,"others")</f>
        <v>2</v>
      </c>
      <c r="AA53" s="2">
        <f>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他のキャンペーン")+COUNTIFS([1]流入チャネル別顧客一覧_7月以降完全ユニークではない!$C:$C,"&gt;="&amp;AA$3,[1]流入チャネル別顧客一覧_7月以降完全ユニークではない!$C:$C,"&lt;"&amp;EDATE(AA$3,1),[1]流入チャネル別顧客一覧_7月以降完全ユニークではない!$H:$H,"others")</f>
        <v>1</v>
      </c>
      <c r="AB53" s="2">
        <f>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他のキャンペーン")+COUNTIFS([1]流入チャネル別顧客一覧_7月以降完全ユニークではない!$C:$C,"&gt;="&amp;AB$3,[1]流入チャネル別顧客一覧_7月以降完全ユニークではない!$C:$C,"&lt;"&amp;EDATE(AB$3,1),[1]流入チャネル別顧客一覧_7月以降完全ユニークではない!$H:$H,"others")</f>
        <v>12</v>
      </c>
      <c r="AC53" s="2">
        <f>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他のキャンペーン")+COUNTIFS([1]流入チャネル別顧客一覧_7月以降完全ユニークではない!$C:$C,"&gt;="&amp;AC$3,[1]流入チャネル別顧客一覧_7月以降完全ユニークではない!$C:$C,"&lt;"&amp;EDATE(AC$3,1),[1]流入チャネル別顧客一覧_7月以降完全ユニークではない!$H:$H,"others")</f>
        <v>1</v>
      </c>
      <c r="AD53" s="2">
        <f>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他のキャンペーン")+COUNTIFS([1]流入チャネル別顧客一覧_7月以降完全ユニークではない!$C:$C,"&gt;="&amp;AD$3,[1]流入チャネル別顧客一覧_7月以降完全ユニークではない!$C:$C,"&lt;"&amp;EDATE(AD$3,1),[1]流入チャネル別顧客一覧_7月以降完全ユニークではない!$H:$H,"others")</f>
        <v>0</v>
      </c>
      <c r="AE53" s="2">
        <f>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他のキャンペーン")+COUNTIFS([1]流入チャネル別顧客一覧_7月以降完全ユニークではない!$C:$C,"&gt;="&amp;AE$3,[1]流入チャネル別顧客一覧_7月以降完全ユニークではない!$C:$C,"&lt;"&amp;EDATE(AE$3,1),[1]流入チャネル別顧客一覧_7月以降完全ユニークではない!$H:$H,"others")</f>
        <v>0</v>
      </c>
      <c r="AF53" s="2">
        <f>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他のキャンペーン")+COUNTIFS([1]流入チャネル別顧客一覧_7月以降完全ユニークではない!$C:$C,"&gt;="&amp;AF$3,[1]流入チャネル別顧客一覧_7月以降完全ユニークではない!$C:$C,"&lt;"&amp;EDATE(AF$3,1),[1]流入チャネル別顧客一覧_7月以降完全ユニークではない!$H:$H,"others")</f>
        <v>0</v>
      </c>
      <c r="AG53" s="2">
        <f>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他のキャンペーン")+COUNTIFS([1]流入チャネル別顧客一覧_7月以降完全ユニークではない!$C:$C,"&gt;="&amp;AG$3,[1]流入チャネル別顧客一覧_7月以降完全ユニークではない!$C:$C,"&lt;"&amp;EDATE(AG$3,1),[1]流入チャネル別顧客一覧_7月以降完全ユニークではない!$H:$H,"others")</f>
        <v>0</v>
      </c>
      <c r="AH53" s="2">
        <f>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他のキャンペーン")+COUNTIFS([1]流入チャネル別顧客一覧_7月以降完全ユニークではない!$C:$C,"&gt;="&amp;AH$3,[1]流入チャネル別顧客一覧_7月以降完全ユニークではない!$C:$C,"&lt;"&amp;EDATE(AH$3,1),[1]流入チャネル別顧客一覧_7月以降完全ユニークではない!$H:$H,"others")</f>
        <v>0</v>
      </c>
      <c r="AI53" s="2">
        <f>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他のキャンペーン")+COUNTIFS([1]流入チャネル別顧客一覧_7月以降完全ユニークではない!$C:$C,"&gt;="&amp;AI$3,[1]流入チャネル別顧客一覧_7月以降完全ユニークではない!$C:$C,"&lt;"&amp;EDATE(AI$3,1),[1]流入チャネル別顧客一覧_7月以降完全ユニークではない!$H:$H,"others")</f>
        <v>0</v>
      </c>
      <c r="AJ53" s="2">
        <f>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他のキャンペーン")+COUNTIFS([1]流入チャネル別顧客一覧_7月以降完全ユニークではない!$C:$C,"&gt;="&amp;AJ$3,[1]流入チャネル別顧客一覧_7月以降完全ユニークではない!$C:$C,"&lt;"&amp;EDATE(AJ$3,1),[1]流入チャネル別顧客一覧_7月以降完全ユニークではない!$H:$H,"others")</f>
        <v>0</v>
      </c>
      <c r="AK53" s="2">
        <f>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他のキャンペーン")+COUNTIFS([1]流入チャネル別顧客一覧_7月以降完全ユニークではない!$C:$C,"&gt;="&amp;AK$3,[1]流入チャネル別顧客一覧_7月以降完全ユニークではない!$C:$C,"&lt;"&amp;EDATE(AK$3,1),[1]流入チャネル別顧客一覧_7月以降完全ユニークではない!$H:$H,"others")</f>
        <v>0</v>
      </c>
      <c r="AL53" s="8">
        <f t="shared" si="31"/>
        <v>0</v>
      </c>
      <c r="AM53" s="2">
        <f t="shared" si="29"/>
        <v>20</v>
      </c>
      <c r="AN53" s="2">
        <f t="shared" si="30"/>
        <v>16</v>
      </c>
    </row>
    <row r="54" spans="1:49" ht="18">
      <c r="B54" s="2" t="s">
        <v>6</v>
      </c>
      <c r="C54" s="2" t="s">
        <v>7</v>
      </c>
      <c r="D54" s="2" t="s">
        <v>8</v>
      </c>
      <c r="E54" s="2" t="s">
        <v>9</v>
      </c>
      <c r="F54" s="2" t="s">
        <v>10</v>
      </c>
      <c r="G54" s="2" t="s">
        <v>11</v>
      </c>
      <c r="H54" s="2" t="s">
        <v>12</v>
      </c>
      <c r="I54" s="2" t="s">
        <v>13</v>
      </c>
      <c r="J54" s="2" t="s">
        <v>14</v>
      </c>
      <c r="K54" s="2" t="s">
        <v>15</v>
      </c>
      <c r="L54" s="2" t="s">
        <v>16</v>
      </c>
      <c r="M54" s="2" t="s">
        <v>17</v>
      </c>
      <c r="N54" s="118">
        <v>45717</v>
      </c>
      <c r="O54" s="118">
        <v>45748</v>
      </c>
      <c r="P54" s="118">
        <v>45778</v>
      </c>
      <c r="Q54" s="118">
        <v>45809</v>
      </c>
      <c r="R54" s="118">
        <v>45839</v>
      </c>
      <c r="S54" s="118">
        <v>45870</v>
      </c>
      <c r="T54" s="118">
        <v>45901</v>
      </c>
      <c r="U54" s="118">
        <v>45931</v>
      </c>
      <c r="V54" s="118">
        <v>45962</v>
      </c>
      <c r="W54" s="118">
        <v>45992</v>
      </c>
      <c r="X54" s="118">
        <v>46023</v>
      </c>
      <c r="Y54" s="118">
        <v>46054</v>
      </c>
      <c r="Z54" s="118">
        <v>46082</v>
      </c>
      <c r="AA54" s="118">
        <v>46113</v>
      </c>
      <c r="AB54" s="118">
        <v>46143</v>
      </c>
      <c r="AC54" s="118">
        <v>46174</v>
      </c>
      <c r="AD54" s="118">
        <v>46204</v>
      </c>
      <c r="AE54" s="118">
        <v>46235</v>
      </c>
      <c r="AF54" s="118">
        <v>46266</v>
      </c>
      <c r="AG54" s="118">
        <v>46296</v>
      </c>
      <c r="AH54" s="118">
        <v>46327</v>
      </c>
      <c r="AI54" s="118">
        <v>46357</v>
      </c>
      <c r="AJ54" s="118">
        <v>46388</v>
      </c>
      <c r="AK54" s="118">
        <v>46419</v>
      </c>
      <c r="AL54" s="8" t="s">
        <v>1</v>
      </c>
    </row>
    <row r="55" spans="1:49" ht="18">
      <c r="A55" s="1" t="s">
        <v>66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2</v>
      </c>
      <c r="H55" s="2">
        <v>8</v>
      </c>
      <c r="I55" s="2">
        <v>10</v>
      </c>
      <c r="J55" s="2">
        <v>5</v>
      </c>
      <c r="K55" s="2">
        <v>4</v>
      </c>
      <c r="L55" s="2">
        <v>8</v>
      </c>
      <c r="M55" s="2">
        <v>8</v>
      </c>
      <c r="N55" s="2">
        <v>9</v>
      </c>
      <c r="O55" s="2">
        <v>10</v>
      </c>
      <c r="P55" s="2">
        <v>8</v>
      </c>
      <c r="Q55" s="2">
        <v>20</v>
      </c>
      <c r="R55" s="2">
        <v>18</v>
      </c>
      <c r="S55" s="2">
        <v>8</v>
      </c>
      <c r="T55" s="2">
        <v>10</v>
      </c>
      <c r="U55" s="2">
        <v>10</v>
      </c>
      <c r="V55" s="2">
        <v>12</v>
      </c>
      <c r="W55" s="2">
        <v>6</v>
      </c>
      <c r="X55" s="2">
        <v>6</v>
      </c>
      <c r="Y55" s="2">
        <v>6</v>
      </c>
      <c r="Z55" s="2">
        <v>6</v>
      </c>
      <c r="AA55" s="2">
        <v>3</v>
      </c>
      <c r="AB55" s="2">
        <v>25</v>
      </c>
      <c r="AC55" s="2">
        <v>12</v>
      </c>
      <c r="AL55" s="8">
        <f t="shared" si="31"/>
        <v>45</v>
      </c>
    </row>
    <row r="56" spans="1:49" ht="18">
      <c r="A56" s="1" t="s">
        <v>67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2</v>
      </c>
      <c r="H56" s="2">
        <v>8</v>
      </c>
      <c r="I56" s="2" t="s">
        <v>19</v>
      </c>
      <c r="J56" s="2">
        <v>13</v>
      </c>
      <c r="K56" s="2">
        <v>5</v>
      </c>
      <c r="L56" s="2">
        <v>5</v>
      </c>
      <c r="M56" s="2">
        <v>5</v>
      </c>
      <c r="N56" s="2">
        <v>8</v>
      </c>
      <c r="O56" s="2">
        <v>7</v>
      </c>
      <c r="P56" s="2">
        <v>8</v>
      </c>
      <c r="Q56" s="2">
        <v>24</v>
      </c>
      <c r="R56" s="2">
        <v>15</v>
      </c>
      <c r="S56" s="2">
        <v>20</v>
      </c>
      <c r="T56" s="2">
        <v>18</v>
      </c>
      <c r="U56" s="2">
        <v>9</v>
      </c>
      <c r="V56" s="2">
        <v>10</v>
      </c>
      <c r="W56" s="2">
        <v>5</v>
      </c>
      <c r="X56" s="2">
        <v>3</v>
      </c>
      <c r="Y56" s="2">
        <v>2</v>
      </c>
      <c r="Z56" s="2">
        <v>10</v>
      </c>
      <c r="AA56" s="2">
        <v>4</v>
      </c>
      <c r="AB56" s="2">
        <f>3+4</f>
        <v>7</v>
      </c>
      <c r="AC56" s="2">
        <v>2</v>
      </c>
      <c r="AL56" s="8">
        <f t="shared" si="31"/>
        <v>38</v>
      </c>
    </row>
    <row r="57" spans="1:49" ht="18">
      <c r="A57" s="1" t="s">
        <v>68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2</v>
      </c>
      <c r="H57" s="2">
        <v>4</v>
      </c>
      <c r="I57" s="2">
        <v>4</v>
      </c>
      <c r="J57" s="2">
        <v>11</v>
      </c>
      <c r="K57" s="2">
        <v>8</v>
      </c>
      <c r="L57" s="2">
        <v>6</v>
      </c>
      <c r="M57" s="2">
        <v>8</v>
      </c>
      <c r="N57" s="2">
        <v>5</v>
      </c>
      <c r="O57" s="2">
        <v>7</v>
      </c>
      <c r="P57" s="2">
        <v>6</v>
      </c>
      <c r="Q57" s="2">
        <v>9</v>
      </c>
      <c r="R57" s="2">
        <v>7</v>
      </c>
      <c r="S57" s="2">
        <v>5</v>
      </c>
      <c r="T57" s="2">
        <v>3</v>
      </c>
      <c r="U57" s="2">
        <v>0</v>
      </c>
      <c r="V57" s="2">
        <v>1</v>
      </c>
      <c r="W57" s="2">
        <v>2</v>
      </c>
      <c r="X57" s="2">
        <v>4</v>
      </c>
      <c r="Y57" s="2">
        <v>4</v>
      </c>
      <c r="Z57" s="2">
        <v>7</v>
      </c>
      <c r="AA57" s="2">
        <v>7</v>
      </c>
      <c r="AB57" s="2">
        <f>2+10</f>
        <v>12</v>
      </c>
      <c r="AC57" s="2">
        <v>8</v>
      </c>
      <c r="AL57" s="8">
        <f t="shared" si="31"/>
        <v>43</v>
      </c>
    </row>
    <row r="58" spans="1:49" s="5" customFormat="1" ht="18">
      <c r="A58" s="5" t="s">
        <v>69</v>
      </c>
      <c r="B58" s="6">
        <f>SUM(B55:B57)</f>
        <v>0</v>
      </c>
      <c r="C58" s="6">
        <f t="shared" ref="C58:N58" si="32">SUM(C55:C57)</f>
        <v>0</v>
      </c>
      <c r="D58" s="6">
        <f t="shared" si="32"/>
        <v>0</v>
      </c>
      <c r="E58" s="6">
        <f t="shared" si="32"/>
        <v>0</v>
      </c>
      <c r="F58" s="6">
        <f t="shared" si="32"/>
        <v>0</v>
      </c>
      <c r="G58" s="6">
        <f t="shared" si="32"/>
        <v>6</v>
      </c>
      <c r="H58" s="6">
        <f t="shared" si="32"/>
        <v>20</v>
      </c>
      <c r="I58" s="6">
        <f t="shared" si="32"/>
        <v>14</v>
      </c>
      <c r="J58" s="6">
        <f t="shared" si="32"/>
        <v>29</v>
      </c>
      <c r="K58" s="6">
        <f t="shared" si="32"/>
        <v>17</v>
      </c>
      <c r="L58" s="6">
        <f t="shared" si="32"/>
        <v>19</v>
      </c>
      <c r="M58" s="6">
        <f t="shared" si="32"/>
        <v>21</v>
      </c>
      <c r="N58" s="6">
        <f t="shared" si="32"/>
        <v>22</v>
      </c>
      <c r="O58" s="6">
        <f>SUM(O55:O57)</f>
        <v>24</v>
      </c>
      <c r="P58" s="6">
        <f t="shared" ref="P58:AK58" si="33">SUM(P55:P57)</f>
        <v>22</v>
      </c>
      <c r="Q58" s="6">
        <f t="shared" si="33"/>
        <v>53</v>
      </c>
      <c r="R58" s="6">
        <f t="shared" si="33"/>
        <v>40</v>
      </c>
      <c r="S58" s="6">
        <f t="shared" si="33"/>
        <v>33</v>
      </c>
      <c r="T58" s="6">
        <f t="shared" si="33"/>
        <v>31</v>
      </c>
      <c r="U58" s="6">
        <f t="shared" si="33"/>
        <v>19</v>
      </c>
      <c r="V58" s="6">
        <f t="shared" si="33"/>
        <v>23</v>
      </c>
      <c r="W58" s="6">
        <f t="shared" si="33"/>
        <v>13</v>
      </c>
      <c r="X58" s="6">
        <f t="shared" si="33"/>
        <v>13</v>
      </c>
      <c r="Y58" s="6">
        <f t="shared" si="33"/>
        <v>12</v>
      </c>
      <c r="Z58" s="6">
        <f t="shared" si="33"/>
        <v>23</v>
      </c>
      <c r="AA58" s="6">
        <f t="shared" si="33"/>
        <v>14</v>
      </c>
      <c r="AB58" s="6">
        <f t="shared" si="33"/>
        <v>44</v>
      </c>
      <c r="AC58" s="6">
        <f t="shared" si="33"/>
        <v>22</v>
      </c>
      <c r="AD58" s="6">
        <f t="shared" si="33"/>
        <v>0</v>
      </c>
      <c r="AE58" s="6">
        <f t="shared" si="33"/>
        <v>0</v>
      </c>
      <c r="AF58" s="6">
        <f t="shared" si="33"/>
        <v>0</v>
      </c>
      <c r="AG58" s="6">
        <f t="shared" si="33"/>
        <v>0</v>
      </c>
      <c r="AH58" s="6">
        <f t="shared" si="33"/>
        <v>0</v>
      </c>
      <c r="AI58" s="6">
        <f t="shared" si="33"/>
        <v>0</v>
      </c>
      <c r="AJ58" s="6">
        <f t="shared" si="33"/>
        <v>0</v>
      </c>
      <c r="AK58" s="6">
        <f t="shared" si="33"/>
        <v>0</v>
      </c>
      <c r="AL58" s="8">
        <f t="shared" si="31"/>
        <v>126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  <row r="59" spans="1:49" s="3" customFormat="1" ht="18" hidden="1">
      <c r="A59" s="3" t="s">
        <v>70</v>
      </c>
      <c r="B59" s="3">
        <v>4.5</v>
      </c>
      <c r="C59" s="3">
        <v>5.8</v>
      </c>
      <c r="D59" s="3">
        <v>6.8</v>
      </c>
      <c r="E59" s="4">
        <v>7.4</v>
      </c>
      <c r="F59" s="4">
        <v>8</v>
      </c>
      <c r="G59" s="4">
        <v>8.6999999999999993</v>
      </c>
      <c r="H59" s="4">
        <v>9.4</v>
      </c>
      <c r="I59" s="4">
        <v>9.8000000000000007</v>
      </c>
      <c r="J59" s="4">
        <v>10.6</v>
      </c>
      <c r="K59" s="4">
        <v>12.3</v>
      </c>
      <c r="L59" s="4">
        <v>13</v>
      </c>
      <c r="M59" s="4">
        <v>13</v>
      </c>
      <c r="N59" s="4">
        <v>11</v>
      </c>
      <c r="O59" s="4">
        <v>11</v>
      </c>
      <c r="P59" s="4">
        <v>11</v>
      </c>
      <c r="Q59" s="4">
        <v>11</v>
      </c>
      <c r="R59" s="4">
        <v>11</v>
      </c>
      <c r="S59" s="4">
        <v>11</v>
      </c>
      <c r="T59" s="4">
        <v>11</v>
      </c>
      <c r="U59" s="4">
        <v>11</v>
      </c>
      <c r="V59" s="4">
        <v>11</v>
      </c>
      <c r="W59" s="4">
        <v>11</v>
      </c>
      <c r="X59" s="4">
        <v>11</v>
      </c>
      <c r="Y59" s="4">
        <v>11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8">
        <f t="shared" si="31"/>
        <v>109.3</v>
      </c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1" spans="1:49" ht="18"/>
  </sheetData>
  <phoneticPr fontId="1"/>
  <conditionalFormatting sqref="A7:A8 G8:AN8 AL18:AL22 N20:AK20 N27:AK27 AN27 B29:M40">
    <cfRule type="cellIs" dxfId="108" priority="10" operator="equal">
      <formula>#DIV/0!</formula>
    </cfRule>
  </conditionalFormatting>
  <conditionalFormatting sqref="A17:A20">
    <cfRule type="cellIs" dxfId="107" priority="26" operator="equal">
      <formula>#DIV/0!</formula>
    </cfRule>
  </conditionalFormatting>
  <conditionalFormatting sqref="A24:A27">
    <cfRule type="cellIs" dxfId="106" priority="18" operator="equal">
      <formula>#DIV/0!</formula>
    </cfRule>
  </conditionalFormatting>
  <conditionalFormatting sqref="B18:M20">
    <cfRule type="cellIs" dxfId="105" priority="17" operator="equal">
      <formula>#DIV/0!</formula>
    </cfRule>
  </conditionalFormatting>
  <conditionalFormatting sqref="B25:M27">
    <cfRule type="cellIs" dxfId="104" priority="16" operator="equal">
      <formula>#DIV/0!</formula>
    </cfRule>
  </conditionalFormatting>
  <conditionalFormatting sqref="AL25:AL27">
    <cfRule type="cellIs" dxfId="103" priority="19" operator="equal">
      <formula>#DIV/0!</formula>
    </cfRule>
  </conditionalFormatting>
  <conditionalFormatting sqref="AL29:AL37">
    <cfRule type="cellIs" dxfId="102" priority="23" operator="equal">
      <formula>#DIV/0!</formula>
    </cfRule>
  </conditionalFormatting>
  <conditionalFormatting sqref="AM24:AW24">
    <cfRule type="cellIs" dxfId="101" priority="8" operator="equal">
      <formula>#DIV/0!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98E6-356E-4A84-BC8F-57D8DBDD5F57}">
  <sheetPr>
    <tabColor rgb="FF92D050"/>
  </sheetPr>
  <dimension ref="A1:AX59"/>
  <sheetViews>
    <sheetView zoomScale="70" zoomScaleNormal="70" workbookViewId="0">
      <pane xSplit="13" ySplit="3" topLeftCell="N4" activePane="bottomRight" state="frozen"/>
      <selection pane="bottomRight" activeCell="AF70" sqref="AF70"/>
      <selection pane="bottomLeft" activeCell="A4" sqref="A4"/>
      <selection pane="topRight" activeCell="N1" sqref="N1"/>
    </sheetView>
  </sheetViews>
  <sheetFormatPr defaultColWidth="9" defaultRowHeight="15.75" customHeight="1"/>
  <cols>
    <col min="1" max="1" width="24.375" style="1" customWidth="1"/>
    <col min="2" max="4" width="8.875" style="1" hidden="1" customWidth="1"/>
    <col min="5" max="5" width="8.875" style="2" hidden="1" customWidth="1"/>
    <col min="6" max="7" width="9" style="2" hidden="1" customWidth="1"/>
    <col min="8" max="8" width="9.875" style="2" hidden="1" customWidth="1"/>
    <col min="9" max="13" width="10" style="2" hidden="1" customWidth="1"/>
    <col min="14" max="25" width="10.75" style="2" customWidth="1"/>
    <col min="26" max="37" width="12" style="2" customWidth="1"/>
    <col min="38" max="38" width="12.375" style="8" hidden="1" customWidth="1"/>
    <col min="39" max="39" width="14.375" style="2" customWidth="1"/>
    <col min="40" max="40" width="13.25" style="2" customWidth="1"/>
    <col min="41" max="41" width="11.375" style="2" customWidth="1"/>
    <col min="42" max="50" width="9" style="2"/>
    <col min="51" max="16384" width="9" style="1"/>
  </cols>
  <sheetData>
    <row r="1" spans="1:50" ht="18"/>
    <row r="2" spans="1:50" ht="18">
      <c r="A2" s="49" t="s">
        <v>71</v>
      </c>
      <c r="B2" s="2" t="s">
        <v>1</v>
      </c>
      <c r="N2" s="2" t="s">
        <v>2</v>
      </c>
      <c r="Z2" s="2" t="s">
        <v>3</v>
      </c>
      <c r="AC2" s="2" t="s">
        <v>4</v>
      </c>
      <c r="AL2" s="101" t="s">
        <v>5</v>
      </c>
      <c r="AM2" s="128" t="s">
        <v>5</v>
      </c>
      <c r="AN2" s="128" t="s">
        <v>5</v>
      </c>
      <c r="AO2" s="15"/>
      <c r="AQ2" s="15"/>
      <c r="AS2" s="20"/>
    </row>
    <row r="3" spans="1:50" ht="18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118">
        <v>45717</v>
      </c>
      <c r="O3" s="118">
        <v>45748</v>
      </c>
      <c r="P3" s="118">
        <v>45778</v>
      </c>
      <c r="Q3" s="118">
        <v>45809</v>
      </c>
      <c r="R3" s="118">
        <v>45839</v>
      </c>
      <c r="S3" s="118">
        <v>45870</v>
      </c>
      <c r="T3" s="118">
        <v>45901</v>
      </c>
      <c r="U3" s="118">
        <v>45931</v>
      </c>
      <c r="V3" s="118">
        <v>45962</v>
      </c>
      <c r="W3" s="118">
        <v>45992</v>
      </c>
      <c r="X3" s="118">
        <v>46023</v>
      </c>
      <c r="Y3" s="118">
        <v>46054</v>
      </c>
      <c r="Z3" s="118">
        <v>46082</v>
      </c>
      <c r="AA3" s="118">
        <v>46113</v>
      </c>
      <c r="AB3" s="118">
        <v>46143</v>
      </c>
      <c r="AC3" s="118">
        <v>46174</v>
      </c>
      <c r="AD3" s="118">
        <v>46204</v>
      </c>
      <c r="AE3" s="118">
        <v>46235</v>
      </c>
      <c r="AF3" s="118">
        <v>46266</v>
      </c>
      <c r="AG3" s="118">
        <v>46296</v>
      </c>
      <c r="AH3" s="118">
        <v>46327</v>
      </c>
      <c r="AI3" s="118">
        <v>46357</v>
      </c>
      <c r="AJ3" s="118">
        <v>46388</v>
      </c>
      <c r="AK3" s="118">
        <v>46419</v>
      </c>
      <c r="AL3" s="8" t="s">
        <v>1</v>
      </c>
      <c r="AM3" s="2" t="s">
        <v>2</v>
      </c>
      <c r="AN3" s="2" t="s">
        <v>3</v>
      </c>
    </row>
    <row r="4" spans="1:50" ht="18">
      <c r="A4" s="1" t="s">
        <v>18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>
        <v>59</v>
      </c>
      <c r="H4" s="2">
        <v>597</v>
      </c>
      <c r="I4" s="2">
        <v>1167</v>
      </c>
      <c r="J4" s="2">
        <v>1136</v>
      </c>
      <c r="K4" s="2">
        <v>1191</v>
      </c>
      <c r="L4" s="2">
        <v>1553</v>
      </c>
      <c r="M4" s="2">
        <v>1856</v>
      </c>
      <c r="N4" s="2">
        <v>1948</v>
      </c>
      <c r="O4" s="2">
        <v>1793</v>
      </c>
      <c r="P4" s="2">
        <v>1571</v>
      </c>
      <c r="Q4" s="2">
        <v>1823</v>
      </c>
      <c r="R4" s="2">
        <v>1907</v>
      </c>
      <c r="S4" s="2">
        <v>1415</v>
      </c>
      <c r="T4" s="2">
        <v>1474</v>
      </c>
      <c r="U4" s="2">
        <v>1499</v>
      </c>
      <c r="V4" s="2">
        <v>1791</v>
      </c>
      <c r="W4" s="2">
        <v>2637</v>
      </c>
      <c r="X4" s="2">
        <v>2227</v>
      </c>
      <c r="Y4" s="2">
        <v>3811</v>
      </c>
      <c r="Z4" s="2">
        <v>2465</v>
      </c>
      <c r="AA4" s="2">
        <v>2750</v>
      </c>
      <c r="AB4" s="2">
        <v>2887</v>
      </c>
      <c r="AC4" s="2">
        <v>2821</v>
      </c>
      <c r="AL4" s="8">
        <f>SUM(E4:M4)</f>
        <v>7559</v>
      </c>
      <c r="AM4" s="2">
        <f>SUM(N4:Y4)</f>
        <v>23896</v>
      </c>
      <c r="AN4" s="2">
        <f>SUM(Z4:AK4)</f>
        <v>10923</v>
      </c>
    </row>
    <row r="5" spans="1:50" ht="18">
      <c r="A5" s="1" t="s">
        <v>20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2">
        <v>0</v>
      </c>
      <c r="H5" s="2">
        <v>0</v>
      </c>
      <c r="I5" s="2">
        <v>3</v>
      </c>
      <c r="J5" s="2">
        <v>6</v>
      </c>
      <c r="K5" s="2">
        <v>4</v>
      </c>
      <c r="L5" s="2">
        <v>3</v>
      </c>
      <c r="M5" s="2">
        <v>3</v>
      </c>
      <c r="N5" s="2">
        <f>COUNTIFS(
[3]流入チャネル別顧客一覧_ユニーク!$C:$C,"&gt;="&amp;DATE(2025,3,1),
[3]流入チャネル別顧客一覧_ユニーク!$C:$C,"&lt;"&amp;DATE(2026,3,1),
[3]流入チャネル別顧客一覧_ユニーク!$C:$C,"&gt;="&amp;N$3,
[3]流入チャネル別顧客一覧_ユニーク!$C:$C,"&lt;"&amp;EDATE(N$3,1)
)</f>
        <v>8</v>
      </c>
      <c r="O5" s="2">
        <f>COUNTIFS(
[3]流入チャネル別顧客一覧_ユニーク!$C:$C,"&gt;="&amp;DATE(2025,3,1),
[3]流入チャネル別顧客一覧_ユニーク!$C:$C,"&lt;"&amp;DATE(2026,3,1),
[3]流入チャネル別顧客一覧_ユニーク!$C:$C,"&gt;="&amp;O$3,
[3]流入チャネル別顧客一覧_ユニーク!$C:$C,"&lt;"&amp;EDATE(O$3,1)
)</f>
        <v>4</v>
      </c>
      <c r="P5" s="2">
        <f>COUNTIFS(
[3]流入チャネル別顧客一覧_ユニーク!$C:$C,"&gt;="&amp;DATE(2025,3,1),
[3]流入チャネル別顧客一覧_ユニーク!$C:$C,"&lt;"&amp;DATE(2026,3,1),
[3]流入チャネル別顧客一覧_ユニーク!$C:$C,"&gt;="&amp;P$3,
[3]流入チャネル別顧客一覧_ユニーク!$C:$C,"&lt;"&amp;EDATE(P$3,1)
)</f>
        <v>5</v>
      </c>
      <c r="Q5" s="2">
        <f>COUNTIFS(
[3]流入チャネル別顧客一覧_ユニーク!$C:$C,"&gt;="&amp;DATE(2025,3,1),
[3]流入チャネル別顧客一覧_ユニーク!$C:$C,"&lt;"&amp;DATE(2026,3,1),
[3]流入チャネル別顧客一覧_ユニーク!$C:$C,"&gt;="&amp;Q$3,
[3]流入チャネル別顧客一覧_ユニーク!$C:$C,"&lt;"&amp;EDATE(Q$3,1)
)</f>
        <v>7</v>
      </c>
      <c r="R5" s="2">
        <f>COUNTIFS(
[3]流入チャネル別顧客一覧_ユニーク!$C:$C,"&gt;="&amp;DATE(2025,3,1),
[3]流入チャネル別顧客一覧_ユニーク!$C:$C,"&lt;"&amp;DATE(2026,3,1),
[3]流入チャネル別顧客一覧_ユニーク!$C:$C,"&gt;="&amp;R$3,
[3]流入チャネル別顧客一覧_ユニーク!$C:$C,"&lt;"&amp;EDATE(R$3,1)
)</f>
        <v>0</v>
      </c>
      <c r="S5" s="2">
        <f>COUNTIFS(
[3]流入チャネル別顧客一覧_ユニーク!$C:$C,"&gt;="&amp;DATE(2025,3,1),
[3]流入チャネル別顧客一覧_ユニーク!$C:$C,"&lt;"&amp;DATE(2026,3,1),
[3]流入チャネル別顧客一覧_ユニーク!$C:$C,"&gt;="&amp;S$3,
[3]流入チャネル別顧客一覧_ユニーク!$C:$C,"&lt;"&amp;EDATE(S$3,1)
)</f>
        <v>2</v>
      </c>
      <c r="T5" s="2">
        <f>COUNTIFS(
[3]流入チャネル別顧客一覧_ユニーク!$C:$C,"&gt;="&amp;DATE(2025,3,1),
[3]流入チャネル別顧客一覧_ユニーク!$C:$C,"&lt;"&amp;DATE(2026,3,1),
[3]流入チャネル別顧客一覧_ユニーク!$C:$C,"&gt;="&amp;T$3,
[3]流入チャネル別顧客一覧_ユニーク!$C:$C,"&lt;"&amp;EDATE(T$3,1)
)</f>
        <v>3</v>
      </c>
      <c r="U5" s="2">
        <f>COUNTIFS(
[3]流入チャネル別顧客一覧_ユニーク!$C:$C,"&gt;="&amp;DATE(2025,3,1),
[3]流入チャネル別顧客一覧_ユニーク!$C:$C,"&lt;"&amp;DATE(2026,3,1),
[3]流入チャネル別顧客一覧_ユニーク!$C:$C,"&gt;="&amp;U$3,
[3]流入チャネル別顧客一覧_ユニーク!$C:$C,"&lt;"&amp;EDATE(U$3,1)
)</f>
        <v>1</v>
      </c>
      <c r="V5" s="2">
        <f>COUNTIFS(
[3]流入チャネル別顧客一覧_ユニーク!$C:$C,"&gt;="&amp;DATE(2025,3,1),
[3]流入チャネル別顧客一覧_ユニーク!$C:$C,"&lt;"&amp;DATE(2026,3,1),
[3]流入チャネル別顧客一覧_ユニーク!$C:$C,"&gt;="&amp;V$3,
[3]流入チャネル別顧客一覧_ユニーク!$C:$C,"&lt;"&amp;EDATE(V$3,1)
)</f>
        <v>2</v>
      </c>
      <c r="W5" s="2">
        <f>COUNTIFS(
[3]流入チャネル別顧客一覧_ユニーク!$C:$C,"&gt;="&amp;DATE(2025,3,1),
[3]流入チャネル別顧客一覧_ユニーク!$C:$C,"&lt;"&amp;DATE(2026,3,1),
[3]流入チャネル別顧客一覧_ユニーク!$C:$C,"&gt;="&amp;W$3,
[3]流入チャネル別顧客一覧_ユニーク!$C:$C,"&lt;"&amp;EDATE(W$3,1)
)</f>
        <v>2</v>
      </c>
      <c r="X5" s="2">
        <f>COUNTIFS(
[3]流入チャネル別顧客一覧_ユニーク!$C:$C,"&gt;="&amp;DATE(2025,3,1),
[3]流入チャネル別顧客一覧_ユニーク!$C:$C,"&lt;"&amp;DATE(2026,3,1),
[3]流入チャネル別顧客一覧_ユニーク!$C:$C,"&gt;="&amp;X$3,
[3]流入チャネル別顧客一覧_ユニーク!$C:$C,"&lt;"&amp;EDATE(X$3,1)
)</f>
        <v>2</v>
      </c>
      <c r="Y5" s="2">
        <f>COUNTIFS(
[3]流入チャネル別顧客一覧_ユニーク!$C:$C,"&gt;="&amp;DATE(2025,3,1),
[3]流入チャネル別顧客一覧_ユニーク!$C:$C,"&lt;"&amp;DATE(2026,3,1),
[3]流入チャネル別顧客一覧_ユニーク!$C:$C,"&gt;="&amp;Y$3,
[3]流入チャネル別顧客一覧_ユニーク!$C:$C,"&lt;"&amp;EDATE(Y$3,1)
)</f>
        <v>3</v>
      </c>
      <c r="Z5" s="2">
        <f>COUNTIFS(
[3]流入チャネル別顧客一覧_ユニーク!$C:$C,"&gt;="&amp;DATE(2026,3,1),
[3]流入チャネル別顧客一覧_ユニーク!$C:$C,"&lt;"&amp;DATE(2027,3,1),
[3]流入チャネル別顧客一覧_ユニーク!$C:$C,"&gt;="&amp;Z$3,
[3]流入チャネル別顧客一覧_ユニーク!$C:$C,"&lt;"&amp;EDATE(Z$3,1)
)</f>
        <v>7</v>
      </c>
      <c r="AA5" s="2">
        <f>COUNTIFS(
[3]流入チャネル別顧客一覧_ユニーク!$C:$C,"&gt;="&amp;DATE(2026,3,1),
[3]流入チャネル別顧客一覧_ユニーク!$C:$C,"&lt;"&amp;DATE(2027,3,1),
[3]流入チャネル別顧客一覧_ユニーク!$C:$C,"&gt;="&amp;AA$3,
[3]流入チャネル別顧客一覧_ユニーク!$C:$C,"&lt;"&amp;EDATE(AA$3,1)
)</f>
        <v>3</v>
      </c>
      <c r="AB5" s="2">
        <f>COUNTIFS(
[3]流入チャネル別顧客一覧_ユニーク!$C:$C,"&gt;="&amp;DATE(2026,3,1),
[3]流入チャネル別顧客一覧_ユニーク!$C:$C,"&lt;"&amp;DATE(2027,3,1),
[3]流入チャネル別顧客一覧_ユニーク!$C:$C,"&gt;="&amp;AB$3,
[3]流入チャネル別顧客一覧_ユニーク!$C:$C,"&lt;"&amp;EDATE(AB$3,1)
)</f>
        <v>4</v>
      </c>
      <c r="AC5" s="2">
        <f>COUNTIFS(
[3]流入チャネル別顧客一覧_ユニーク!$C:$C,"&gt;="&amp;DATE(2026,3,1),
[3]流入チャネル別顧客一覧_ユニーク!$C:$C,"&lt;"&amp;DATE(2027,3,1),
[3]流入チャネル別顧客一覧_ユニーク!$C:$C,"&gt;="&amp;AC$3,
[3]流入チャネル別顧客一覧_ユニーク!$C:$C,"&lt;"&amp;EDATE(AC$3,1)
)</f>
        <v>3</v>
      </c>
      <c r="AD5" s="2">
        <f>COUNTIFS(
[3]流入チャネル別顧客一覧_ユニーク!$C:$C,"&gt;="&amp;DATE(2026,3,1),
[3]流入チャネル別顧客一覧_ユニーク!$C:$C,"&lt;"&amp;DATE(2027,3,1),
[3]流入チャネル別顧客一覧_ユニーク!$C:$C,"&gt;="&amp;AD$3,
[3]流入チャネル別顧客一覧_ユニーク!$C:$C,"&lt;"&amp;EDATE(AD$3,1)
)</f>
        <v>0</v>
      </c>
      <c r="AE5" s="2">
        <f>COUNTIFS(
[3]流入チャネル別顧客一覧_ユニーク!$C:$C,"&gt;="&amp;DATE(2026,3,1),
[3]流入チャネル別顧客一覧_ユニーク!$C:$C,"&lt;"&amp;DATE(2027,3,1),
[3]流入チャネル別顧客一覧_ユニーク!$C:$C,"&gt;="&amp;AE$3,
[3]流入チャネル別顧客一覧_ユニーク!$C:$C,"&lt;"&amp;EDATE(AE$3,1)
)</f>
        <v>0</v>
      </c>
      <c r="AF5" s="2">
        <f>COUNTIFS(
[3]流入チャネル別顧客一覧_ユニーク!$C:$C,"&gt;="&amp;DATE(2026,3,1),
[3]流入チャネル別顧客一覧_ユニーク!$C:$C,"&lt;"&amp;DATE(2027,3,1),
[3]流入チャネル別顧客一覧_ユニーク!$C:$C,"&gt;="&amp;AF$3,
[3]流入チャネル別顧客一覧_ユニーク!$C:$C,"&lt;"&amp;EDATE(AF$3,1)
)</f>
        <v>0</v>
      </c>
      <c r="AG5" s="2">
        <f>COUNTIFS(
[3]流入チャネル別顧客一覧_ユニーク!$C:$C,"&gt;="&amp;DATE(2026,3,1),
[3]流入チャネル別顧客一覧_ユニーク!$C:$C,"&lt;"&amp;DATE(2027,3,1),
[3]流入チャネル別顧客一覧_ユニーク!$C:$C,"&gt;="&amp;AG$3,
[3]流入チャネル別顧客一覧_ユニーク!$C:$C,"&lt;"&amp;EDATE(AG$3,1)
)</f>
        <v>0</v>
      </c>
      <c r="AH5" s="2">
        <f>COUNTIFS(
[3]流入チャネル別顧客一覧_ユニーク!$C:$C,"&gt;="&amp;DATE(2026,3,1),
[3]流入チャネル別顧客一覧_ユニーク!$C:$C,"&lt;"&amp;DATE(2027,3,1),
[3]流入チャネル別顧客一覧_ユニーク!$C:$C,"&gt;="&amp;AH$3,
[3]流入チャネル別顧客一覧_ユニーク!$C:$C,"&lt;"&amp;EDATE(AH$3,1)
)</f>
        <v>0</v>
      </c>
      <c r="AI5" s="2">
        <f>COUNTIFS(
[3]流入チャネル別顧客一覧_ユニーク!$C:$C,"&gt;="&amp;DATE(2026,3,1),
[3]流入チャネル別顧客一覧_ユニーク!$C:$C,"&lt;"&amp;DATE(2027,3,1),
[3]流入チャネル別顧客一覧_ユニーク!$C:$C,"&gt;="&amp;AI$3,
[3]流入チャネル別顧客一覧_ユニーク!$C:$C,"&lt;"&amp;EDATE(AI$3,1)
)</f>
        <v>0</v>
      </c>
      <c r="AJ5" s="2">
        <f>COUNTIFS(
[3]流入チャネル別顧客一覧_ユニーク!$C:$C,"&gt;="&amp;DATE(2026,3,1),
[3]流入チャネル別顧客一覧_ユニーク!$C:$C,"&lt;"&amp;DATE(2027,3,1),
[3]流入チャネル別顧客一覧_ユニーク!$C:$C,"&gt;="&amp;AJ$3,
[3]流入チャネル別顧客一覧_ユニーク!$C:$C,"&lt;"&amp;EDATE(AJ$3,1)
)</f>
        <v>0</v>
      </c>
      <c r="AK5" s="2">
        <f>COUNTIFS(
[3]流入チャネル別顧客一覧_ユニーク!$C:$C,"&gt;="&amp;DATE(2026,3,1),
[3]流入チャネル別顧客一覧_ユニーク!$C:$C,"&lt;"&amp;DATE(2027,3,1),
[3]流入チャネル別顧客一覧_ユニーク!$C:$C,"&gt;="&amp;AK$3,
[3]流入チャネル別顧客一覧_ユニーク!$C:$C,"&lt;"&amp;EDATE(AK$3,1)
)</f>
        <v>0</v>
      </c>
      <c r="AL5" s="8">
        <f t="shared" ref="AL5:AL11" si="0">SUM(E5:M5)</f>
        <v>19</v>
      </c>
      <c r="AM5" s="2">
        <f>SUM(N5:Y5)</f>
        <v>39</v>
      </c>
      <c r="AN5" s="2">
        <f t="shared" ref="AN5:AN11" si="1">SUM(Z5:AK5)</f>
        <v>17</v>
      </c>
    </row>
    <row r="6" spans="1:50" s="10" customFormat="1" ht="18">
      <c r="A6" s="10" t="s">
        <v>21</v>
      </c>
      <c r="B6" s="11"/>
      <c r="C6" s="11"/>
      <c r="D6" s="11"/>
      <c r="E6" s="11"/>
      <c r="F6" s="11"/>
      <c r="G6" s="145"/>
      <c r="H6" s="11"/>
      <c r="I6" s="11"/>
      <c r="J6" s="11"/>
      <c r="K6" s="11"/>
      <c r="L6" s="11"/>
      <c r="M6" s="11"/>
      <c r="N6" s="146">
        <f>N5/N4</f>
        <v>4.1067761806981521E-3</v>
      </c>
      <c r="O6" s="146">
        <f t="shared" ref="O6:AN6" si="2">O5/O4</f>
        <v>2.2308979364194089E-3</v>
      </c>
      <c r="P6" s="146">
        <f t="shared" si="2"/>
        <v>3.1826861871419479E-3</v>
      </c>
      <c r="Q6" s="146">
        <f t="shared" si="2"/>
        <v>3.8398244651673065E-3</v>
      </c>
      <c r="R6" s="146">
        <f t="shared" si="2"/>
        <v>0</v>
      </c>
      <c r="S6" s="146">
        <f t="shared" si="2"/>
        <v>1.4134275618374558E-3</v>
      </c>
      <c r="T6" s="146">
        <f t="shared" si="2"/>
        <v>2.0352781546811396E-3</v>
      </c>
      <c r="U6" s="146">
        <f t="shared" si="2"/>
        <v>6.6711140760506999E-4</v>
      </c>
      <c r="V6" s="146">
        <f t="shared" si="2"/>
        <v>1.1166945840312675E-3</v>
      </c>
      <c r="W6" s="146">
        <f t="shared" si="2"/>
        <v>7.5843761850587785E-4</v>
      </c>
      <c r="X6" s="146">
        <f t="shared" si="2"/>
        <v>8.9806915132465196E-4</v>
      </c>
      <c r="Y6" s="146">
        <f t="shared" si="2"/>
        <v>7.8719496195224351E-4</v>
      </c>
      <c r="Z6" s="146">
        <f t="shared" si="2"/>
        <v>2.8397565922920892E-3</v>
      </c>
      <c r="AA6" s="146">
        <f t="shared" si="2"/>
        <v>1.090909090909091E-3</v>
      </c>
      <c r="AB6" s="146">
        <f t="shared" si="2"/>
        <v>1.3855213023900243E-3</v>
      </c>
      <c r="AC6" s="146">
        <f t="shared" si="2"/>
        <v>1.0634526763559022E-3</v>
      </c>
      <c r="AD6" s="146" t="e">
        <f t="shared" si="2"/>
        <v>#DIV/0!</v>
      </c>
      <c r="AE6" s="146" t="e">
        <f t="shared" si="2"/>
        <v>#DIV/0!</v>
      </c>
      <c r="AF6" s="146" t="e">
        <f t="shared" si="2"/>
        <v>#DIV/0!</v>
      </c>
      <c r="AG6" s="146" t="e">
        <f t="shared" si="2"/>
        <v>#DIV/0!</v>
      </c>
      <c r="AH6" s="146" t="e">
        <f t="shared" si="2"/>
        <v>#DIV/0!</v>
      </c>
      <c r="AI6" s="146" t="e">
        <f t="shared" si="2"/>
        <v>#DIV/0!</v>
      </c>
      <c r="AJ6" s="146" t="e">
        <f t="shared" si="2"/>
        <v>#DIV/0!</v>
      </c>
      <c r="AK6" s="146" t="e">
        <f t="shared" si="2"/>
        <v>#DIV/0!</v>
      </c>
      <c r="AL6" s="146">
        <f t="shared" si="2"/>
        <v>2.5135599947082947E-3</v>
      </c>
      <c r="AM6" s="146">
        <f>AM5/AM4</f>
        <v>1.6320723133578842E-3</v>
      </c>
      <c r="AN6" s="146">
        <f t="shared" si="2"/>
        <v>1.5563489883731576E-3</v>
      </c>
      <c r="AO6" s="11"/>
      <c r="AP6" s="11"/>
      <c r="AQ6" s="11"/>
      <c r="AR6" s="11"/>
      <c r="AS6" s="11"/>
      <c r="AT6" s="11"/>
      <c r="AU6" s="11"/>
      <c r="AV6" s="11"/>
      <c r="AW6" s="11"/>
    </row>
    <row r="7" spans="1:50" ht="18">
      <c r="A7" t="s">
        <v>22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2</v>
      </c>
      <c r="M7" s="2">
        <v>0</v>
      </c>
      <c r="N7" s="2">
        <f>COUNTIFS(
[3]流入チャネル別顧客一覧_ユニーク!$C:$C,"&gt;="&amp;DATE(2025,3,1),
[3]流入チャネル別顧客一覧_ユニーク!$C:$C,"&lt;"&amp;DATE(2026,3,1),
[3]流入チャネル別顧客一覧_ユニーク!$R:$R,"&gt;="&amp;EOMONTH(N$3,-1)+1,
[3]流入チャネル別顧客一覧_ユニーク!$R:$R,"&lt;"&amp;EOMONTH(N$3,0)+1
)</f>
        <v>0</v>
      </c>
      <c r="O7" s="2">
        <f>COUNTIFS(
[3]流入チャネル別顧客一覧_ユニーク!$C:$C,"&gt;="&amp;DATE(2025,3,1),
[3]流入チャネル別顧客一覧_ユニーク!$C:$C,"&lt;"&amp;DATE(2026,3,1),
[3]流入チャネル別顧客一覧_ユニーク!$R:$R,"&gt;="&amp;EOMONTH(O$3,-1)+1,
[3]流入チャネル別顧客一覧_ユニーク!$R:$R,"&lt;"&amp;EOMONTH(O$3,0)+1
)</f>
        <v>0</v>
      </c>
      <c r="P7" s="2">
        <f>COUNTIFS(
[3]流入チャネル別顧客一覧_ユニーク!$C:$C,"&gt;="&amp;DATE(2025,3,1),
[3]流入チャネル別顧客一覧_ユニーク!$C:$C,"&lt;"&amp;DATE(2026,3,1),
[3]流入チャネル別顧客一覧_ユニーク!$R:$R,"&gt;="&amp;EOMONTH(P$3,-1)+1,
[3]流入チャネル別顧客一覧_ユニーク!$R:$R,"&lt;"&amp;EOMONTH(P$3,0)+1
)</f>
        <v>3</v>
      </c>
      <c r="Q7" s="2">
        <f>COUNTIFS(
[3]流入チャネル別顧客一覧_ユニーク!$C:$C,"&gt;="&amp;DATE(2025,3,1),
[3]流入チャネル別顧客一覧_ユニーク!$C:$C,"&lt;"&amp;DATE(2026,3,1),
[3]流入チャネル別顧客一覧_ユニーク!$R:$R,"&gt;="&amp;EOMONTH(Q$3,-1)+1,
[3]流入チャネル別顧客一覧_ユニーク!$R:$R,"&lt;"&amp;EOMONTH(Q$3,0)+1
)</f>
        <v>1</v>
      </c>
      <c r="R7" s="2">
        <f>COUNTIFS(
[3]流入チャネル別顧客一覧_ユニーク!$C:$C,"&gt;="&amp;DATE(2025,3,1),
[3]流入チャネル別顧客一覧_ユニーク!$C:$C,"&lt;"&amp;DATE(2026,3,1),
[3]流入チャネル別顧客一覧_ユニーク!$R:$R,"&gt;="&amp;EOMONTH(R$3,-1)+1,
[3]流入チャネル別顧客一覧_ユニーク!$R:$R,"&lt;"&amp;EOMONTH(R$3,0)+1
)</f>
        <v>0</v>
      </c>
      <c r="S7" s="2">
        <f>COUNTIFS(
[3]流入チャネル別顧客一覧_ユニーク!$C:$C,"&gt;="&amp;DATE(2025,3,1),
[3]流入チャネル別顧客一覧_ユニーク!$C:$C,"&lt;"&amp;DATE(2026,3,1),
[3]流入チャネル別顧客一覧_ユニーク!$R:$R,"&gt;="&amp;EOMONTH(S$3,-1)+1,
[3]流入チャネル別顧客一覧_ユニーク!$R:$R,"&lt;"&amp;EOMONTH(S$3,0)+1
)</f>
        <v>0</v>
      </c>
      <c r="T7" s="2">
        <f>COUNTIFS(
[3]流入チャネル別顧客一覧_ユニーク!$C:$C,"&gt;="&amp;DATE(2025,3,1),
[3]流入チャネル別顧客一覧_ユニーク!$C:$C,"&lt;"&amp;DATE(2026,3,1),
[3]流入チャネル別顧客一覧_ユニーク!$R:$R,"&gt;="&amp;EOMONTH(T$3,-1)+1,
[3]流入チャネル別顧客一覧_ユニーク!$R:$R,"&lt;"&amp;EOMONTH(T$3,0)+1
)</f>
        <v>0</v>
      </c>
      <c r="U7" s="2">
        <f>COUNTIFS(
[3]流入チャネル別顧客一覧_ユニーク!$C:$C,"&gt;="&amp;DATE(2025,3,1),
[3]流入チャネル別顧客一覧_ユニーク!$C:$C,"&lt;"&amp;DATE(2026,3,1),
[3]流入チャネル別顧客一覧_ユニーク!$R:$R,"&gt;="&amp;EOMONTH(U$3,-1)+1,
[3]流入チャネル別顧客一覧_ユニーク!$R:$R,"&lt;"&amp;EOMONTH(U$3,0)+1
)</f>
        <v>2</v>
      </c>
      <c r="V7" s="2">
        <f>COUNTIFS(
[3]流入チャネル別顧客一覧_ユニーク!$C:$C,"&gt;="&amp;DATE(2025,3,1),
[3]流入チャネル別顧客一覧_ユニーク!$C:$C,"&lt;"&amp;DATE(2026,3,1),
[3]流入チャネル別顧客一覧_ユニーク!$R:$R,"&gt;="&amp;EOMONTH(V$3,-1)+1,
[3]流入チャネル別顧客一覧_ユニーク!$R:$R,"&lt;"&amp;EOMONTH(V$3,0)+1
)</f>
        <v>0</v>
      </c>
      <c r="W7" s="2">
        <f>COUNTIFS(
[3]流入チャネル別顧客一覧_ユニーク!$C:$C,"&gt;="&amp;DATE(2025,3,1),
[3]流入チャネル別顧客一覧_ユニーク!$C:$C,"&lt;"&amp;DATE(2026,3,1),
[3]流入チャネル別顧客一覧_ユニーク!$R:$R,"&gt;="&amp;EOMONTH(W$3,-1)+1,
[3]流入チャネル別顧客一覧_ユニーク!$R:$R,"&lt;"&amp;EOMONTH(W$3,0)+1
)</f>
        <v>1</v>
      </c>
      <c r="X7" s="2">
        <f>COUNTIFS(
[3]流入チャネル別顧客一覧_ユニーク!$C:$C,"&gt;="&amp;DATE(2025,3,1),
[3]流入チャネル別顧客一覧_ユニーク!$C:$C,"&lt;"&amp;DATE(2026,3,1),
[3]流入チャネル別顧客一覧_ユニーク!$R:$R,"&gt;="&amp;EOMONTH(X$3,-1)+1,
[3]流入チャネル別顧客一覧_ユニーク!$R:$R,"&lt;"&amp;EOMONTH(X$3,0)+1
)</f>
        <v>0</v>
      </c>
      <c r="Y7" s="2">
        <f>COUNTIFS(
[3]流入チャネル別顧客一覧_ユニーク!$C:$C,"&gt;="&amp;DATE(2025,3,1),
[3]流入チャネル別顧客一覧_ユニーク!$C:$C,"&lt;"&amp;DATE(2026,3,1),
[3]流入チャネル別顧客一覧_ユニーク!$R:$R,"&gt;="&amp;EOMONTH(Y$3,-1)+1,
[3]流入チャネル別顧客一覧_ユニーク!$R:$R,"&lt;"&amp;EOMONTH(Y$3,0)+1
)</f>
        <v>0</v>
      </c>
      <c r="Z7" s="2">
        <f>COUNTIFS(
[3]流入チャネル別顧客一覧_ユニーク!$C:$C,"&gt;="&amp;DATE(2026,3,1),
[3]流入チャネル別顧客一覧_ユニーク!$C:$C,"&lt;"&amp;DATE(2027,3,1),
[3]流入チャネル別顧客一覧_ユニーク!$R:$R,"&gt;="&amp;EOMONTH(Z$3,-1)+1,
[3]流入チャネル別顧客一覧_ユニーク!$R:$R,"&lt;"&amp;EOMONTH(Z$3,0)+1
)</f>
        <v>0</v>
      </c>
      <c r="AA7" s="2">
        <f>COUNTIFS(
[3]流入チャネル別顧客一覧_ユニーク!$C:$C,"&gt;="&amp;DATE(2026,3,1),
[3]流入チャネル別顧客一覧_ユニーク!$C:$C,"&lt;"&amp;DATE(2027,3,1),
[3]流入チャネル別顧客一覧_ユニーク!$R:$R,"&gt;="&amp;EOMONTH(AA$3,-1)+1,
[3]流入チャネル別顧客一覧_ユニーク!$R:$R,"&lt;"&amp;EOMONTH(AA$3,0)+1
)</f>
        <v>0</v>
      </c>
      <c r="AB7" s="2">
        <f>COUNTIFS(
[3]流入チャネル別顧客一覧_ユニーク!$C:$C,"&gt;="&amp;DATE(2026,3,1),
[3]流入チャネル別顧客一覧_ユニーク!$C:$C,"&lt;"&amp;DATE(2027,3,1),
[3]流入チャネル別顧客一覧_ユニーク!$R:$R,"&gt;="&amp;EOMONTH(AB$3,-1)+1,
[3]流入チャネル別顧客一覧_ユニーク!$R:$R,"&lt;"&amp;EOMONTH(AB$3,0)+1
)</f>
        <v>1</v>
      </c>
      <c r="AC7" s="2">
        <f>COUNTIFS(
[3]流入チャネル別顧客一覧_ユニーク!$C:$C,"&gt;="&amp;DATE(2026,3,1),
[3]流入チャネル別顧客一覧_ユニーク!$C:$C,"&lt;"&amp;DATE(2027,3,1),
[3]流入チャネル別顧客一覧_ユニーク!$R:$R,"&gt;="&amp;EOMONTH(AC$3,-1)+1,
[3]流入チャネル別顧客一覧_ユニーク!$R:$R,"&lt;"&amp;EOMONTH(AC$3,0)+1
)</f>
        <v>0</v>
      </c>
      <c r="AD7" s="2">
        <f>COUNTIFS(
[3]流入チャネル別顧客一覧_ユニーク!$C:$C,"&gt;="&amp;DATE(2026,3,1),
[3]流入チャネル別顧客一覧_ユニーク!$C:$C,"&lt;"&amp;DATE(2027,3,1),
[3]流入チャネル別顧客一覧_ユニーク!$R:$R,"&gt;="&amp;EOMONTH(AD$3,-1)+1,
[3]流入チャネル別顧客一覧_ユニーク!$R:$R,"&lt;"&amp;EOMONTH(AD$3,0)+1
)</f>
        <v>0</v>
      </c>
      <c r="AE7" s="2">
        <f>COUNTIFS(
[3]流入チャネル別顧客一覧_ユニーク!$C:$C,"&gt;="&amp;DATE(2026,3,1),
[3]流入チャネル別顧客一覧_ユニーク!$C:$C,"&lt;"&amp;DATE(2027,3,1),
[3]流入チャネル別顧客一覧_ユニーク!$R:$R,"&gt;="&amp;EOMONTH(AE$3,-1)+1,
[3]流入チャネル別顧客一覧_ユニーク!$R:$R,"&lt;"&amp;EOMONTH(AE$3,0)+1
)</f>
        <v>0</v>
      </c>
      <c r="AF7" s="2">
        <f>COUNTIFS(
[3]流入チャネル別顧客一覧_ユニーク!$C:$C,"&gt;="&amp;DATE(2026,3,1),
[3]流入チャネル別顧客一覧_ユニーク!$C:$C,"&lt;"&amp;DATE(2027,3,1),
[3]流入チャネル別顧客一覧_ユニーク!$R:$R,"&gt;="&amp;EOMONTH(AF$3,-1)+1,
[3]流入チャネル別顧客一覧_ユニーク!$R:$R,"&lt;"&amp;EOMONTH(AF$3,0)+1
)</f>
        <v>0</v>
      </c>
      <c r="AG7" s="2">
        <f>COUNTIFS(
[3]流入チャネル別顧客一覧_ユニーク!$C:$C,"&gt;="&amp;DATE(2026,3,1),
[3]流入チャネル別顧客一覧_ユニーク!$C:$C,"&lt;"&amp;DATE(2027,3,1),
[3]流入チャネル別顧客一覧_ユニーク!$R:$R,"&gt;="&amp;EOMONTH(AG$3,-1)+1,
[3]流入チャネル別顧客一覧_ユニーク!$R:$R,"&lt;"&amp;EOMONTH(AG$3,0)+1
)</f>
        <v>0</v>
      </c>
      <c r="AH7" s="2">
        <f>COUNTIFS(
[3]流入チャネル別顧客一覧_ユニーク!$C:$C,"&gt;="&amp;DATE(2026,3,1),
[3]流入チャネル別顧客一覧_ユニーク!$C:$C,"&lt;"&amp;DATE(2027,3,1),
[3]流入チャネル別顧客一覧_ユニーク!$R:$R,"&gt;="&amp;EOMONTH(AH$3,-1)+1,
[3]流入チャネル別顧客一覧_ユニーク!$R:$R,"&lt;"&amp;EOMONTH(AH$3,0)+1
)</f>
        <v>0</v>
      </c>
      <c r="AI7" s="2">
        <f>COUNTIFS(
[3]流入チャネル別顧客一覧_ユニーク!$C:$C,"&gt;="&amp;DATE(2026,3,1),
[3]流入チャネル別顧客一覧_ユニーク!$C:$C,"&lt;"&amp;DATE(2027,3,1),
[3]流入チャネル別顧客一覧_ユニーク!$R:$R,"&gt;="&amp;EOMONTH(AI$3,-1)+1,
[3]流入チャネル別顧客一覧_ユニーク!$R:$R,"&lt;"&amp;EOMONTH(AI$3,0)+1
)</f>
        <v>0</v>
      </c>
      <c r="AJ7" s="2">
        <f>COUNTIFS(
[3]流入チャネル別顧客一覧_ユニーク!$C:$C,"&gt;="&amp;DATE(2026,3,1),
[3]流入チャネル別顧客一覧_ユニーク!$C:$C,"&lt;"&amp;DATE(2027,3,1),
[3]流入チャネル別顧客一覧_ユニーク!$R:$R,"&gt;="&amp;EOMONTH(AJ$3,-1)+1,
[3]流入チャネル別顧客一覧_ユニーク!$R:$R,"&lt;"&amp;EOMONTH(AJ$3,0)+1
)</f>
        <v>0</v>
      </c>
      <c r="AK7" s="2">
        <f>COUNTIFS(
[3]流入チャネル別顧客一覧_ユニーク!$C:$C,"&gt;="&amp;DATE(2026,3,1),
[3]流入チャネル別顧客一覧_ユニーク!$C:$C,"&lt;"&amp;DATE(2027,3,1),
[3]流入チャネル別顧客一覧_ユニーク!$R:$R,"&gt;="&amp;EOMONTH(AK$3,-1)+1,
[3]流入チャネル別顧客一覧_ユニーク!$R:$R,"&lt;"&amp;EOMONTH(AK$3,0)+1
)</f>
        <v>0</v>
      </c>
      <c r="AM7" s="2">
        <f>SUM(N7:Y7)</f>
        <v>7</v>
      </c>
      <c r="AN7" s="2">
        <f t="shared" si="1"/>
        <v>1</v>
      </c>
    </row>
    <row r="8" spans="1:50" s="10" customFormat="1" ht="18">
      <c r="A8" s="10" t="s">
        <v>23</v>
      </c>
      <c r="B8" s="11" t="s">
        <v>19</v>
      </c>
      <c r="C8" s="11" t="s">
        <v>19</v>
      </c>
      <c r="D8" s="11" t="s">
        <v>19</v>
      </c>
      <c r="E8" s="12" t="s">
        <v>19</v>
      </c>
      <c r="F8" s="12" t="s">
        <v>19</v>
      </c>
      <c r="G8" s="12" t="str">
        <f>IF(G7=0,"0%",G7/G5)</f>
        <v>0%</v>
      </c>
      <c r="H8" s="12" t="str">
        <f t="shared" ref="H8:N8" si="3">IF(H7=0,"0%",H7/H5)</f>
        <v>0%</v>
      </c>
      <c r="I8" s="12" t="str">
        <f t="shared" si="3"/>
        <v>0%</v>
      </c>
      <c r="J8" s="12" t="str">
        <f t="shared" si="3"/>
        <v>0%</v>
      </c>
      <c r="K8" s="12" t="str">
        <f t="shared" si="3"/>
        <v>0%</v>
      </c>
      <c r="L8" s="12">
        <f t="shared" si="3"/>
        <v>0.66666666666666663</v>
      </c>
      <c r="M8" s="12" t="str">
        <f>IF(M7=0,"0%",M7/M5)</f>
        <v>0%</v>
      </c>
      <c r="N8" s="12" t="str">
        <f t="shared" si="3"/>
        <v>0%</v>
      </c>
      <c r="O8" s="12" t="str">
        <f t="shared" ref="O8:Y8" si="4">IF(O7=0,"0%",O7/O5)</f>
        <v>0%</v>
      </c>
      <c r="P8" s="12">
        <f t="shared" si="4"/>
        <v>0.6</v>
      </c>
      <c r="Q8" s="12">
        <f t="shared" si="4"/>
        <v>0.14285714285714285</v>
      </c>
      <c r="R8" s="12" t="str">
        <f t="shared" si="4"/>
        <v>0%</v>
      </c>
      <c r="S8" s="12" t="str">
        <f t="shared" si="4"/>
        <v>0%</v>
      </c>
      <c r="T8" s="12" t="str">
        <f t="shared" si="4"/>
        <v>0%</v>
      </c>
      <c r="U8" s="12">
        <f t="shared" si="4"/>
        <v>2</v>
      </c>
      <c r="V8" s="12" t="str">
        <f t="shared" si="4"/>
        <v>0%</v>
      </c>
      <c r="W8" s="12">
        <f t="shared" si="4"/>
        <v>0.5</v>
      </c>
      <c r="X8" s="12" t="str">
        <f t="shared" si="4"/>
        <v>0%</v>
      </c>
      <c r="Y8" s="12" t="str">
        <f t="shared" si="4"/>
        <v>0%</v>
      </c>
      <c r="Z8" s="12" t="str">
        <f t="shared" ref="Z8:AK8" si="5">IF(Z7=0,"0%",Z7/Z5)</f>
        <v>0%</v>
      </c>
      <c r="AA8" s="12" t="str">
        <f t="shared" si="5"/>
        <v>0%</v>
      </c>
      <c r="AB8" s="12">
        <f t="shared" si="5"/>
        <v>0.25</v>
      </c>
      <c r="AC8" s="12" t="str">
        <f t="shared" si="5"/>
        <v>0%</v>
      </c>
      <c r="AD8" s="12" t="str">
        <f t="shared" si="5"/>
        <v>0%</v>
      </c>
      <c r="AE8" s="12" t="str">
        <f t="shared" si="5"/>
        <v>0%</v>
      </c>
      <c r="AF8" s="12" t="str">
        <f t="shared" si="5"/>
        <v>0%</v>
      </c>
      <c r="AG8" s="12" t="str">
        <f t="shared" si="5"/>
        <v>0%</v>
      </c>
      <c r="AH8" s="12" t="str">
        <f t="shared" si="5"/>
        <v>0%</v>
      </c>
      <c r="AI8" s="12" t="str">
        <f t="shared" si="5"/>
        <v>0%</v>
      </c>
      <c r="AJ8" s="12" t="str">
        <f t="shared" si="5"/>
        <v>0%</v>
      </c>
      <c r="AK8" s="12" t="str">
        <f t="shared" si="5"/>
        <v>0%</v>
      </c>
      <c r="AL8" s="8"/>
      <c r="AM8" s="11"/>
      <c r="AN8" s="12">
        <f t="shared" ref="AN8" si="6">IF(AN7=0,"0%",AN7/AN5)</f>
        <v>5.8823529411764705E-2</v>
      </c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ht="18">
      <c r="A9" s="1" t="s">
        <v>24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2</v>
      </c>
      <c r="N9" s="2">
        <f>COUNTIFS(
[3]流入チャネル別顧客一覧_ユニーク!$C:$C,"&gt;="&amp;DATE(2025,3,1),
[3]流入チャネル別顧客一覧_ユニーク!$C:$C,"&lt;"&amp;DATE(2026,3,1),
[3]流入チャネル別顧客一覧_ユニーク!$S:$S,"&gt;="&amp;EOMONTH(N$3,-1)+1,
[3]流入チャネル別顧客一覧_ユニーク!$S:$S,"&lt;"&amp;EOMONTH(N$3,0)+1
)</f>
        <v>0</v>
      </c>
      <c r="O9" s="2">
        <f>COUNTIFS(
[3]流入チャネル別顧客一覧_ユニーク!$C:$C,"&gt;="&amp;DATE(2025,3,1),
[3]流入チャネル別顧客一覧_ユニーク!$C:$C,"&lt;"&amp;DATE(2026,3,1),
[3]流入チャネル別顧客一覧_ユニーク!$S:$S,"&gt;="&amp;EOMONTH(O$3,-1)+1,
[3]流入チャネル別顧客一覧_ユニーク!$S:$S,"&lt;"&amp;EOMONTH(O$3,0)+1
)</f>
        <v>0</v>
      </c>
      <c r="P9" s="2">
        <f>COUNTIFS(
[3]流入チャネル別顧客一覧_ユニーク!$C:$C,"&gt;="&amp;DATE(2025,3,1),
[3]流入チャネル別顧客一覧_ユニーク!$C:$C,"&lt;"&amp;DATE(2026,3,1),
[3]流入チャネル別顧客一覧_ユニーク!$S:$S,"&gt;="&amp;EOMONTH(P$3,-1)+1,
[3]流入チャネル別顧客一覧_ユニーク!$S:$S,"&lt;"&amp;EOMONTH(P$3,0)+1
)</f>
        <v>3</v>
      </c>
      <c r="Q9" s="2">
        <f>COUNTIFS(
[3]流入チャネル別顧客一覧_ユニーク!$C:$C,"&gt;="&amp;DATE(2025,3,1),
[3]流入チャネル別顧客一覧_ユニーク!$C:$C,"&lt;"&amp;DATE(2026,3,1),
[3]流入チャネル別顧客一覧_ユニーク!$S:$S,"&gt;="&amp;EOMONTH(Q$3,-1)+1,
[3]流入チャネル別顧客一覧_ユニーク!$S:$S,"&lt;"&amp;EOMONTH(Q$3,0)+1
)</f>
        <v>0</v>
      </c>
      <c r="R9" s="2">
        <f>COUNTIFS(
[3]流入チャネル別顧客一覧_ユニーク!$C:$C,"&gt;="&amp;DATE(2025,3,1),
[3]流入チャネル別顧客一覧_ユニーク!$C:$C,"&lt;"&amp;DATE(2026,3,1),
[3]流入チャネル別顧客一覧_ユニーク!$S:$S,"&gt;="&amp;EOMONTH(R$3,-1)+1,
[3]流入チャネル別顧客一覧_ユニーク!$S:$S,"&lt;"&amp;EOMONTH(R$3,0)+1
)</f>
        <v>1</v>
      </c>
      <c r="S9" s="2">
        <f>COUNTIFS(
[3]流入チャネル別顧客一覧_ユニーク!$C:$C,"&gt;="&amp;DATE(2025,3,1),
[3]流入チャネル別顧客一覧_ユニーク!$C:$C,"&lt;"&amp;DATE(2026,3,1),
[3]流入チャネル別顧客一覧_ユニーク!$S:$S,"&gt;="&amp;EOMONTH(S$3,-1)+1,
[3]流入チャネル別顧客一覧_ユニーク!$S:$S,"&lt;"&amp;EOMONTH(S$3,0)+1
)</f>
        <v>0</v>
      </c>
      <c r="T9" s="2">
        <f>COUNTIFS(
[3]流入チャネル別顧客一覧_ユニーク!$C:$C,"&gt;="&amp;DATE(2025,3,1),
[3]流入チャネル別顧客一覧_ユニーク!$C:$C,"&lt;"&amp;DATE(2026,3,1),
[3]流入チャネル別顧客一覧_ユニーク!$S:$S,"&gt;="&amp;EOMONTH(T$3,-1)+1,
[3]流入チャネル別顧客一覧_ユニーク!$S:$S,"&lt;"&amp;EOMONTH(T$3,0)+1
)</f>
        <v>0</v>
      </c>
      <c r="U9" s="2">
        <f>COUNTIFS(
[3]流入チャネル別顧客一覧_ユニーク!$C:$C,"&gt;="&amp;DATE(2025,3,1),
[3]流入チャネル別顧客一覧_ユニーク!$C:$C,"&lt;"&amp;DATE(2026,3,1),
[3]流入チャネル別顧客一覧_ユニーク!$S:$S,"&gt;="&amp;EOMONTH(U$3,-1)+1,
[3]流入チャネル別顧客一覧_ユニーク!$S:$S,"&lt;"&amp;EOMONTH(U$3,0)+1
)</f>
        <v>0</v>
      </c>
      <c r="V9" s="2">
        <f>COUNTIFS(
[3]流入チャネル別顧客一覧_ユニーク!$C:$C,"&gt;="&amp;DATE(2025,3,1),
[3]流入チャネル別顧客一覧_ユニーク!$C:$C,"&lt;"&amp;DATE(2026,3,1),
[3]流入チャネル別顧客一覧_ユニーク!$S:$S,"&gt;="&amp;EOMONTH(V$3,-1)+1,
[3]流入チャネル別顧客一覧_ユニーク!$S:$S,"&lt;"&amp;EOMONTH(V$3,0)+1
)</f>
        <v>0</v>
      </c>
      <c r="W9" s="2">
        <f>COUNTIFS(
[3]流入チャネル別顧客一覧_ユニーク!$C:$C,"&gt;="&amp;DATE(2025,3,1),
[3]流入チャネル別顧客一覧_ユニーク!$C:$C,"&lt;"&amp;DATE(2026,3,1),
[3]流入チャネル別顧客一覧_ユニーク!$S:$S,"&gt;="&amp;EOMONTH(W$3,-1)+1,
[3]流入チャネル別顧客一覧_ユニーク!$S:$S,"&lt;"&amp;EOMONTH(W$3,0)+1
)</f>
        <v>0</v>
      </c>
      <c r="X9" s="2">
        <f>COUNTIFS(
[3]流入チャネル別顧客一覧_ユニーク!$C:$C,"&gt;="&amp;DATE(2025,3,1),
[3]流入チャネル別顧客一覧_ユニーク!$C:$C,"&lt;"&amp;DATE(2026,3,1),
[3]流入チャネル別顧客一覧_ユニーク!$S:$S,"&gt;="&amp;EOMONTH(X$3,-1)+1,
[3]流入チャネル別顧客一覧_ユニーク!$S:$S,"&lt;"&amp;EOMONTH(X$3,0)+1
)</f>
        <v>2</v>
      </c>
      <c r="Y9" s="2">
        <f>COUNTIFS(
[3]流入チャネル別顧客一覧_ユニーク!$C:$C,"&gt;="&amp;DATE(2025,3,1),
[3]流入チャネル別顧客一覧_ユニーク!$C:$C,"&lt;"&amp;DATE(2026,3,1),
[3]流入チャネル別顧客一覧_ユニーク!$S:$S,"&gt;="&amp;EOMONTH(Y$3,-1)+1,
[3]流入チャネル別顧客一覧_ユニーク!$S:$S,"&lt;"&amp;EOMONTH(Y$3,0)+1
)</f>
        <v>1</v>
      </c>
      <c r="Z9" s="2">
        <f>COUNTIFS(
[3]流入チャネル別顧客一覧_ユニーク!$C:$C,"&gt;="&amp;DATE(2026,3,1),
[3]流入チャネル別顧客一覧_ユニーク!$C:$C,"&lt;"&amp;DATE(2027,3,1),
[3]流入チャネル別顧客一覧_ユニーク!$S:$S,"&gt;="&amp;EOMONTH(Z$3,-1)+1,
[3]流入チャネル別顧客一覧_ユニーク!$S:$S,"&lt;"&amp;EOMONTH(Z$3,0)+1
)</f>
        <v>0</v>
      </c>
      <c r="AA9" s="2">
        <f>COUNTIFS(
[3]流入チャネル別顧客一覧_ユニーク!$C:$C,"&gt;="&amp;DATE(2026,3,1),
[3]流入チャネル別顧客一覧_ユニーク!$C:$C,"&lt;"&amp;DATE(2027,3,1),
[3]流入チャネル別顧客一覧_ユニーク!$S:$S,"&gt;="&amp;EOMONTH(AA$3,-1)+1,
[3]流入チャネル別顧客一覧_ユニーク!$S:$S,"&lt;"&amp;EOMONTH(AA$3,0)+1
)</f>
        <v>0</v>
      </c>
      <c r="AB9" s="2">
        <f>COUNTIFS(
[3]流入チャネル別顧客一覧_ユニーク!$C:$C,"&gt;="&amp;DATE(2026,3,1),
[3]流入チャネル別顧客一覧_ユニーク!$C:$C,"&lt;"&amp;DATE(2027,3,1),
[3]流入チャネル別顧客一覧_ユニーク!$S:$S,"&gt;="&amp;EOMONTH(AB$3,-1)+1,
[3]流入チャネル別顧客一覧_ユニーク!$S:$S,"&lt;"&amp;EOMONTH(AB$3,0)+1
)</f>
        <v>0</v>
      </c>
      <c r="AC9" s="2">
        <f>COUNTIFS(
[3]流入チャネル別顧客一覧_ユニーク!$C:$C,"&gt;="&amp;DATE(2026,3,1),
[3]流入チャネル別顧客一覧_ユニーク!$C:$C,"&lt;"&amp;DATE(2027,3,1),
[3]流入チャネル別顧客一覧_ユニーク!$S:$S,"&gt;="&amp;EOMONTH(AC$3,-1)+1,
[3]流入チャネル別顧客一覧_ユニーク!$S:$S,"&lt;"&amp;EOMONTH(AC$3,0)+1
)</f>
        <v>0</v>
      </c>
      <c r="AD9" s="2">
        <f>COUNTIFS(
[3]流入チャネル別顧客一覧_ユニーク!$C:$C,"&gt;="&amp;DATE(2026,3,1),
[3]流入チャネル別顧客一覧_ユニーク!$C:$C,"&lt;"&amp;DATE(2027,3,1),
[3]流入チャネル別顧客一覧_ユニーク!$S:$S,"&gt;="&amp;EOMONTH(AD$3,-1)+1,
[3]流入チャネル別顧客一覧_ユニーク!$S:$S,"&lt;"&amp;EOMONTH(AD$3,0)+1
)</f>
        <v>0</v>
      </c>
      <c r="AE9" s="2">
        <f>COUNTIFS(
[3]流入チャネル別顧客一覧_ユニーク!$C:$C,"&gt;="&amp;DATE(2026,3,1),
[3]流入チャネル別顧客一覧_ユニーク!$C:$C,"&lt;"&amp;DATE(2027,3,1),
[3]流入チャネル別顧客一覧_ユニーク!$S:$S,"&gt;="&amp;EOMONTH(AE$3,-1)+1,
[3]流入チャネル別顧客一覧_ユニーク!$S:$S,"&lt;"&amp;EOMONTH(AE$3,0)+1
)</f>
        <v>0</v>
      </c>
      <c r="AF9" s="2">
        <f>COUNTIFS(
[3]流入チャネル別顧客一覧_ユニーク!$C:$C,"&gt;="&amp;DATE(2026,3,1),
[3]流入チャネル別顧客一覧_ユニーク!$C:$C,"&lt;"&amp;DATE(2027,3,1),
[3]流入チャネル別顧客一覧_ユニーク!$S:$S,"&gt;="&amp;EOMONTH(AF$3,-1)+1,
[3]流入チャネル別顧客一覧_ユニーク!$S:$S,"&lt;"&amp;EOMONTH(AF$3,0)+1
)</f>
        <v>0</v>
      </c>
      <c r="AG9" s="2">
        <f>COUNTIFS(
[3]流入チャネル別顧客一覧_ユニーク!$C:$C,"&gt;="&amp;DATE(2026,3,1),
[3]流入チャネル別顧客一覧_ユニーク!$C:$C,"&lt;"&amp;DATE(2027,3,1),
[3]流入チャネル別顧客一覧_ユニーク!$S:$S,"&gt;="&amp;EOMONTH(AG$3,-1)+1,
[3]流入チャネル別顧客一覧_ユニーク!$S:$S,"&lt;"&amp;EOMONTH(AG$3,0)+1
)</f>
        <v>0</v>
      </c>
      <c r="AH9" s="2">
        <f>COUNTIFS(
[3]流入チャネル別顧客一覧_ユニーク!$C:$C,"&gt;="&amp;DATE(2026,3,1),
[3]流入チャネル別顧客一覧_ユニーク!$C:$C,"&lt;"&amp;DATE(2027,3,1),
[3]流入チャネル別顧客一覧_ユニーク!$S:$S,"&gt;="&amp;EOMONTH(AH$3,-1)+1,
[3]流入チャネル別顧客一覧_ユニーク!$S:$S,"&lt;"&amp;EOMONTH(AH$3,0)+1
)</f>
        <v>0</v>
      </c>
      <c r="AI9" s="2">
        <f>COUNTIFS(
[3]流入チャネル別顧客一覧_ユニーク!$C:$C,"&gt;="&amp;DATE(2026,3,1),
[3]流入チャネル別顧客一覧_ユニーク!$C:$C,"&lt;"&amp;DATE(2027,3,1),
[3]流入チャネル別顧客一覧_ユニーク!$S:$S,"&gt;="&amp;EOMONTH(AI$3,-1)+1,
[3]流入チャネル別顧客一覧_ユニーク!$S:$S,"&lt;"&amp;EOMONTH(AI$3,0)+1
)</f>
        <v>0</v>
      </c>
      <c r="AJ9" s="2">
        <f>COUNTIFS(
[3]流入チャネル別顧客一覧_ユニーク!$C:$C,"&gt;="&amp;DATE(2026,3,1),
[3]流入チャネル別顧客一覧_ユニーク!$C:$C,"&lt;"&amp;DATE(2027,3,1),
[3]流入チャネル別顧客一覧_ユニーク!$S:$S,"&gt;="&amp;EOMONTH(AJ$3,-1)+1,
[3]流入チャネル別顧客一覧_ユニーク!$S:$S,"&lt;"&amp;EOMONTH(AJ$3,0)+1
)</f>
        <v>0</v>
      </c>
      <c r="AK9" s="2">
        <f>COUNTIFS(
[3]流入チャネル別顧客一覧_ユニーク!$C:$C,"&gt;="&amp;DATE(2026,3,1),
[3]流入チャネル別顧客一覧_ユニーク!$C:$C,"&lt;"&amp;DATE(2027,3,1),
[3]流入チャネル別顧客一覧_ユニーク!$S:$S,"&gt;="&amp;EOMONTH(AK$3,-1)+1,
[3]流入チャネル別顧客一覧_ユニーク!$S:$S,"&lt;"&amp;EOMONTH(AK$3,0)+1
)</f>
        <v>0</v>
      </c>
      <c r="AL9" s="8">
        <f t="shared" si="0"/>
        <v>2</v>
      </c>
      <c r="AM9" s="2">
        <f>SUM(N9:Y9)</f>
        <v>7</v>
      </c>
      <c r="AN9" s="2">
        <f t="shared" si="1"/>
        <v>0</v>
      </c>
    </row>
    <row r="10" spans="1:50" s="10" customFormat="1" ht="18">
      <c r="A10" s="10" t="s">
        <v>25</v>
      </c>
      <c r="B10" s="11" t="s">
        <v>19</v>
      </c>
      <c r="C10" s="11" t="s">
        <v>19</v>
      </c>
      <c r="D10" s="11" t="s">
        <v>19</v>
      </c>
      <c r="E10" s="12" t="s">
        <v>19</v>
      </c>
      <c r="F10" s="12" t="s">
        <v>19</v>
      </c>
      <c r="G10" s="12" t="str">
        <f t="shared" ref="G10:N10" si="7">IF(G9=0,"0%",G9/G5)</f>
        <v>0%</v>
      </c>
      <c r="H10" s="12" t="str">
        <f t="shared" si="7"/>
        <v>0%</v>
      </c>
      <c r="I10" s="12" t="str">
        <f t="shared" si="7"/>
        <v>0%</v>
      </c>
      <c r="J10" s="12" t="str">
        <f t="shared" si="7"/>
        <v>0%</v>
      </c>
      <c r="K10" s="12" t="str">
        <f t="shared" si="7"/>
        <v>0%</v>
      </c>
      <c r="L10" s="12" t="str">
        <f t="shared" si="7"/>
        <v>0%</v>
      </c>
      <c r="M10" s="12">
        <f>IF(M9=0,"0%",M9/M5)</f>
        <v>0.66666666666666663</v>
      </c>
      <c r="N10" s="12" t="str">
        <f t="shared" si="7"/>
        <v>0%</v>
      </c>
      <c r="O10" s="12" t="str">
        <f t="shared" ref="O10:X10" si="8">IF(O9=0,"0%",O9/O5)</f>
        <v>0%</v>
      </c>
      <c r="P10" s="12">
        <f t="shared" si="8"/>
        <v>0.6</v>
      </c>
      <c r="Q10" s="12" t="str">
        <f t="shared" si="8"/>
        <v>0%</v>
      </c>
      <c r="R10" s="12" t="e">
        <f t="shared" si="8"/>
        <v>#DIV/0!</v>
      </c>
      <c r="S10" s="12" t="str">
        <f t="shared" si="8"/>
        <v>0%</v>
      </c>
      <c r="T10" s="12" t="str">
        <f t="shared" si="8"/>
        <v>0%</v>
      </c>
      <c r="U10" s="12" t="str">
        <f t="shared" si="8"/>
        <v>0%</v>
      </c>
      <c r="V10" s="12" t="str">
        <f t="shared" si="8"/>
        <v>0%</v>
      </c>
      <c r="W10" s="12" t="str">
        <f t="shared" si="8"/>
        <v>0%</v>
      </c>
      <c r="X10" s="12">
        <f t="shared" si="8"/>
        <v>1</v>
      </c>
      <c r="Y10" s="12">
        <f t="shared" ref="Y10:Z10" si="9">IF(Y9=0,"0%",Y9/Y5)</f>
        <v>0.33333333333333331</v>
      </c>
      <c r="Z10" s="12" t="str">
        <f t="shared" si="9"/>
        <v>0%</v>
      </c>
      <c r="AA10" s="12" t="str">
        <f t="shared" ref="AA10:AK10" si="10">IF(AA9=0,"0%",AA9/AA5)</f>
        <v>0%</v>
      </c>
      <c r="AB10" s="12" t="str">
        <f t="shared" si="10"/>
        <v>0%</v>
      </c>
      <c r="AC10" s="12" t="str">
        <f t="shared" si="10"/>
        <v>0%</v>
      </c>
      <c r="AD10" s="12" t="str">
        <f t="shared" si="10"/>
        <v>0%</v>
      </c>
      <c r="AE10" s="12" t="str">
        <f t="shared" si="10"/>
        <v>0%</v>
      </c>
      <c r="AF10" s="12" t="str">
        <f t="shared" si="10"/>
        <v>0%</v>
      </c>
      <c r="AG10" s="12" t="str">
        <f t="shared" si="10"/>
        <v>0%</v>
      </c>
      <c r="AH10" s="12" t="str">
        <f t="shared" si="10"/>
        <v>0%</v>
      </c>
      <c r="AI10" s="12" t="str">
        <f t="shared" si="10"/>
        <v>0%</v>
      </c>
      <c r="AJ10" s="12" t="str">
        <f t="shared" si="10"/>
        <v>0%</v>
      </c>
      <c r="AK10" s="12" t="str">
        <f t="shared" si="10"/>
        <v>0%</v>
      </c>
      <c r="AL10" s="8"/>
      <c r="AM10" s="11"/>
      <c r="AN10" s="12" t="str">
        <f t="shared" ref="AN10" si="11">IF(AN9=0,"0%",AN9/AN5)</f>
        <v>0%</v>
      </c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ht="18">
      <c r="A11" s="1" t="s">
        <v>26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19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f>COUNTIFS(
[3]流入チャネル別顧客一覧_ユニーク!$T:$T,"&gt;="&amp;EOMONTH(N$3,-1)+1,
[3]流入チャネル別顧客一覧_ユニーク!$T:$T,"&lt;"&amp;EOMONTH(N$3,0)+1
)</f>
        <v>1</v>
      </c>
      <c r="O11" s="2">
        <f>COUNTIFS(
[3]流入チャネル別顧客一覧_ユニーク!$T:$T,"&gt;="&amp;EOMONTH(O$3,-1)+1,
[3]流入チャネル別顧客一覧_ユニーク!$T:$T,"&lt;"&amp;EOMONTH(O$3,0)+1
)</f>
        <v>0</v>
      </c>
      <c r="P11" s="2">
        <f>COUNTIFS(
[3]流入チャネル別顧客一覧_ユニーク!$T:$T,"&gt;="&amp;EOMONTH(P$3,-1)+1,
[3]流入チャネル別顧客一覧_ユニーク!$T:$T,"&lt;"&amp;EOMONTH(P$3,0)+1
)</f>
        <v>0</v>
      </c>
      <c r="Q11" s="2">
        <f>COUNTIFS(
[3]流入チャネル別顧客一覧_ユニーク!$T:$T,"&gt;="&amp;EOMONTH(Q$3,-1)+1,
[3]流入チャネル別顧客一覧_ユニーク!$T:$T,"&lt;"&amp;EOMONTH(Q$3,0)+1
)</f>
        <v>0</v>
      </c>
      <c r="R11" s="2">
        <f>COUNTIFS(
[3]流入チャネル別顧客一覧_ユニーク!$T:$T,"&gt;="&amp;EOMONTH(R$3,-1)+1,
[3]流入チャネル別顧客一覧_ユニーク!$T:$T,"&lt;"&amp;EOMONTH(R$3,0)+1
)</f>
        <v>0</v>
      </c>
      <c r="S11" s="2">
        <f>COUNTIFS(
[3]流入チャネル別顧客一覧_ユニーク!$T:$T,"&gt;="&amp;EOMONTH(S$3,-1)+1,
[3]流入チャネル別顧客一覧_ユニーク!$T:$T,"&lt;"&amp;EOMONTH(S$3,0)+1
)</f>
        <v>0</v>
      </c>
      <c r="T11" s="2">
        <f>COUNTIFS(
[3]流入チャネル別顧客一覧_ユニーク!$T:$T,"&gt;="&amp;EOMONTH(T$3,-1)+1,
[3]流入チャネル別顧客一覧_ユニーク!$T:$T,"&lt;"&amp;EOMONTH(T$3,0)+1
)</f>
        <v>1</v>
      </c>
      <c r="U11" s="2">
        <f>COUNTIFS(
[3]流入チャネル別顧客一覧_ユニーク!$T:$T,"&gt;="&amp;EOMONTH(U$3,-1)+1,
[3]流入チャネル別顧客一覧_ユニーク!$T:$T,"&lt;"&amp;EOMONTH(U$3,0)+1
)</f>
        <v>0</v>
      </c>
      <c r="V11" s="2">
        <f>COUNTIFS(
[3]流入チャネル別顧客一覧_ユニーク!$T:$T,"&gt;="&amp;EOMONTH(V$3,-1)+1,
[3]流入チャネル別顧客一覧_ユニーク!$T:$T,"&lt;"&amp;EOMONTH(V$3,0)+1
)</f>
        <v>0</v>
      </c>
      <c r="W11" s="2">
        <f>COUNTIFS(
[3]流入チャネル別顧客一覧_ユニーク!$T:$T,"&gt;="&amp;EOMONTH(W$3,-1)+1,
[3]流入チャネル別顧客一覧_ユニーク!$T:$T,"&lt;"&amp;EOMONTH(W$3,0)+1
)</f>
        <v>0</v>
      </c>
      <c r="X11" s="2">
        <f>COUNTIFS(
[3]流入チャネル別顧客一覧_ユニーク!$T:$T,"&gt;="&amp;EOMONTH(X$3,-1)+1,
[3]流入チャネル別顧客一覧_ユニーク!$T:$T,"&lt;"&amp;EOMONTH(X$3,0)+1
)</f>
        <v>0</v>
      </c>
      <c r="Y11" s="2">
        <f>COUNTIFS(
[3]流入チャネル別顧客一覧_ユニーク!$T:$T,"&gt;="&amp;EOMONTH(Y$3,-1)+1,
[3]流入チャネル別顧客一覧_ユニーク!$T:$T,"&lt;"&amp;EOMONTH(Y$3,0)+1
)</f>
        <v>0</v>
      </c>
      <c r="Z11" s="2">
        <f>COUNTIFS(
[3]流入チャネル別顧客一覧_ユニーク!$T:$T,"&gt;="&amp;EOMONTH(Z$3,-1)+1,
[3]流入チャネル別顧客一覧_ユニーク!$T:$T,"&lt;"&amp;EOMONTH(Z$3,0)+1
)</f>
        <v>0</v>
      </c>
      <c r="AA11" s="2">
        <f>COUNTIFS(
[3]流入チャネル別顧客一覧_ユニーク!$T:$T,"&gt;="&amp;EOMONTH(AA$3,-1)+1,
[3]流入チャネル別顧客一覧_ユニーク!$T:$T,"&lt;"&amp;EOMONTH(AA$3,0)+1
)</f>
        <v>0</v>
      </c>
      <c r="AB11" s="2">
        <f>COUNTIFS(
[3]流入チャネル別顧客一覧_ユニーク!$T:$T,"&gt;="&amp;EOMONTH(AB$3,-1)+1,
[3]流入チャネル別顧客一覧_ユニーク!$T:$T,"&lt;"&amp;EOMONTH(AB$3,0)+1
)</f>
        <v>0</v>
      </c>
      <c r="AC11" s="2">
        <f>COUNTIFS(
[3]流入チャネル別顧客一覧_ユニーク!$T:$T,"&gt;="&amp;EOMONTH(AC$3,-1)+1,
[3]流入チャネル別顧客一覧_ユニーク!$T:$T,"&lt;"&amp;EOMONTH(AC$3,0)+1
)</f>
        <v>0</v>
      </c>
      <c r="AD11" s="2">
        <f>COUNTIFS(
[3]流入チャネル別顧客一覧_ユニーク!$T:$T,"&gt;="&amp;EOMONTH(AD$3,-1)+1,
[3]流入チャネル別顧客一覧_ユニーク!$T:$T,"&lt;"&amp;EOMONTH(AD$3,0)+1
)</f>
        <v>0</v>
      </c>
      <c r="AE11" s="2">
        <f>COUNTIFS(
[3]流入チャネル別顧客一覧_ユニーク!$T:$T,"&gt;="&amp;EOMONTH(AE$3,-1)+1,
[3]流入チャネル別顧客一覧_ユニーク!$T:$T,"&lt;"&amp;EOMONTH(AE$3,0)+1
)</f>
        <v>0</v>
      </c>
      <c r="AF11" s="2">
        <f>COUNTIFS(
[3]流入チャネル別顧客一覧_ユニーク!$T:$T,"&gt;="&amp;EOMONTH(AF$3,-1)+1,
[3]流入チャネル別顧客一覧_ユニーク!$T:$T,"&lt;"&amp;EOMONTH(AF$3,0)+1
)</f>
        <v>0</v>
      </c>
      <c r="AG11" s="2">
        <f>COUNTIFS(
[3]流入チャネル別顧客一覧_ユニーク!$T:$T,"&gt;="&amp;EOMONTH(AG$3,-1)+1,
[3]流入チャネル別顧客一覧_ユニーク!$T:$T,"&lt;"&amp;EOMONTH(AG$3,0)+1
)</f>
        <v>0</v>
      </c>
      <c r="AH11" s="2">
        <f>COUNTIFS(
[3]流入チャネル別顧客一覧_ユニーク!$T:$T,"&gt;="&amp;EOMONTH(AH$3,-1)+1,
[3]流入チャネル別顧客一覧_ユニーク!$T:$T,"&lt;"&amp;EOMONTH(AH$3,0)+1
)</f>
        <v>0</v>
      </c>
      <c r="AI11" s="2">
        <f>COUNTIFS(
[3]流入チャネル別顧客一覧_ユニーク!$T:$T,"&gt;="&amp;EOMONTH(AI$3,-1)+1,
[3]流入チャネル別顧客一覧_ユニーク!$T:$T,"&lt;"&amp;EOMONTH(AI$3,0)+1
)</f>
        <v>0</v>
      </c>
      <c r="AJ11" s="2">
        <f>COUNTIFS(
[3]流入チャネル別顧客一覧_ユニーク!$T:$T,"&gt;="&amp;EOMONTH(AJ$3,-1)+1,
[3]流入チャネル別顧客一覧_ユニーク!$T:$T,"&lt;"&amp;EOMONTH(AJ$3,0)+1
)</f>
        <v>0</v>
      </c>
      <c r="AK11" s="2">
        <f>COUNTIFS(
[3]流入チャネル別顧客一覧_ユニーク!$T:$T,"&gt;="&amp;EOMONTH(AK$3,-1)+1,
[3]流入チャネル別顧客一覧_ユニーク!$T:$T,"&lt;"&amp;EOMONTH(AK$3,0)+1
)</f>
        <v>0</v>
      </c>
      <c r="AL11" s="8">
        <f t="shared" si="0"/>
        <v>0</v>
      </c>
      <c r="AM11" s="2">
        <f>SUM(N11:Y11)</f>
        <v>2</v>
      </c>
      <c r="AN11" s="2">
        <f t="shared" si="1"/>
        <v>0</v>
      </c>
    </row>
    <row r="12" spans="1:50" s="10" customFormat="1" ht="18">
      <c r="A12" s="10" t="s">
        <v>27</v>
      </c>
      <c r="B12" s="11" t="s">
        <v>19</v>
      </c>
      <c r="C12" s="11" t="s">
        <v>19</v>
      </c>
      <c r="D12" s="11" t="s">
        <v>19</v>
      </c>
      <c r="E12" s="12" t="s">
        <v>19</v>
      </c>
      <c r="F12" s="12" t="s">
        <v>19</v>
      </c>
      <c r="G12" s="12" t="str">
        <f t="shared" ref="G12:W12" si="12">IF(G11=0,"0%",G11/G5)</f>
        <v>0%</v>
      </c>
      <c r="H12" s="12" t="str">
        <f t="shared" si="12"/>
        <v>0%</v>
      </c>
      <c r="I12" s="12" t="str">
        <f t="shared" si="12"/>
        <v>0%</v>
      </c>
      <c r="J12" s="12" t="str">
        <f t="shared" si="12"/>
        <v>0%</v>
      </c>
      <c r="K12" s="12" t="str">
        <f t="shared" si="12"/>
        <v>0%</v>
      </c>
      <c r="L12" s="12" t="str">
        <f t="shared" si="12"/>
        <v>0%</v>
      </c>
      <c r="M12" s="12" t="str">
        <f t="shared" si="12"/>
        <v>0%</v>
      </c>
      <c r="N12" s="12">
        <f t="shared" si="12"/>
        <v>0.125</v>
      </c>
      <c r="O12" s="12" t="str">
        <f t="shared" si="12"/>
        <v>0%</v>
      </c>
      <c r="P12" s="12" t="str">
        <f t="shared" si="12"/>
        <v>0%</v>
      </c>
      <c r="Q12" s="12" t="str">
        <f t="shared" si="12"/>
        <v>0%</v>
      </c>
      <c r="R12" s="12" t="str">
        <f t="shared" si="12"/>
        <v>0%</v>
      </c>
      <c r="S12" s="12" t="str">
        <f t="shared" si="12"/>
        <v>0%</v>
      </c>
      <c r="T12" s="12">
        <f t="shared" si="12"/>
        <v>0.33333333333333331</v>
      </c>
      <c r="U12" s="12" t="str">
        <f t="shared" si="12"/>
        <v>0%</v>
      </c>
      <c r="V12" s="12" t="str">
        <f t="shared" si="12"/>
        <v>0%</v>
      </c>
      <c r="W12" s="12" t="str">
        <f t="shared" si="12"/>
        <v>0%</v>
      </c>
      <c r="X12" s="12" t="str">
        <f t="shared" ref="X12:Z12" si="13">IF(X11=0,"0%",X11/X5)</f>
        <v>0%</v>
      </c>
      <c r="Y12" s="12" t="str">
        <f t="shared" si="13"/>
        <v>0%</v>
      </c>
      <c r="Z12" s="12" t="str">
        <f t="shared" si="13"/>
        <v>0%</v>
      </c>
      <c r="AA12" s="12" t="str">
        <f t="shared" ref="AA12:AK12" si="14">IF(AA11=0,"0%",AA11/AA5)</f>
        <v>0%</v>
      </c>
      <c r="AB12" s="12" t="str">
        <f t="shared" si="14"/>
        <v>0%</v>
      </c>
      <c r="AC12" s="12" t="str">
        <f t="shared" si="14"/>
        <v>0%</v>
      </c>
      <c r="AD12" s="12" t="str">
        <f t="shared" si="14"/>
        <v>0%</v>
      </c>
      <c r="AE12" s="12" t="str">
        <f t="shared" si="14"/>
        <v>0%</v>
      </c>
      <c r="AF12" s="12" t="str">
        <f t="shared" si="14"/>
        <v>0%</v>
      </c>
      <c r="AG12" s="12" t="str">
        <f t="shared" si="14"/>
        <v>0%</v>
      </c>
      <c r="AH12" s="12" t="str">
        <f t="shared" si="14"/>
        <v>0%</v>
      </c>
      <c r="AI12" s="12" t="str">
        <f t="shared" si="14"/>
        <v>0%</v>
      </c>
      <c r="AJ12" s="12" t="str">
        <f t="shared" si="14"/>
        <v>0%</v>
      </c>
      <c r="AK12" s="12" t="str">
        <f t="shared" si="14"/>
        <v>0%</v>
      </c>
      <c r="AL12" s="8"/>
      <c r="AM12" s="11"/>
      <c r="AN12" s="12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s="3" customFormat="1" ht="18">
      <c r="A13" s="3" t="s">
        <v>28</v>
      </c>
      <c r="B13" s="3">
        <v>269</v>
      </c>
      <c r="C13" s="3">
        <v>349</v>
      </c>
      <c r="D13" s="3">
        <v>404</v>
      </c>
      <c r="E13" s="4">
        <v>454</v>
      </c>
      <c r="F13" s="4">
        <v>504</v>
      </c>
      <c r="G13" s="4">
        <v>564</v>
      </c>
      <c r="H13" s="4">
        <v>614</v>
      </c>
      <c r="I13" s="4">
        <v>664</v>
      </c>
      <c r="J13" s="4">
        <v>724</v>
      </c>
      <c r="K13" s="4">
        <v>874</v>
      </c>
      <c r="L13" s="4">
        <v>924</v>
      </c>
      <c r="M13" s="4">
        <v>924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27">
        <f t="shared" ref="Z13:AK13" si="15">$AN13/12</f>
        <v>3574.1666666666665</v>
      </c>
      <c r="AA13" s="127">
        <f t="shared" si="15"/>
        <v>3574.1666666666665</v>
      </c>
      <c r="AB13" s="127">
        <f t="shared" si="15"/>
        <v>3574.1666666666665</v>
      </c>
      <c r="AC13" s="127">
        <f t="shared" si="15"/>
        <v>3574.1666666666665</v>
      </c>
      <c r="AD13" s="127">
        <f t="shared" si="15"/>
        <v>3574.1666666666665</v>
      </c>
      <c r="AE13" s="127">
        <f t="shared" si="15"/>
        <v>3574.1666666666665</v>
      </c>
      <c r="AF13" s="127">
        <f t="shared" si="15"/>
        <v>3574.1666666666665</v>
      </c>
      <c r="AG13" s="127">
        <f t="shared" si="15"/>
        <v>3574.1666666666665</v>
      </c>
      <c r="AH13" s="127">
        <f t="shared" si="15"/>
        <v>3574.1666666666665</v>
      </c>
      <c r="AI13" s="127">
        <f t="shared" si="15"/>
        <v>3574.1666666666665</v>
      </c>
      <c r="AJ13" s="127">
        <f t="shared" si="15"/>
        <v>3574.1666666666665</v>
      </c>
      <c r="AK13" s="127">
        <f t="shared" si="15"/>
        <v>3574.1666666666665</v>
      </c>
      <c r="AL13" s="4"/>
      <c r="AM13" s="4"/>
      <c r="AN13" s="4">
        <v>42890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s="34" customFormat="1" ht="18">
      <c r="A14" s="34" t="s">
        <v>29</v>
      </c>
      <c r="E14" s="129"/>
      <c r="F14" s="129"/>
      <c r="G14" s="129"/>
      <c r="H14" s="130">
        <f>IF(H13=0,"0%",H4/H13)</f>
        <v>0.97231270358306188</v>
      </c>
      <c r="I14" s="130">
        <f t="shared" ref="I14:AN14" si="16">IF(I13=0,"0%",I4/I13)</f>
        <v>1.7575301204819278</v>
      </c>
      <c r="J14" s="130">
        <f t="shared" si="16"/>
        <v>1.569060773480663</v>
      </c>
      <c r="K14" s="130">
        <f t="shared" si="16"/>
        <v>1.3627002288329519</v>
      </c>
      <c r="L14" s="130">
        <f t="shared" si="16"/>
        <v>1.6807359307359306</v>
      </c>
      <c r="M14" s="130">
        <f t="shared" si="16"/>
        <v>2.0086580086580086</v>
      </c>
      <c r="N14" s="130" t="str">
        <f t="shared" si="16"/>
        <v>0%</v>
      </c>
      <c r="O14" s="130" t="str">
        <f t="shared" si="16"/>
        <v>0%</v>
      </c>
      <c r="P14" s="130" t="str">
        <f t="shared" si="16"/>
        <v>0%</v>
      </c>
      <c r="Q14" s="130" t="str">
        <f t="shared" si="16"/>
        <v>0%</v>
      </c>
      <c r="R14" s="130" t="str">
        <f t="shared" si="16"/>
        <v>0%</v>
      </c>
      <c r="S14" s="130" t="str">
        <f t="shared" si="16"/>
        <v>0%</v>
      </c>
      <c r="T14" s="130" t="str">
        <f t="shared" si="16"/>
        <v>0%</v>
      </c>
      <c r="U14" s="130" t="str">
        <f t="shared" si="16"/>
        <v>0%</v>
      </c>
      <c r="V14" s="130" t="str">
        <f t="shared" si="16"/>
        <v>0%</v>
      </c>
      <c r="W14" s="130" t="str">
        <f t="shared" si="16"/>
        <v>0%</v>
      </c>
      <c r="X14" s="130" t="str">
        <f t="shared" si="16"/>
        <v>0%</v>
      </c>
      <c r="Y14" s="130" t="str">
        <f t="shared" si="16"/>
        <v>0%</v>
      </c>
      <c r="Z14" s="130">
        <f>SUM($Z4:Z4)/SUM($Z13:Z13)</f>
        <v>0.6896712520401026</v>
      </c>
      <c r="AA14" s="130">
        <f>SUM($Z4:AA4)/SUM($Z13:AA13)</f>
        <v>0.7295406854744696</v>
      </c>
      <c r="AB14" s="130">
        <f>SUM($Z4:AB4)/SUM($Z13:AB13)</f>
        <v>0.75560736768477499</v>
      </c>
      <c r="AC14" s="130">
        <f>SUM($Z4:AC4)/SUM($Z13:AC13)</f>
        <v>0.76402424807647473</v>
      </c>
      <c r="AD14" s="130">
        <f>SUM($Z4:AD4)/SUM($Z13:AD13)</f>
        <v>0.61121939846117979</v>
      </c>
      <c r="AE14" s="130">
        <f>SUM($Z4:AE4)/SUM($Z13:AE13)</f>
        <v>0.50934949871764978</v>
      </c>
      <c r="AF14" s="130">
        <f>SUM($Z4:AF4)/SUM($Z13:AF13)</f>
        <v>0.43658528461512836</v>
      </c>
      <c r="AG14" s="130">
        <f>SUM($Z4:AG4)/SUM($Z13:AG13)</f>
        <v>0.38201212403823731</v>
      </c>
      <c r="AH14" s="130">
        <f>SUM($Z4:AH4)/SUM($Z13:AH13)</f>
        <v>0.33956633247843315</v>
      </c>
      <c r="AI14" s="130">
        <f>SUM($Z4:AI4)/SUM($Z13:AI13)</f>
        <v>0.30560969923058984</v>
      </c>
      <c r="AJ14" s="130">
        <f>SUM($Z4:AJ4)/SUM($Z13:AJ13)</f>
        <v>0.27782699930053623</v>
      </c>
      <c r="AK14" s="130">
        <f>SUM($Z4:AK4)/SUM($Z13:AK13)</f>
        <v>0.25467474935882489</v>
      </c>
      <c r="AL14" s="130" t="str">
        <f t="shared" si="16"/>
        <v>0%</v>
      </c>
      <c r="AM14" s="130" t="str">
        <f t="shared" si="16"/>
        <v>0%</v>
      </c>
      <c r="AN14" s="130">
        <f t="shared" si="16"/>
        <v>0.25467474935882489</v>
      </c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</row>
    <row r="15" spans="1:50" s="3" customFormat="1" ht="18">
      <c r="A15" s="117" t="s">
        <v>30</v>
      </c>
      <c r="B15" s="41">
        <v>3</v>
      </c>
      <c r="C15" s="41">
        <v>4</v>
      </c>
      <c r="D15" s="41">
        <v>4</v>
      </c>
      <c r="E15" s="14">
        <v>4</v>
      </c>
      <c r="F15" s="14">
        <v>4</v>
      </c>
      <c r="G15" s="14">
        <v>4</v>
      </c>
      <c r="H15" s="14">
        <v>5</v>
      </c>
      <c r="I15" s="14">
        <v>5</v>
      </c>
      <c r="J15" s="14">
        <v>5</v>
      </c>
      <c r="K15" s="14">
        <v>6</v>
      </c>
      <c r="L15" s="14">
        <v>7</v>
      </c>
      <c r="M15" s="14">
        <v>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126">
        <f t="shared" ref="Z15:AK15" si="17">$AN15/12</f>
        <v>5.833333333333333</v>
      </c>
      <c r="AA15" s="126">
        <f t="shared" si="17"/>
        <v>5.833333333333333</v>
      </c>
      <c r="AB15" s="126">
        <f t="shared" si="17"/>
        <v>5.833333333333333</v>
      </c>
      <c r="AC15" s="126">
        <f t="shared" si="17"/>
        <v>5.833333333333333</v>
      </c>
      <c r="AD15" s="126">
        <f t="shared" si="17"/>
        <v>5.833333333333333</v>
      </c>
      <c r="AE15" s="126">
        <f t="shared" si="17"/>
        <v>5.833333333333333</v>
      </c>
      <c r="AF15" s="126">
        <f t="shared" si="17"/>
        <v>5.833333333333333</v>
      </c>
      <c r="AG15" s="126">
        <f t="shared" si="17"/>
        <v>5.833333333333333</v>
      </c>
      <c r="AH15" s="126">
        <f t="shared" si="17"/>
        <v>5.833333333333333</v>
      </c>
      <c r="AI15" s="126">
        <f t="shared" si="17"/>
        <v>5.833333333333333</v>
      </c>
      <c r="AJ15" s="126">
        <f t="shared" si="17"/>
        <v>5.833333333333333</v>
      </c>
      <c r="AK15" s="126">
        <f t="shared" si="17"/>
        <v>5.833333333333333</v>
      </c>
      <c r="AL15" s="7"/>
      <c r="AM15" s="4"/>
      <c r="AN15" s="4">
        <v>70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s="34" customFormat="1" ht="18">
      <c r="A16" s="34" t="s">
        <v>31</v>
      </c>
      <c r="E16" s="129"/>
      <c r="F16" s="129"/>
      <c r="G16" s="129"/>
      <c r="H16" s="130">
        <f>IF(H15=0,"0%",H5/H15)</f>
        <v>0</v>
      </c>
      <c r="I16" s="130">
        <f t="shared" ref="I16:AN16" si="18">IF(I15=0,"0%",I5/I15)</f>
        <v>0.6</v>
      </c>
      <c r="J16" s="130">
        <f t="shared" si="18"/>
        <v>1.2</v>
      </c>
      <c r="K16" s="130">
        <f t="shared" si="18"/>
        <v>0.66666666666666663</v>
      </c>
      <c r="L16" s="130">
        <f t="shared" si="18"/>
        <v>0.42857142857142855</v>
      </c>
      <c r="M16" s="130">
        <f t="shared" si="18"/>
        <v>0.42857142857142855</v>
      </c>
      <c r="N16" s="130" t="str">
        <f t="shared" si="18"/>
        <v>0%</v>
      </c>
      <c r="O16" s="130" t="str">
        <f t="shared" si="18"/>
        <v>0%</v>
      </c>
      <c r="P16" s="130" t="str">
        <f t="shared" si="18"/>
        <v>0%</v>
      </c>
      <c r="Q16" s="130" t="str">
        <f t="shared" si="18"/>
        <v>0%</v>
      </c>
      <c r="R16" s="130" t="str">
        <f t="shared" si="18"/>
        <v>0%</v>
      </c>
      <c r="S16" s="130" t="str">
        <f t="shared" si="18"/>
        <v>0%</v>
      </c>
      <c r="T16" s="130" t="str">
        <f t="shared" si="18"/>
        <v>0%</v>
      </c>
      <c r="U16" s="130" t="str">
        <f t="shared" si="18"/>
        <v>0%</v>
      </c>
      <c r="V16" s="130" t="str">
        <f t="shared" si="18"/>
        <v>0%</v>
      </c>
      <c r="W16" s="130" t="str">
        <f t="shared" si="18"/>
        <v>0%</v>
      </c>
      <c r="X16" s="130" t="str">
        <f t="shared" si="18"/>
        <v>0%</v>
      </c>
      <c r="Y16" s="130" t="str">
        <f t="shared" si="18"/>
        <v>0%</v>
      </c>
      <c r="Z16" s="130">
        <f>SUM($Z5:Z5)/SUM($Z15:Z15)</f>
        <v>1.2</v>
      </c>
      <c r="AA16" s="130">
        <f>SUM($Z5:AA5)/SUM($Z15:AA15)</f>
        <v>0.85714285714285721</v>
      </c>
      <c r="AB16" s="130">
        <f>SUM($Z5:AB5)/SUM($Z15:AB15)</f>
        <v>0.8</v>
      </c>
      <c r="AC16" s="130">
        <f>SUM($Z5:AC5)/SUM($Z15:AC15)</f>
        <v>0.72857142857142865</v>
      </c>
      <c r="AD16" s="130">
        <f>SUM($Z5:AD5)/SUM($Z15:AD15)</f>
        <v>0.58285714285714285</v>
      </c>
      <c r="AE16" s="130">
        <f>SUM($Z5:AE5)/SUM($Z15:AE15)</f>
        <v>0.48571428571428571</v>
      </c>
      <c r="AF16" s="130">
        <f>SUM($Z5:AF5)/SUM($Z15:AF15)</f>
        <v>0.41632653061224489</v>
      </c>
      <c r="AG16" s="130">
        <f>SUM($Z5:AG5)/SUM($Z15:AG15)</f>
        <v>0.36428571428571427</v>
      </c>
      <c r="AH16" s="130">
        <f>SUM($Z5:AH5)/SUM($Z15:AH15)</f>
        <v>0.32380952380952377</v>
      </c>
      <c r="AI16" s="130">
        <f>SUM($Z5:AI5)/SUM($Z15:AI15)</f>
        <v>0.29142857142857137</v>
      </c>
      <c r="AJ16" s="130">
        <f>SUM($Z5:AJ5)/SUM($Z15:AJ15)</f>
        <v>0.26493506493506491</v>
      </c>
      <c r="AK16" s="130">
        <f>SUM($Z5:AK5)/SUM($Z15:AK15)</f>
        <v>0.24285714285714285</v>
      </c>
      <c r="AL16" s="130" t="str">
        <f t="shared" si="18"/>
        <v>0%</v>
      </c>
      <c r="AM16" s="130" t="str">
        <f t="shared" si="18"/>
        <v>0%</v>
      </c>
      <c r="AN16" s="130">
        <f t="shared" si="18"/>
        <v>0.24285714285714285</v>
      </c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</row>
    <row r="17" spans="1:50" s="3" customFormat="1" ht="18" hidden="1">
      <c r="A17" s="3" t="s">
        <v>32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4" cm="1">
        <f t="array" ref="N17">ROUNDUP(SUM(($G$5:$M$5)*1.2)/12,0)</f>
        <v>2</v>
      </c>
      <c r="O17" s="4" cm="1">
        <f t="array" ref="O17">ROUNDUP(SUM(($G$5:$M$5)*1.2)/12,0)</f>
        <v>2</v>
      </c>
      <c r="P17" s="4" cm="1">
        <f t="array" ref="P17">ROUNDUP(SUM(($G$5:$M$5)*1.2)/12,0)</f>
        <v>2</v>
      </c>
      <c r="Q17" s="4" cm="1">
        <f t="array" ref="Q17">ROUNDUP(SUM(($G$5:$M$5)*1.2)/12,0)</f>
        <v>2</v>
      </c>
      <c r="R17" s="4" cm="1">
        <f t="array" ref="R17">ROUNDUP(SUM(($G$5:$M$5)*1.2)/12,0)</f>
        <v>2</v>
      </c>
      <c r="S17" s="4" cm="1">
        <f t="array" ref="S17">ROUNDUP(SUM(($G$5:$M$5)*1.2)/12,0)</f>
        <v>2</v>
      </c>
      <c r="T17" s="4" cm="1">
        <f t="array" ref="T17">ROUNDUP(SUM(($G$5:$M$5)*1.2)/12,0)</f>
        <v>2</v>
      </c>
      <c r="U17" s="4" cm="1">
        <f t="array" ref="U17">ROUNDUP(SUM(($G$5:$M$5)*1.2)/12,0)</f>
        <v>2</v>
      </c>
      <c r="V17" s="4" cm="1">
        <f t="array" ref="V17">ROUNDUP(SUM(($G$5:$M$5)*1.2)/12,0)</f>
        <v>2</v>
      </c>
      <c r="W17" s="4" cm="1">
        <f t="array" ref="W17">ROUNDUP(SUM(($G$5:$M$5)*1.2)/12,0)</f>
        <v>2</v>
      </c>
      <c r="X17" s="4" cm="1">
        <f t="array" ref="X17">ROUNDUP(SUM(($G$5:$M$5)*1.2)/12,0)</f>
        <v>2</v>
      </c>
      <c r="Y17" s="4" cm="1">
        <f t="array" ref="Y17">ROUNDUP(SUM(($G$5:$M$5)*1.2)/12,0)</f>
        <v>2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8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s="3" customFormat="1" ht="18" hidden="1">
      <c r="A18" s="3" t="s">
        <v>33</v>
      </c>
      <c r="B18" s="7"/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4">
        <f>13.44/12</f>
        <v>1.1199999999999999</v>
      </c>
      <c r="O18" s="4">
        <f t="shared" ref="O18:Y18" si="19">13.44/12</f>
        <v>1.1199999999999999</v>
      </c>
      <c r="P18" s="4">
        <f t="shared" si="19"/>
        <v>1.1199999999999999</v>
      </c>
      <c r="Q18" s="4">
        <f t="shared" si="19"/>
        <v>1.1199999999999999</v>
      </c>
      <c r="R18" s="4">
        <f t="shared" si="19"/>
        <v>1.1199999999999999</v>
      </c>
      <c r="S18" s="4">
        <f t="shared" si="19"/>
        <v>1.1199999999999999</v>
      </c>
      <c r="T18" s="4">
        <f t="shared" si="19"/>
        <v>1.1199999999999999</v>
      </c>
      <c r="U18" s="4">
        <f t="shared" si="19"/>
        <v>1.1199999999999999</v>
      </c>
      <c r="V18" s="4">
        <f t="shared" si="19"/>
        <v>1.1199999999999999</v>
      </c>
      <c r="W18" s="4">
        <f t="shared" si="19"/>
        <v>1.1199999999999999</v>
      </c>
      <c r="X18" s="4">
        <f t="shared" si="19"/>
        <v>1.1199999999999999</v>
      </c>
      <c r="Y18" s="4">
        <f t="shared" si="19"/>
        <v>1.1199999999999999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8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s="3" customFormat="1" ht="18" hidden="1">
      <c r="A19" s="3" t="s">
        <v>34</v>
      </c>
      <c r="B19" s="7"/>
      <c r="C19" s="7"/>
      <c r="D19" s="7"/>
      <c r="E19" s="8"/>
      <c r="F19" s="8"/>
      <c r="G19" s="8"/>
      <c r="H19" s="8"/>
      <c r="I19" s="8"/>
      <c r="J19" s="8"/>
      <c r="K19" s="8"/>
      <c r="L19" s="8"/>
      <c r="M19" s="8"/>
      <c r="N19" s="4">
        <v>6.05</v>
      </c>
      <c r="O19" s="4">
        <v>6.05</v>
      </c>
      <c r="P19" s="4">
        <v>6.05</v>
      </c>
      <c r="Q19" s="4">
        <v>6.05</v>
      </c>
      <c r="R19" s="4">
        <v>6.05</v>
      </c>
      <c r="S19" s="4">
        <v>6.05</v>
      </c>
      <c r="T19" s="4">
        <v>6.05</v>
      </c>
      <c r="U19" s="4">
        <v>6.05</v>
      </c>
      <c r="V19" s="4">
        <v>6.05</v>
      </c>
      <c r="W19" s="4">
        <v>6.05</v>
      </c>
      <c r="X19" s="4">
        <v>6.05</v>
      </c>
      <c r="Y19" s="4">
        <v>6.05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8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s="3" customFormat="1" ht="18" hidden="1">
      <c r="A20" s="3" t="s">
        <v>35</v>
      </c>
      <c r="B20" s="7"/>
      <c r="C20" s="7"/>
      <c r="D20" s="7"/>
      <c r="E20" s="8"/>
      <c r="F20" s="8"/>
      <c r="G20" s="8"/>
      <c r="H20" s="8"/>
      <c r="I20" s="8"/>
      <c r="J20" s="8"/>
      <c r="K20" s="8"/>
      <c r="L20" s="8"/>
      <c r="M20" s="8"/>
      <c r="N20" s="39">
        <f t="shared" ref="N20:Y20" si="20">AVERAGE(N17:N19)</f>
        <v>3.0566666666666666</v>
      </c>
      <c r="O20" s="39">
        <f t="shared" si="20"/>
        <v>3.0566666666666666</v>
      </c>
      <c r="P20" s="39">
        <f t="shared" si="20"/>
        <v>3.0566666666666666</v>
      </c>
      <c r="Q20" s="39">
        <f t="shared" si="20"/>
        <v>3.0566666666666666</v>
      </c>
      <c r="R20" s="39">
        <f t="shared" si="20"/>
        <v>3.0566666666666666</v>
      </c>
      <c r="S20" s="39">
        <f t="shared" si="20"/>
        <v>3.0566666666666666</v>
      </c>
      <c r="T20" s="39">
        <f t="shared" si="20"/>
        <v>3.0566666666666666</v>
      </c>
      <c r="U20" s="39">
        <f t="shared" si="20"/>
        <v>3.0566666666666666</v>
      </c>
      <c r="V20" s="39">
        <f t="shared" si="20"/>
        <v>3.0566666666666666</v>
      </c>
      <c r="W20" s="39">
        <f t="shared" si="20"/>
        <v>3.0566666666666666</v>
      </c>
      <c r="X20" s="39">
        <f t="shared" si="20"/>
        <v>3.0566666666666666</v>
      </c>
      <c r="Y20" s="39">
        <f t="shared" si="20"/>
        <v>3.0566666666666666</v>
      </c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8"/>
      <c r="AM20" s="4"/>
      <c r="AN20" s="39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s="7" customFormat="1" ht="18" hidden="1">
      <c r="A21" s="7" t="s">
        <v>36</v>
      </c>
      <c r="B21" s="7">
        <v>1.3</v>
      </c>
      <c r="C21" s="7">
        <v>2.2999999999999998</v>
      </c>
      <c r="D21" s="7">
        <v>3</v>
      </c>
      <c r="E21" s="8">
        <v>3.4</v>
      </c>
      <c r="F21" s="8">
        <v>3.9</v>
      </c>
      <c r="G21" s="8">
        <v>4.3</v>
      </c>
      <c r="H21" s="8">
        <v>4.5999999999999996</v>
      </c>
      <c r="I21" s="8">
        <v>4.9000000000000004</v>
      </c>
      <c r="J21" s="8">
        <v>5.2</v>
      </c>
      <c r="K21" s="8">
        <v>6.2</v>
      </c>
      <c r="L21" s="8">
        <v>6.2</v>
      </c>
      <c r="M21" s="8">
        <v>6.2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s="3" customFormat="1" ht="18">
      <c r="A22" s="117" t="s">
        <v>37</v>
      </c>
      <c r="B22" s="41">
        <v>0.5</v>
      </c>
      <c r="C22" s="41">
        <v>0.8</v>
      </c>
      <c r="D22" s="41">
        <v>0.9</v>
      </c>
      <c r="E22" s="14">
        <v>1.1000000000000001</v>
      </c>
      <c r="F22" s="14">
        <v>1.2</v>
      </c>
      <c r="G22" s="14">
        <v>1.3</v>
      </c>
      <c r="H22" s="14">
        <v>1.4</v>
      </c>
      <c r="I22" s="14">
        <v>1.5</v>
      </c>
      <c r="J22" s="14">
        <v>1.6</v>
      </c>
      <c r="K22" s="14">
        <v>1.9</v>
      </c>
      <c r="L22" s="14">
        <v>1.9</v>
      </c>
      <c r="M22" s="14">
        <v>1.9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126">
        <f t="shared" ref="Z22:AK22" si="21">$AN22/12</f>
        <v>1.25</v>
      </c>
      <c r="AA22" s="126">
        <f t="shared" si="21"/>
        <v>1.25</v>
      </c>
      <c r="AB22" s="126">
        <f t="shared" si="21"/>
        <v>1.25</v>
      </c>
      <c r="AC22" s="126">
        <f t="shared" si="21"/>
        <v>1.25</v>
      </c>
      <c r="AD22" s="126">
        <f t="shared" si="21"/>
        <v>1.25</v>
      </c>
      <c r="AE22" s="126">
        <f t="shared" si="21"/>
        <v>1.25</v>
      </c>
      <c r="AF22" s="126">
        <f t="shared" si="21"/>
        <v>1.25</v>
      </c>
      <c r="AG22" s="126">
        <f t="shared" si="21"/>
        <v>1.25</v>
      </c>
      <c r="AH22" s="126">
        <f t="shared" si="21"/>
        <v>1.25</v>
      </c>
      <c r="AI22" s="126">
        <f t="shared" si="21"/>
        <v>1.25</v>
      </c>
      <c r="AJ22" s="126">
        <f t="shared" si="21"/>
        <v>1.25</v>
      </c>
      <c r="AK22" s="126">
        <f t="shared" si="21"/>
        <v>1.25</v>
      </c>
      <c r="AL22" s="8"/>
      <c r="AM22" s="4"/>
      <c r="AN22" s="4">
        <v>15</v>
      </c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s="34" customFormat="1" ht="18">
      <c r="A23" s="34" t="s">
        <v>38</v>
      </c>
      <c r="E23" s="129"/>
      <c r="F23" s="129"/>
      <c r="G23" s="129"/>
      <c r="H23" s="130">
        <f>IF(H15=0,"0%",H9/H22)</f>
        <v>0</v>
      </c>
      <c r="I23" s="130">
        <f t="shared" ref="I23:AN23" si="22">IF(I15=0,"0%",I9/I22)</f>
        <v>0</v>
      </c>
      <c r="J23" s="130">
        <f t="shared" si="22"/>
        <v>0</v>
      </c>
      <c r="K23" s="130">
        <f t="shared" si="22"/>
        <v>0</v>
      </c>
      <c r="L23" s="130">
        <f t="shared" si="22"/>
        <v>0</v>
      </c>
      <c r="M23" s="130">
        <f t="shared" si="22"/>
        <v>1.0526315789473684</v>
      </c>
      <c r="N23" s="130" t="str">
        <f t="shared" si="22"/>
        <v>0%</v>
      </c>
      <c r="O23" s="130" t="str">
        <f t="shared" si="22"/>
        <v>0%</v>
      </c>
      <c r="P23" s="130" t="str">
        <f t="shared" si="22"/>
        <v>0%</v>
      </c>
      <c r="Q23" s="130" t="str">
        <f t="shared" si="22"/>
        <v>0%</v>
      </c>
      <c r="R23" s="130" t="str">
        <f t="shared" si="22"/>
        <v>0%</v>
      </c>
      <c r="S23" s="130" t="str">
        <f t="shared" si="22"/>
        <v>0%</v>
      </c>
      <c r="T23" s="130" t="str">
        <f t="shared" si="22"/>
        <v>0%</v>
      </c>
      <c r="U23" s="130" t="str">
        <f t="shared" si="22"/>
        <v>0%</v>
      </c>
      <c r="V23" s="130" t="str">
        <f t="shared" si="22"/>
        <v>0%</v>
      </c>
      <c r="W23" s="130" t="str">
        <f t="shared" si="22"/>
        <v>0%</v>
      </c>
      <c r="X23" s="130" t="str">
        <f t="shared" si="22"/>
        <v>0%</v>
      </c>
      <c r="Y23" s="130" t="str">
        <f t="shared" si="22"/>
        <v>0%</v>
      </c>
      <c r="Z23" s="130">
        <f>SUM($Z9:Z9)/SUM($Z22:Z22)</f>
        <v>0</v>
      </c>
      <c r="AA23" s="130">
        <f>SUM($Z9:AA9)/SUM($Z22:AA22)</f>
        <v>0</v>
      </c>
      <c r="AB23" s="130">
        <f>SUM($Z9:AB9)/SUM($Z22:AB22)</f>
        <v>0</v>
      </c>
      <c r="AC23" s="130">
        <f>SUM($Z9:AC9)/SUM($Z22:AC22)</f>
        <v>0</v>
      </c>
      <c r="AD23" s="130">
        <f>SUM($Z9:AD9)/SUM($Z22:AD22)</f>
        <v>0</v>
      </c>
      <c r="AE23" s="130">
        <f>SUM($Z9:AE9)/SUM($Z22:AE22)</f>
        <v>0</v>
      </c>
      <c r="AF23" s="130">
        <f>SUM($Z9:AF9)/SUM($Z22:AF22)</f>
        <v>0</v>
      </c>
      <c r="AG23" s="130">
        <f>SUM($Z9:AG9)/SUM($Z22:AG22)</f>
        <v>0</v>
      </c>
      <c r="AH23" s="130">
        <f>SUM($Z9:AH9)/SUM($Z22:AH22)</f>
        <v>0</v>
      </c>
      <c r="AI23" s="130">
        <f>SUM($Z9:AI9)/SUM($Z22:AI22)</f>
        <v>0</v>
      </c>
      <c r="AJ23" s="130">
        <f>SUM($Z9:AJ9)/SUM($Z22:AJ22)</f>
        <v>0</v>
      </c>
      <c r="AK23" s="130">
        <f>SUM($Z9:AK9)/SUM($Z22:AK22)</f>
        <v>0</v>
      </c>
      <c r="AL23" s="130" t="str">
        <f t="shared" si="22"/>
        <v>0%</v>
      </c>
      <c r="AM23" s="130" t="str">
        <f t="shared" si="22"/>
        <v>0%</v>
      </c>
      <c r="AN23" s="130">
        <f t="shared" si="22"/>
        <v>0</v>
      </c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</row>
    <row r="24" spans="1:50" s="3" customFormat="1" ht="18" hidden="1">
      <c r="A24" s="3" t="s">
        <v>39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4" cm="1">
        <f t="array" ref="N24">ROUNDUP(SUM(($G$9:$M$9)*1.2)/12,0)</f>
        <v>1</v>
      </c>
      <c r="O24" s="4" cm="1">
        <f t="array" ref="O24">ROUNDUP(SUM(($G$9:$M$9)*1.2)/12,0)</f>
        <v>1</v>
      </c>
      <c r="P24" s="4" cm="1">
        <f t="array" ref="P24">ROUNDUP(SUM(($G$9:$M$9)*1.2)/12,0)</f>
        <v>1</v>
      </c>
      <c r="Q24" s="4" cm="1">
        <f t="array" ref="Q24">ROUNDUP(SUM(($G$9:$M$9)*1.2)/12,0)</f>
        <v>1</v>
      </c>
      <c r="R24" s="4" cm="1">
        <f t="array" ref="R24">ROUNDUP(SUM(($G$9:$M$9)*1.2)/12,0)</f>
        <v>1</v>
      </c>
      <c r="S24" s="4" cm="1">
        <f t="array" ref="S24">ROUNDUP(SUM(($G$9:$M$9)*1.2)/12,0)</f>
        <v>1</v>
      </c>
      <c r="T24" s="4" cm="1">
        <f t="array" ref="T24">ROUNDUP(SUM(($G$9:$M$9)*1.2)/12,0)</f>
        <v>1</v>
      </c>
      <c r="U24" s="4" cm="1">
        <f t="array" ref="U24">ROUNDUP(SUM(($G$9:$M$9)*1.2)/12,0)</f>
        <v>1</v>
      </c>
      <c r="V24" s="4" cm="1">
        <f t="array" ref="V24">ROUNDUP(SUM(($G$9:$M$9)*1.2)/12,0)</f>
        <v>1</v>
      </c>
      <c r="W24" s="4" cm="1">
        <f t="array" ref="W24">ROUNDUP(SUM(($G$9:$M$9)*1.2)/12,0)</f>
        <v>1</v>
      </c>
      <c r="X24" s="4" cm="1">
        <f t="array" ref="X24">ROUNDUP(SUM(($G$9:$M$9)*1.2)/12,0)</f>
        <v>1</v>
      </c>
      <c r="Y24" s="4" cm="1">
        <f t="array" ref="Y24">ROUNDUP(SUM(($G$9:$M$9)*1.2)/12,0)</f>
        <v>1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7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s="3" customFormat="1" ht="18" hidden="1">
      <c r="A25" s="3" t="s">
        <v>40</v>
      </c>
      <c r="B25" s="7"/>
      <c r="C25" s="7"/>
      <c r="D25" s="7"/>
      <c r="E25" s="8"/>
      <c r="F25" s="8"/>
      <c r="G25" s="8"/>
      <c r="H25" s="8"/>
      <c r="I25" s="8"/>
      <c r="J25" s="8"/>
      <c r="K25" s="8"/>
      <c r="L25" s="8"/>
      <c r="M25" s="8"/>
      <c r="N25" s="4">
        <f>N18*0*1.2</f>
        <v>0</v>
      </c>
      <c r="O25" s="4">
        <f t="shared" ref="O25:Y25" si="23">O18*0*1.2</f>
        <v>0</v>
      </c>
      <c r="P25" s="4">
        <f t="shared" si="23"/>
        <v>0</v>
      </c>
      <c r="Q25" s="4">
        <f t="shared" si="23"/>
        <v>0</v>
      </c>
      <c r="R25" s="4">
        <f t="shared" si="23"/>
        <v>0</v>
      </c>
      <c r="S25" s="4">
        <f t="shared" si="23"/>
        <v>0</v>
      </c>
      <c r="T25" s="4">
        <f t="shared" si="23"/>
        <v>0</v>
      </c>
      <c r="U25" s="4">
        <f t="shared" si="23"/>
        <v>0</v>
      </c>
      <c r="V25" s="4">
        <f t="shared" si="23"/>
        <v>0</v>
      </c>
      <c r="W25" s="4">
        <f t="shared" si="23"/>
        <v>0</v>
      </c>
      <c r="X25" s="4">
        <f t="shared" si="23"/>
        <v>0</v>
      </c>
      <c r="Y25" s="4">
        <f t="shared" si="23"/>
        <v>0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8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s="3" customFormat="1" ht="18" hidden="1">
      <c r="A26" s="3" t="s">
        <v>41</v>
      </c>
      <c r="B26" s="7"/>
      <c r="C26" s="7"/>
      <c r="D26" s="7"/>
      <c r="E26" s="8"/>
      <c r="F26" s="8"/>
      <c r="G26" s="8"/>
      <c r="H26" s="8"/>
      <c r="I26" s="8"/>
      <c r="J26" s="8"/>
      <c r="K26" s="8"/>
      <c r="L26" s="8"/>
      <c r="M26" s="8"/>
      <c r="N26" s="4">
        <f>ROUNDUP(3.63/12,0)</f>
        <v>1</v>
      </c>
      <c r="O26" s="4">
        <f t="shared" ref="O26:X26" si="24">ROUNDUP(3.63/12,0)</f>
        <v>1</v>
      </c>
      <c r="P26" s="4">
        <f t="shared" si="24"/>
        <v>1</v>
      </c>
      <c r="Q26" s="4">
        <f t="shared" si="24"/>
        <v>1</v>
      </c>
      <c r="R26" s="4">
        <f t="shared" si="24"/>
        <v>1</v>
      </c>
      <c r="S26" s="4">
        <f t="shared" si="24"/>
        <v>1</v>
      </c>
      <c r="T26" s="4">
        <f t="shared" si="24"/>
        <v>1</v>
      </c>
      <c r="U26" s="4">
        <f t="shared" si="24"/>
        <v>1</v>
      </c>
      <c r="V26" s="4">
        <f t="shared" si="24"/>
        <v>1</v>
      </c>
      <c r="W26" s="4">
        <f t="shared" si="24"/>
        <v>1</v>
      </c>
      <c r="X26" s="4">
        <f t="shared" si="24"/>
        <v>1</v>
      </c>
      <c r="Y26" s="4">
        <f>ROUNDUP(3.63/12,0)</f>
        <v>1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8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s="3" customFormat="1" ht="18" hidden="1">
      <c r="A27" s="3" t="s">
        <v>42</v>
      </c>
      <c r="B27" s="7"/>
      <c r="C27" s="7"/>
      <c r="D27" s="7"/>
      <c r="E27" s="8"/>
      <c r="F27" s="8"/>
      <c r="G27" s="8"/>
      <c r="H27" s="8"/>
      <c r="I27" s="8"/>
      <c r="J27" s="8"/>
      <c r="K27" s="8"/>
      <c r="L27" s="8"/>
      <c r="M27" s="8"/>
      <c r="N27" s="39">
        <f t="shared" ref="N27:Y27" si="25">AVERAGE(N24:N26)</f>
        <v>0.66666666666666663</v>
      </c>
      <c r="O27" s="39">
        <f t="shared" si="25"/>
        <v>0.66666666666666663</v>
      </c>
      <c r="P27" s="39">
        <f t="shared" si="25"/>
        <v>0.66666666666666663</v>
      </c>
      <c r="Q27" s="39">
        <f t="shared" si="25"/>
        <v>0.66666666666666663</v>
      </c>
      <c r="R27" s="39">
        <f t="shared" si="25"/>
        <v>0.66666666666666663</v>
      </c>
      <c r="S27" s="39">
        <f t="shared" si="25"/>
        <v>0.66666666666666663</v>
      </c>
      <c r="T27" s="39">
        <f t="shared" si="25"/>
        <v>0.66666666666666663</v>
      </c>
      <c r="U27" s="39">
        <f t="shared" si="25"/>
        <v>0.66666666666666663</v>
      </c>
      <c r="V27" s="39">
        <f t="shared" si="25"/>
        <v>0.66666666666666663</v>
      </c>
      <c r="W27" s="39">
        <f t="shared" si="25"/>
        <v>0.66666666666666663</v>
      </c>
      <c r="X27" s="39">
        <f t="shared" si="25"/>
        <v>0.66666666666666663</v>
      </c>
      <c r="Y27" s="39">
        <f t="shared" si="25"/>
        <v>0.66666666666666663</v>
      </c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8"/>
      <c r="AM27" s="4"/>
      <c r="AN27" s="39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s="3" customFormat="1" ht="18">
      <c r="A28" s="3" t="s">
        <v>72</v>
      </c>
      <c r="E28" s="4"/>
      <c r="F28" s="4"/>
      <c r="G28" s="4"/>
      <c r="H28" s="4"/>
      <c r="I28" s="4"/>
      <c r="J28" s="4"/>
      <c r="K28" s="4"/>
      <c r="L28" s="4"/>
      <c r="M28" s="4"/>
      <c r="N28" s="86">
        <v>1287500</v>
      </c>
      <c r="O28" s="86">
        <v>1287500</v>
      </c>
      <c r="P28" s="86">
        <v>1175000</v>
      </c>
      <c r="Q28" s="86">
        <v>1175000</v>
      </c>
      <c r="R28" s="86">
        <v>1175000</v>
      </c>
      <c r="S28" s="86">
        <v>1175000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8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s="95" customFormat="1" ht="18">
      <c r="A29" s="95" t="s">
        <v>73</v>
      </c>
      <c r="B29" s="96" t="e">
        <f>SUM(#REF!,#REF!,#REF!)</f>
        <v>#REF!</v>
      </c>
      <c r="C29" s="96" t="e">
        <f>SUM(#REF!,#REF!,#REF!)</f>
        <v>#REF!</v>
      </c>
      <c r="D29" s="96" t="e">
        <f>SUM(#REF!,#REF!,#REF!)</f>
        <v>#REF!</v>
      </c>
      <c r="E29" s="96" t="e">
        <f>SUM(#REF!,#REF!,#REF!)</f>
        <v>#REF!</v>
      </c>
      <c r="F29" s="96" t="e">
        <f>SUM(#REF!,#REF!,#REF!)</f>
        <v>#REF!</v>
      </c>
      <c r="G29" s="96" t="e">
        <f>SUM(#REF!,#REF!,#REF!)</f>
        <v>#REF!</v>
      </c>
      <c r="H29" s="96" t="e">
        <f>SUM(#REF!,#REF!,#REF!)</f>
        <v>#REF!</v>
      </c>
      <c r="I29" s="96" t="e">
        <f>SUM(#REF!,#REF!,#REF!)</f>
        <v>#REF!</v>
      </c>
      <c r="J29" s="96" t="e">
        <f>SUM(#REF!,#REF!,#REF!)</f>
        <v>#REF!</v>
      </c>
      <c r="K29" s="96" t="e">
        <f>SUM(#REF!,#REF!,#REF!)</f>
        <v>#REF!</v>
      </c>
      <c r="L29" s="96" t="e">
        <f>SUM(#REF!,#REF!,#REF!)</f>
        <v>#REF!</v>
      </c>
      <c r="M29" s="96" t="e">
        <f>SUM(#REF!,#REF!,#REF!)</f>
        <v>#REF!</v>
      </c>
      <c r="N29" s="98">
        <f>SUM(N30:N37)</f>
        <v>673043</v>
      </c>
      <c r="O29" s="98">
        <f>SUM(O30:O37)</f>
        <v>645126</v>
      </c>
      <c r="P29" s="98">
        <f t="shared" ref="P29:Y29" si="26">SUM(P30:P37)</f>
        <v>495145</v>
      </c>
      <c r="Q29" s="98">
        <f t="shared" si="26"/>
        <v>556696</v>
      </c>
      <c r="R29" s="98">
        <f t="shared" si="26"/>
        <v>735117</v>
      </c>
      <c r="S29" s="98">
        <f t="shared" si="26"/>
        <v>530449</v>
      </c>
      <c r="T29" s="98">
        <f t="shared" si="26"/>
        <v>315000</v>
      </c>
      <c r="U29" s="98">
        <f t="shared" si="26"/>
        <v>255000</v>
      </c>
      <c r="V29" s="98">
        <f t="shared" si="26"/>
        <v>446103</v>
      </c>
      <c r="W29" s="98">
        <f t="shared" si="26"/>
        <v>460373</v>
      </c>
      <c r="X29" s="98">
        <f t="shared" si="26"/>
        <v>741103</v>
      </c>
      <c r="Y29" s="98">
        <f t="shared" si="26"/>
        <v>549302</v>
      </c>
      <c r="Z29" s="98">
        <f t="shared" ref="Z29:AK29" si="27">SUM(Z30:Z37)</f>
        <v>747773</v>
      </c>
      <c r="AA29" s="98">
        <f t="shared" si="27"/>
        <v>456830</v>
      </c>
      <c r="AB29" s="98">
        <f t="shared" si="27"/>
        <v>722837</v>
      </c>
      <c r="AC29" s="98">
        <f t="shared" si="27"/>
        <v>456929</v>
      </c>
      <c r="AD29" s="98">
        <f t="shared" si="27"/>
        <v>255000</v>
      </c>
      <c r="AE29" s="98">
        <f t="shared" si="27"/>
        <v>255000</v>
      </c>
      <c r="AF29" s="98">
        <f t="shared" si="27"/>
        <v>255000</v>
      </c>
      <c r="AG29" s="98">
        <f t="shared" si="27"/>
        <v>255000</v>
      </c>
      <c r="AH29" s="98">
        <f t="shared" si="27"/>
        <v>255000</v>
      </c>
      <c r="AI29" s="98">
        <f t="shared" si="27"/>
        <v>255000</v>
      </c>
      <c r="AJ29" s="98">
        <f t="shared" si="27"/>
        <v>255000</v>
      </c>
      <c r="AK29" s="98">
        <f t="shared" si="27"/>
        <v>255000</v>
      </c>
      <c r="AL29" s="102" t="e">
        <f>SUM(B29:M29)</f>
        <v>#REF!</v>
      </c>
      <c r="AM29" s="116">
        <f>SUM(N29:Y29)</f>
        <v>6402457</v>
      </c>
      <c r="AN29" s="98">
        <f>SUM(Z29:AK29)</f>
        <v>4424369</v>
      </c>
      <c r="AO29" s="97"/>
      <c r="AP29" s="97"/>
      <c r="AQ29" s="97"/>
      <c r="AR29" s="97"/>
      <c r="AS29" s="97"/>
      <c r="AT29" s="97"/>
      <c r="AU29" s="97"/>
      <c r="AV29" s="97"/>
      <c r="AW29" s="97"/>
      <c r="AX29" s="97"/>
    </row>
    <row r="30" spans="1:50" s="91" customFormat="1" ht="18">
      <c r="A30" s="91" t="s">
        <v>45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9">
        <f>'[2]2025'!Z$90</f>
        <v>0</v>
      </c>
      <c r="O30" s="99">
        <f>'[2]2025'!AA$90</f>
        <v>0</v>
      </c>
      <c r="P30" s="99">
        <f>'[2]2025'!AB$90</f>
        <v>0</v>
      </c>
      <c r="Q30" s="99">
        <f>'[2]2025'!AC$90</f>
        <v>0</v>
      </c>
      <c r="R30" s="99">
        <f>'[2]2025'!AD$90</f>
        <v>220000</v>
      </c>
      <c r="S30" s="99">
        <f>'[2]2025'!AE$90</f>
        <v>0</v>
      </c>
      <c r="T30" s="99">
        <f>'[2]2025'!AF$90</f>
        <v>0</v>
      </c>
      <c r="U30" s="99">
        <f>'[2]2025'!AG$90</f>
        <v>0</v>
      </c>
      <c r="V30" s="99">
        <f>'[2]2025'!AH$90</f>
        <v>0</v>
      </c>
      <c r="W30" s="99">
        <f>'[2]2025'!AI$90</f>
        <v>0</v>
      </c>
      <c r="X30" s="99">
        <f>'[2]2025'!AJ$90</f>
        <v>275000</v>
      </c>
      <c r="Y30" s="99">
        <f>'[2]2025'!AK$90</f>
        <v>143000</v>
      </c>
      <c r="Z30" s="99">
        <f>'[2]2026'!F$30</f>
        <v>246000</v>
      </c>
      <c r="AA30" s="99">
        <f>'[2]2026'!G$30</f>
        <v>0</v>
      </c>
      <c r="AB30" s="99">
        <f>'[2]2026'!H$30</f>
        <v>176000</v>
      </c>
      <c r="AC30" s="99">
        <f>'[2]2026'!I$30</f>
        <v>0</v>
      </c>
      <c r="AD30" s="99">
        <f>'[2]2026'!J$30</f>
        <v>0</v>
      </c>
      <c r="AE30" s="99">
        <f>'[2]2026'!K$30</f>
        <v>0</v>
      </c>
      <c r="AF30" s="99">
        <f>'[2]2026'!L$30</f>
        <v>0</v>
      </c>
      <c r="AG30" s="99">
        <f>'[2]2026'!M$30</f>
        <v>0</v>
      </c>
      <c r="AH30" s="99">
        <f>'[2]2026'!N$30</f>
        <v>0</v>
      </c>
      <c r="AI30" s="99">
        <f>'[2]2026'!O$30</f>
        <v>0</v>
      </c>
      <c r="AJ30" s="99">
        <f>'[2]2026'!P$30</f>
        <v>0</v>
      </c>
      <c r="AK30" s="99">
        <f>'[2]2026'!Q$30</f>
        <v>0</v>
      </c>
      <c r="AL30" s="103"/>
      <c r="AM30" s="116">
        <f>SUM(N30:Y30)</f>
        <v>638000</v>
      </c>
      <c r="AN30" s="98">
        <f t="shared" ref="AN30:AN37" si="28">SUM(Z30:AK30)</f>
        <v>422000</v>
      </c>
      <c r="AO30" s="93"/>
      <c r="AP30" s="93"/>
      <c r="AQ30" s="93"/>
      <c r="AR30" s="93"/>
      <c r="AS30" s="93"/>
      <c r="AT30" s="93"/>
      <c r="AU30" s="93"/>
      <c r="AV30" s="93"/>
      <c r="AW30" s="93"/>
      <c r="AX30" s="93"/>
    </row>
    <row r="31" spans="1:50" s="91" customFormat="1" ht="18">
      <c r="A31" s="91" t="s">
        <v>46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9">
        <f>'[2]2025'!Z$145</f>
        <v>30000</v>
      </c>
      <c r="O31" s="99">
        <f>'[2]2025'!AA$145</f>
        <v>30000</v>
      </c>
      <c r="P31" s="99">
        <f>'[2]2025'!AB$145</f>
        <v>30000</v>
      </c>
      <c r="Q31" s="99">
        <f>'[2]2025'!AC$145</f>
        <v>30000</v>
      </c>
      <c r="R31" s="99">
        <f>'[2]2025'!AD$145</f>
        <v>0</v>
      </c>
      <c r="S31" s="99">
        <f>'[2]2025'!AE$145</f>
        <v>30000</v>
      </c>
      <c r="T31" s="99">
        <f>'[2]2025'!AF$145</f>
        <v>60000</v>
      </c>
      <c r="U31" s="99">
        <f>'[2]2025'!AG$145</f>
        <v>0</v>
      </c>
      <c r="V31" s="99">
        <f>'[2]2025'!AH$145</f>
        <v>15000</v>
      </c>
      <c r="W31" s="99">
        <f>'[2]2025'!AI$145</f>
        <v>45000</v>
      </c>
      <c r="X31" s="99">
        <f>'[2]2025'!AJ$145</f>
        <v>60000</v>
      </c>
      <c r="Y31" s="99">
        <f>'[2]2025'!AK$145</f>
        <v>0</v>
      </c>
      <c r="Z31" s="99">
        <f>'[2]2026'!F$97</f>
        <v>45000</v>
      </c>
      <c r="AA31" s="99">
        <f>'[2]2026'!G$97</f>
        <v>0</v>
      </c>
      <c r="AB31" s="99">
        <f>'[2]2026'!H$97</f>
        <v>90000</v>
      </c>
      <c r="AC31" s="99">
        <f>'[2]2026'!I$97</f>
        <v>0</v>
      </c>
      <c r="AD31" s="99">
        <f>'[2]2026'!J$97</f>
        <v>0</v>
      </c>
      <c r="AE31" s="99">
        <f>'[2]2026'!K$97</f>
        <v>0</v>
      </c>
      <c r="AF31" s="99">
        <f>'[2]2026'!L$97</f>
        <v>0</v>
      </c>
      <c r="AG31" s="99">
        <f>'[2]2026'!M$97</f>
        <v>0</v>
      </c>
      <c r="AH31" s="99">
        <f>'[2]2026'!N$97</f>
        <v>0</v>
      </c>
      <c r="AI31" s="99">
        <f>'[2]2026'!O$97</f>
        <v>0</v>
      </c>
      <c r="AJ31" s="99">
        <f>'[2]2026'!P$97</f>
        <v>0</v>
      </c>
      <c r="AK31" s="99">
        <f>'[2]2026'!Q$97</f>
        <v>0</v>
      </c>
      <c r="AL31" s="103"/>
      <c r="AM31" s="116">
        <f t="shared" ref="AM31:AM37" si="29">SUM(N31:Y31)</f>
        <v>330000</v>
      </c>
      <c r="AN31" s="98">
        <f t="shared" si="28"/>
        <v>135000</v>
      </c>
      <c r="AO31" s="93"/>
      <c r="AP31" s="93"/>
      <c r="AQ31" s="93"/>
      <c r="AR31" s="93"/>
      <c r="AS31" s="93"/>
      <c r="AT31" s="93"/>
      <c r="AU31" s="93"/>
      <c r="AV31" s="93"/>
      <c r="AW31" s="93"/>
      <c r="AX31" s="93"/>
    </row>
    <row r="32" spans="1:50" s="91" customFormat="1" ht="18">
      <c r="A32" s="91" t="s">
        <v>47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9">
        <f>'[2]2025'!Z$119</f>
        <v>0</v>
      </c>
      <c r="O32" s="99">
        <f>'[2]2025'!AA$119</f>
        <v>0</v>
      </c>
      <c r="P32" s="99">
        <f>'[2]2025'!AB$119</f>
        <v>0</v>
      </c>
      <c r="Q32" s="99">
        <f>'[2]2025'!AC$119</f>
        <v>0</v>
      </c>
      <c r="R32" s="99">
        <f>'[2]2025'!AD$119</f>
        <v>0</v>
      </c>
      <c r="S32" s="99">
        <f>'[2]2025'!AE$119</f>
        <v>0</v>
      </c>
      <c r="T32" s="99">
        <f>'[2]2025'!AF$119</f>
        <v>0</v>
      </c>
      <c r="U32" s="99">
        <f>'[2]2025'!AG$119</f>
        <v>0</v>
      </c>
      <c r="V32" s="99">
        <f>'[2]2025'!AH$119</f>
        <v>0</v>
      </c>
      <c r="W32" s="99">
        <f>'[2]2025'!AI$119</f>
        <v>0</v>
      </c>
      <c r="X32" s="99">
        <f>'[2]2025'!AJ$119</f>
        <v>0</v>
      </c>
      <c r="Y32" s="99">
        <f>'[2]2025'!AK$119</f>
        <v>0</v>
      </c>
      <c r="Z32" s="99">
        <f>'[2]2026'!F$67</f>
        <v>0</v>
      </c>
      <c r="AA32" s="99">
        <f>'[2]2026'!G$67</f>
        <v>0</v>
      </c>
      <c r="AB32" s="99">
        <f>'[2]2026'!H$67</f>
        <v>0</v>
      </c>
      <c r="AC32" s="99">
        <f>'[2]2026'!I$67</f>
        <v>0</v>
      </c>
      <c r="AD32" s="99">
        <f>'[2]2026'!J$67</f>
        <v>0</v>
      </c>
      <c r="AE32" s="99">
        <f>'[2]2026'!K$67</f>
        <v>0</v>
      </c>
      <c r="AF32" s="99">
        <f>'[2]2026'!L$67</f>
        <v>0</v>
      </c>
      <c r="AG32" s="99">
        <f>'[2]2026'!M$67</f>
        <v>0</v>
      </c>
      <c r="AH32" s="99">
        <f>'[2]2026'!N$67</f>
        <v>0</v>
      </c>
      <c r="AI32" s="99">
        <f>'[2]2026'!O$67</f>
        <v>0</v>
      </c>
      <c r="AJ32" s="99">
        <f>'[2]2026'!P$67</f>
        <v>0</v>
      </c>
      <c r="AK32" s="99">
        <f>'[2]2026'!Q$67</f>
        <v>0</v>
      </c>
      <c r="AL32" s="103"/>
      <c r="AM32" s="116">
        <f t="shared" si="29"/>
        <v>0</v>
      </c>
      <c r="AN32" s="98">
        <f t="shared" si="28"/>
        <v>0</v>
      </c>
      <c r="AO32" s="93"/>
      <c r="AP32" s="93"/>
      <c r="AQ32" s="93"/>
      <c r="AR32" s="93"/>
      <c r="AS32" s="93"/>
      <c r="AT32" s="93"/>
      <c r="AU32" s="93"/>
      <c r="AV32" s="93"/>
      <c r="AW32" s="93"/>
      <c r="AX32" s="93"/>
    </row>
    <row r="33" spans="1:50" s="91" customFormat="1" ht="18">
      <c r="A33" s="91" t="s">
        <v>48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9">
        <f>'[2]2025'!Z$165</f>
        <v>0</v>
      </c>
      <c r="O33" s="99">
        <f>'[2]2025'!AA$165</f>
        <v>0</v>
      </c>
      <c r="P33" s="99">
        <f>'[2]2025'!AB$165</f>
        <v>0</v>
      </c>
      <c r="Q33" s="99">
        <f>'[2]2025'!AC$165</f>
        <v>0</v>
      </c>
      <c r="R33" s="99">
        <f>'[2]2025'!AD$165</f>
        <v>0</v>
      </c>
      <c r="S33" s="99">
        <f>'[2]2025'!AE$165</f>
        <v>0</v>
      </c>
      <c r="T33" s="99">
        <f>'[2]2025'!AF$165</f>
        <v>0</v>
      </c>
      <c r="U33" s="99">
        <f>'[2]2025'!AG$165</f>
        <v>0</v>
      </c>
      <c r="V33" s="99">
        <f>'[2]2025'!AH$165</f>
        <v>0</v>
      </c>
      <c r="W33" s="99">
        <f>'[2]2025'!AI$165</f>
        <v>0</v>
      </c>
      <c r="X33" s="99">
        <f>'[2]2025'!AJ$165</f>
        <v>0</v>
      </c>
      <c r="Y33" s="99">
        <f>'[2]2025'!AK$165</f>
        <v>0</v>
      </c>
      <c r="Z33" s="99">
        <f>'[2]2026'!AL$165</f>
        <v>0</v>
      </c>
      <c r="AA33" s="99">
        <f>'[2]2026'!AM$165</f>
        <v>0</v>
      </c>
      <c r="AB33" s="99">
        <f>'[2]2026'!AN$165</f>
        <v>0</v>
      </c>
      <c r="AC33" s="99">
        <f>'[2]2026'!AO$165</f>
        <v>0</v>
      </c>
      <c r="AD33" s="99">
        <f>'[2]2026'!AP$165</f>
        <v>0</v>
      </c>
      <c r="AE33" s="99">
        <f>'[2]2026'!AQ$165</f>
        <v>0</v>
      </c>
      <c r="AF33" s="99">
        <f>'[2]2026'!AR$165</f>
        <v>0</v>
      </c>
      <c r="AG33" s="99">
        <f>'[2]2026'!AS$165</f>
        <v>0</v>
      </c>
      <c r="AH33" s="99">
        <f>'[2]2026'!AT$165</f>
        <v>0</v>
      </c>
      <c r="AI33" s="99">
        <f>'[2]2026'!AU$165</f>
        <v>0</v>
      </c>
      <c r="AJ33" s="99">
        <f>'[2]2026'!AV$165</f>
        <v>0</v>
      </c>
      <c r="AK33" s="99">
        <f>'[2]2026'!AW$165</f>
        <v>0</v>
      </c>
      <c r="AL33" s="103"/>
      <c r="AM33" s="116">
        <f t="shared" si="29"/>
        <v>0</v>
      </c>
      <c r="AN33" s="98">
        <f t="shared" si="28"/>
        <v>0</v>
      </c>
      <c r="AO33" s="93"/>
      <c r="AP33" s="93"/>
      <c r="AQ33" s="93"/>
      <c r="AR33" s="93"/>
      <c r="AS33" s="93"/>
      <c r="AT33" s="93"/>
      <c r="AU33" s="93"/>
      <c r="AV33" s="93"/>
      <c r="AW33" s="93"/>
      <c r="AX33" s="93"/>
    </row>
    <row r="34" spans="1:50" s="91" customFormat="1" ht="18">
      <c r="A34" s="91" t="s">
        <v>49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9">
        <v>155543</v>
      </c>
      <c r="O34" s="99">
        <v>127626</v>
      </c>
      <c r="P34" s="99">
        <v>90145</v>
      </c>
      <c r="Q34" s="99">
        <v>151696</v>
      </c>
      <c r="R34" s="99">
        <v>140117</v>
      </c>
      <c r="S34" s="99">
        <v>125449</v>
      </c>
      <c r="T34" s="99">
        <v>0</v>
      </c>
      <c r="U34" s="99">
        <v>0</v>
      </c>
      <c r="V34" s="99">
        <v>176103</v>
      </c>
      <c r="W34" s="99">
        <v>160373</v>
      </c>
      <c r="X34" s="99">
        <v>151103</v>
      </c>
      <c r="Y34" s="99">
        <v>151302</v>
      </c>
      <c r="Z34" s="99">
        <v>201773</v>
      </c>
      <c r="AA34" s="142">
        <v>201830</v>
      </c>
      <c r="AB34" s="143">
        <v>201837</v>
      </c>
      <c r="AC34" s="143">
        <v>201929</v>
      </c>
      <c r="AD34" s="143"/>
      <c r="AE34" s="143"/>
      <c r="AF34" s="143"/>
      <c r="AG34" s="143"/>
      <c r="AH34" s="143"/>
      <c r="AI34" s="143"/>
      <c r="AJ34" s="143"/>
      <c r="AK34" s="143"/>
      <c r="AL34" s="103"/>
      <c r="AM34" s="116">
        <f>SUM(N34:Z34)</f>
        <v>1631230</v>
      </c>
      <c r="AN34" s="98">
        <f t="shared" si="28"/>
        <v>807369</v>
      </c>
      <c r="AO34" s="93"/>
      <c r="AP34" s="93"/>
      <c r="AQ34" s="93"/>
      <c r="AR34" s="93"/>
      <c r="AS34" s="93"/>
      <c r="AT34" s="93"/>
      <c r="AU34" s="93"/>
      <c r="AV34" s="93"/>
      <c r="AW34" s="93"/>
      <c r="AX34" s="93"/>
    </row>
    <row r="35" spans="1:50" s="91" customFormat="1" ht="18">
      <c r="A35" s="91" t="s">
        <v>50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9">
        <v>0</v>
      </c>
      <c r="O35" s="99">
        <v>0</v>
      </c>
      <c r="P35" s="99">
        <v>0</v>
      </c>
      <c r="Q35" s="99">
        <v>0</v>
      </c>
      <c r="R35" s="99">
        <v>0</v>
      </c>
      <c r="S35" s="99">
        <v>0</v>
      </c>
      <c r="T35" s="99">
        <v>55000</v>
      </c>
      <c r="U35" s="99">
        <v>55000</v>
      </c>
      <c r="V35" s="99">
        <v>55000</v>
      </c>
      <c r="W35" s="99">
        <v>55000</v>
      </c>
      <c r="X35" s="99">
        <v>55000</v>
      </c>
      <c r="Y35" s="99">
        <v>55000</v>
      </c>
      <c r="Z35" s="99">
        <v>55000</v>
      </c>
      <c r="AA35" s="99">
        <v>55000</v>
      </c>
      <c r="AB35" s="99">
        <v>55000</v>
      </c>
      <c r="AC35" s="99">
        <v>55000</v>
      </c>
      <c r="AD35" s="99">
        <v>55000</v>
      </c>
      <c r="AE35" s="99">
        <v>55000</v>
      </c>
      <c r="AF35" s="99">
        <v>55000</v>
      </c>
      <c r="AG35" s="99">
        <v>55000</v>
      </c>
      <c r="AH35" s="99">
        <v>55000</v>
      </c>
      <c r="AI35" s="99">
        <v>55000</v>
      </c>
      <c r="AJ35" s="99">
        <v>55000</v>
      </c>
      <c r="AK35" s="99">
        <v>55000</v>
      </c>
      <c r="AL35" s="103"/>
      <c r="AM35" s="116">
        <f t="shared" si="29"/>
        <v>330000</v>
      </c>
      <c r="AN35" s="98">
        <f t="shared" si="28"/>
        <v>660000</v>
      </c>
      <c r="AO35" s="93"/>
      <c r="AP35" s="93"/>
      <c r="AQ35" s="93"/>
      <c r="AR35" s="93"/>
      <c r="AS35" s="93"/>
      <c r="AT35" s="93"/>
      <c r="AU35" s="93"/>
      <c r="AV35" s="93"/>
      <c r="AW35" s="93"/>
      <c r="AX35" s="93"/>
    </row>
    <row r="36" spans="1:50" s="91" customFormat="1" ht="18">
      <c r="A36" s="91" t="s">
        <v>51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9">
        <v>487500</v>
      </c>
      <c r="O36" s="99">
        <v>487500</v>
      </c>
      <c r="P36" s="99">
        <v>375000</v>
      </c>
      <c r="Q36" s="99">
        <v>375000</v>
      </c>
      <c r="R36" s="99">
        <v>375000</v>
      </c>
      <c r="S36" s="99">
        <v>375000</v>
      </c>
      <c r="T36" s="99">
        <v>200000</v>
      </c>
      <c r="U36" s="99">
        <v>200000</v>
      </c>
      <c r="V36" s="99">
        <v>200000</v>
      </c>
      <c r="W36" s="99">
        <v>200000</v>
      </c>
      <c r="X36" s="99">
        <v>200000</v>
      </c>
      <c r="Y36" s="99">
        <v>200000</v>
      </c>
      <c r="Z36" s="99">
        <v>200000</v>
      </c>
      <c r="AA36" s="99">
        <v>200000</v>
      </c>
      <c r="AB36" s="99">
        <v>200000</v>
      </c>
      <c r="AC36" s="99">
        <v>200000</v>
      </c>
      <c r="AD36" s="99">
        <v>200000</v>
      </c>
      <c r="AE36" s="99">
        <v>200000</v>
      </c>
      <c r="AF36" s="99">
        <v>200000</v>
      </c>
      <c r="AG36" s="99">
        <v>200000</v>
      </c>
      <c r="AH36" s="99">
        <v>200000</v>
      </c>
      <c r="AI36" s="99">
        <v>200000</v>
      </c>
      <c r="AJ36" s="99">
        <v>200000</v>
      </c>
      <c r="AK36" s="99">
        <v>200000</v>
      </c>
      <c r="AL36" s="103"/>
      <c r="AM36" s="116">
        <f t="shared" si="29"/>
        <v>3675000</v>
      </c>
      <c r="AN36" s="98">
        <f t="shared" si="28"/>
        <v>2400000</v>
      </c>
      <c r="AO36" s="93"/>
      <c r="AP36" s="93"/>
      <c r="AQ36" s="93"/>
      <c r="AR36" s="93"/>
      <c r="AS36" s="93"/>
      <c r="AT36" s="93"/>
      <c r="AU36" s="93"/>
      <c r="AV36" s="93"/>
      <c r="AW36" s="93"/>
      <c r="AX36" s="93"/>
    </row>
    <row r="37" spans="1:50" s="91" customFormat="1" ht="18">
      <c r="A37" s="91" t="s">
        <v>52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Z37" s="99">
        <v>0</v>
      </c>
      <c r="AA37" s="99">
        <v>0</v>
      </c>
      <c r="AB37" s="99">
        <v>0</v>
      </c>
      <c r="AC37" s="99">
        <v>0</v>
      </c>
      <c r="AD37" s="99">
        <v>0</v>
      </c>
      <c r="AE37" s="99">
        <v>0</v>
      </c>
      <c r="AF37" s="99">
        <v>0</v>
      </c>
      <c r="AG37" s="99">
        <v>0</v>
      </c>
      <c r="AH37" s="99">
        <v>0</v>
      </c>
      <c r="AI37" s="99">
        <v>0</v>
      </c>
      <c r="AJ37" s="99">
        <v>0</v>
      </c>
      <c r="AK37" s="99">
        <v>0</v>
      </c>
      <c r="AL37" s="103"/>
      <c r="AM37" s="116">
        <f t="shared" si="29"/>
        <v>0</v>
      </c>
      <c r="AN37" s="98">
        <f t="shared" si="28"/>
        <v>0</v>
      </c>
      <c r="AO37" s="93"/>
      <c r="AP37" s="93"/>
      <c r="AQ37" s="93"/>
      <c r="AR37" s="93"/>
      <c r="AS37" s="93"/>
      <c r="AT37" s="93"/>
      <c r="AU37" s="93"/>
      <c r="AV37" s="93"/>
      <c r="AW37" s="93"/>
      <c r="AX37" s="93"/>
    </row>
    <row r="38" spans="1:50" s="87" customFormat="1" ht="18">
      <c r="A38" s="87" t="s">
        <v>74</v>
      </c>
      <c r="B38" s="88" t="str">
        <f>IFERROR(B$29/B56,"")</f>
        <v/>
      </c>
      <c r="C38" s="88" t="str">
        <f>IFERROR(C$29/C56,"")</f>
        <v/>
      </c>
      <c r="D38" s="88" t="str">
        <f>IFERROR(D$29/D56,"")</f>
        <v/>
      </c>
      <c r="E38" s="88" t="str">
        <f>IFERROR(E$29/E56,"")</f>
        <v/>
      </c>
      <c r="F38" s="88" t="str">
        <f>IFERROR(F$29/F56,"")</f>
        <v/>
      </c>
      <c r="G38" s="88" t="str">
        <f t="shared" ref="G38:M38" si="30">IFERROR(G$29/G58,"")</f>
        <v/>
      </c>
      <c r="H38" s="88" t="str">
        <f t="shared" si="30"/>
        <v/>
      </c>
      <c r="I38" s="88" t="str">
        <f t="shared" si="30"/>
        <v/>
      </c>
      <c r="J38" s="88" t="str">
        <f t="shared" si="30"/>
        <v/>
      </c>
      <c r="K38" s="88" t="str">
        <f t="shared" si="30"/>
        <v/>
      </c>
      <c r="L38" s="88" t="str">
        <f t="shared" si="30"/>
        <v/>
      </c>
      <c r="M38" s="88" t="str">
        <f t="shared" si="30"/>
        <v/>
      </c>
      <c r="N38" s="100">
        <f t="shared" ref="N38:Y38" si="31">IF(N5=0,0,N$29/N5)</f>
        <v>84130.375</v>
      </c>
      <c r="O38" s="100">
        <f t="shared" si="31"/>
        <v>161281.5</v>
      </c>
      <c r="P38" s="100">
        <f t="shared" si="31"/>
        <v>99029</v>
      </c>
      <c r="Q38" s="100">
        <f t="shared" si="31"/>
        <v>79528</v>
      </c>
      <c r="R38" s="100">
        <f t="shared" si="31"/>
        <v>0</v>
      </c>
      <c r="S38" s="100">
        <f t="shared" si="31"/>
        <v>265224.5</v>
      </c>
      <c r="T38" s="100">
        <f t="shared" si="31"/>
        <v>105000</v>
      </c>
      <c r="U38" s="100">
        <f t="shared" si="31"/>
        <v>255000</v>
      </c>
      <c r="V38" s="100">
        <f t="shared" si="31"/>
        <v>223051.5</v>
      </c>
      <c r="W38" s="100">
        <f t="shared" si="31"/>
        <v>230186.5</v>
      </c>
      <c r="X38" s="100">
        <f t="shared" si="31"/>
        <v>370551.5</v>
      </c>
      <c r="Y38" s="100">
        <f t="shared" si="31"/>
        <v>183100.66666666666</v>
      </c>
      <c r="Z38" s="100">
        <f t="shared" ref="Z38:AL38" si="32">IF(Z5=0,0,Z$29/Z5)</f>
        <v>106824.71428571429</v>
      </c>
      <c r="AA38" s="100">
        <f t="shared" si="32"/>
        <v>152276.66666666666</v>
      </c>
      <c r="AB38" s="100">
        <f t="shared" si="32"/>
        <v>180709.25</v>
      </c>
      <c r="AC38" s="100">
        <f t="shared" si="32"/>
        <v>152309.66666666666</v>
      </c>
      <c r="AD38" s="100">
        <f t="shared" si="32"/>
        <v>0</v>
      </c>
      <c r="AE38" s="100">
        <f t="shared" si="32"/>
        <v>0</v>
      </c>
      <c r="AF38" s="100">
        <f t="shared" si="32"/>
        <v>0</v>
      </c>
      <c r="AG38" s="100">
        <f t="shared" si="32"/>
        <v>0</v>
      </c>
      <c r="AH38" s="100">
        <f t="shared" si="32"/>
        <v>0</v>
      </c>
      <c r="AI38" s="100">
        <f t="shared" si="32"/>
        <v>0</v>
      </c>
      <c r="AJ38" s="100">
        <f t="shared" si="32"/>
        <v>0</v>
      </c>
      <c r="AK38" s="100">
        <f t="shared" si="32"/>
        <v>0</v>
      </c>
      <c r="AL38" s="100" t="e">
        <f t="shared" si="32"/>
        <v>#REF!</v>
      </c>
      <c r="AM38" s="100">
        <f>IF(AM5=0,0,AM$29/AM5)</f>
        <v>164165.56410256409</v>
      </c>
      <c r="AN38" s="100">
        <f>IF(AN5=0,0,AN$29/AN5)</f>
        <v>260257</v>
      </c>
      <c r="AO38" s="89"/>
      <c r="AP38" s="89"/>
      <c r="AQ38" s="89"/>
      <c r="AR38" s="89"/>
      <c r="AS38" s="89"/>
      <c r="AT38" s="89"/>
      <c r="AU38" s="89"/>
      <c r="AV38" s="89"/>
      <c r="AW38" s="89"/>
      <c r="AX38" s="89"/>
    </row>
    <row r="39" spans="1:50" s="87" customFormat="1" ht="18">
      <c r="A39" s="87" t="s">
        <v>75</v>
      </c>
      <c r="B39" s="88" t="str">
        <f t="shared" ref="B39:M39" si="33">IFERROR(B$29/B9,"")</f>
        <v/>
      </c>
      <c r="C39" s="88" t="str">
        <f t="shared" si="33"/>
        <v/>
      </c>
      <c r="D39" s="88" t="str">
        <f t="shared" si="33"/>
        <v/>
      </c>
      <c r="E39" s="88" t="str">
        <f t="shared" si="33"/>
        <v/>
      </c>
      <c r="F39" s="88" t="str">
        <f t="shared" si="33"/>
        <v/>
      </c>
      <c r="G39" s="88" t="str">
        <f t="shared" si="33"/>
        <v/>
      </c>
      <c r="H39" s="88" t="str">
        <f t="shared" si="33"/>
        <v/>
      </c>
      <c r="I39" s="88" t="str">
        <f t="shared" si="33"/>
        <v/>
      </c>
      <c r="J39" s="88" t="str">
        <f t="shared" si="33"/>
        <v/>
      </c>
      <c r="K39" s="88" t="str">
        <f t="shared" si="33"/>
        <v/>
      </c>
      <c r="L39" s="88" t="str">
        <f t="shared" si="33"/>
        <v/>
      </c>
      <c r="M39" s="88" t="str">
        <f t="shared" si="33"/>
        <v/>
      </c>
      <c r="N39" s="100">
        <f t="shared" ref="N39:Y39" si="34">IF(N9=0,0,N$29/N9)</f>
        <v>0</v>
      </c>
      <c r="O39" s="100">
        <f t="shared" si="34"/>
        <v>0</v>
      </c>
      <c r="P39" s="100">
        <f t="shared" si="34"/>
        <v>165048.33333333334</v>
      </c>
      <c r="Q39" s="100">
        <f t="shared" si="34"/>
        <v>0</v>
      </c>
      <c r="R39" s="100">
        <f t="shared" si="34"/>
        <v>735117</v>
      </c>
      <c r="S39" s="100">
        <f t="shared" si="34"/>
        <v>0</v>
      </c>
      <c r="T39" s="100">
        <f t="shared" si="34"/>
        <v>0</v>
      </c>
      <c r="U39" s="100">
        <f t="shared" si="34"/>
        <v>0</v>
      </c>
      <c r="V39" s="100">
        <f t="shared" si="34"/>
        <v>0</v>
      </c>
      <c r="W39" s="100">
        <f t="shared" si="34"/>
        <v>0</v>
      </c>
      <c r="X39" s="100">
        <f t="shared" si="34"/>
        <v>370551.5</v>
      </c>
      <c r="Y39" s="100">
        <f t="shared" si="34"/>
        <v>549302</v>
      </c>
      <c r="Z39" s="100">
        <f t="shared" ref="Z39:AL39" si="35">IF(Z9=0,0,Z$29/Z9)</f>
        <v>0</v>
      </c>
      <c r="AA39" s="100">
        <f t="shared" si="35"/>
        <v>0</v>
      </c>
      <c r="AB39" s="100">
        <f t="shared" si="35"/>
        <v>0</v>
      </c>
      <c r="AC39" s="100">
        <f t="shared" si="35"/>
        <v>0</v>
      </c>
      <c r="AD39" s="100">
        <f t="shared" si="35"/>
        <v>0</v>
      </c>
      <c r="AE39" s="100">
        <f t="shared" si="35"/>
        <v>0</v>
      </c>
      <c r="AF39" s="100">
        <f t="shared" si="35"/>
        <v>0</v>
      </c>
      <c r="AG39" s="100">
        <f t="shared" si="35"/>
        <v>0</v>
      </c>
      <c r="AH39" s="100">
        <f t="shared" si="35"/>
        <v>0</v>
      </c>
      <c r="AI39" s="100">
        <f t="shared" si="35"/>
        <v>0</v>
      </c>
      <c r="AJ39" s="100">
        <f t="shared" si="35"/>
        <v>0</v>
      </c>
      <c r="AK39" s="100">
        <f t="shared" si="35"/>
        <v>0</v>
      </c>
      <c r="AL39" s="100" t="e">
        <f t="shared" si="35"/>
        <v>#REF!</v>
      </c>
      <c r="AM39" s="100">
        <f>IF(AM9=0,0,AM$29/AM9)</f>
        <v>914636.71428571432</v>
      </c>
      <c r="AN39" s="100">
        <f>IF(AN9=0,0,AN$29/AN9)</f>
        <v>0</v>
      </c>
      <c r="AO39" s="89"/>
      <c r="AP39" s="89"/>
      <c r="AQ39" s="89"/>
      <c r="AR39" s="89"/>
      <c r="AS39" s="89"/>
      <c r="AT39" s="89"/>
      <c r="AU39" s="89"/>
      <c r="AV39" s="89"/>
      <c r="AW39" s="89"/>
      <c r="AX39" s="89"/>
    </row>
    <row r="40" spans="1:50" s="87" customFormat="1" ht="18">
      <c r="A40" s="87" t="s">
        <v>76</v>
      </c>
      <c r="E40" s="89"/>
      <c r="F40" s="89"/>
      <c r="G40" s="89"/>
      <c r="H40" s="89"/>
      <c r="I40" s="89"/>
      <c r="J40" s="89"/>
      <c r="K40" s="89"/>
      <c r="L40" s="89"/>
      <c r="M40" s="89"/>
      <c r="N40" s="100">
        <f t="shared" ref="N40:Y40" si="36">IF(N11=0,0,N$29/N11)</f>
        <v>673043</v>
      </c>
      <c r="O40" s="100">
        <f t="shared" si="36"/>
        <v>0</v>
      </c>
      <c r="P40" s="100">
        <f t="shared" si="36"/>
        <v>0</v>
      </c>
      <c r="Q40" s="100">
        <f t="shared" si="36"/>
        <v>0</v>
      </c>
      <c r="R40" s="100">
        <f t="shared" si="36"/>
        <v>0</v>
      </c>
      <c r="S40" s="100">
        <f t="shared" si="36"/>
        <v>0</v>
      </c>
      <c r="T40" s="100">
        <f t="shared" si="36"/>
        <v>315000</v>
      </c>
      <c r="U40" s="100">
        <f t="shared" si="36"/>
        <v>0</v>
      </c>
      <c r="V40" s="100">
        <f t="shared" si="36"/>
        <v>0</v>
      </c>
      <c r="W40" s="100">
        <f t="shared" si="36"/>
        <v>0</v>
      </c>
      <c r="X40" s="100">
        <f t="shared" si="36"/>
        <v>0</v>
      </c>
      <c r="Y40" s="100">
        <f t="shared" si="36"/>
        <v>0</v>
      </c>
      <c r="Z40" s="100">
        <f t="shared" ref="Z40:AL40" si="37">IF(Z11=0,0,Z$29/Z11)</f>
        <v>0</v>
      </c>
      <c r="AA40" s="100">
        <f t="shared" si="37"/>
        <v>0</v>
      </c>
      <c r="AB40" s="100">
        <f t="shared" si="37"/>
        <v>0</v>
      </c>
      <c r="AC40" s="100">
        <f t="shared" si="37"/>
        <v>0</v>
      </c>
      <c r="AD40" s="100">
        <f t="shared" si="37"/>
        <v>0</v>
      </c>
      <c r="AE40" s="100">
        <f t="shared" si="37"/>
        <v>0</v>
      </c>
      <c r="AF40" s="100">
        <f t="shared" si="37"/>
        <v>0</v>
      </c>
      <c r="AG40" s="100">
        <f t="shared" si="37"/>
        <v>0</v>
      </c>
      <c r="AH40" s="100">
        <f t="shared" si="37"/>
        <v>0</v>
      </c>
      <c r="AI40" s="100">
        <f t="shared" si="37"/>
        <v>0</v>
      </c>
      <c r="AJ40" s="100">
        <f t="shared" si="37"/>
        <v>0</v>
      </c>
      <c r="AK40" s="100">
        <f t="shared" si="37"/>
        <v>0</v>
      </c>
      <c r="AL40" s="100">
        <f t="shared" si="37"/>
        <v>0</v>
      </c>
      <c r="AM40" s="100">
        <f>IF(AM11=0,0,AM$29/AM11)</f>
        <v>3201228.5</v>
      </c>
      <c r="AN40" s="100">
        <f>IF(AN11=0,0,AN$29/AN11)</f>
        <v>0</v>
      </c>
      <c r="AO40" s="89"/>
      <c r="AP40" s="89"/>
      <c r="AQ40" s="89"/>
      <c r="AR40" s="89"/>
      <c r="AS40" s="89"/>
      <c r="AT40" s="89"/>
      <c r="AU40" s="89"/>
      <c r="AV40" s="89"/>
      <c r="AW40" s="89"/>
      <c r="AX40" s="89"/>
    </row>
    <row r="42" spans="1:50" ht="18"/>
    <row r="44" spans="1:50" ht="18">
      <c r="A44" s="49" t="s">
        <v>56</v>
      </c>
    </row>
    <row r="45" spans="1:50" ht="18">
      <c r="A45" s="1" t="s">
        <v>57</v>
      </c>
      <c r="B45" s="2" t="s">
        <v>19</v>
      </c>
      <c r="C45" s="2" t="s">
        <v>19</v>
      </c>
      <c r="D45" s="2" t="s">
        <v>19</v>
      </c>
      <c r="E45" s="2" t="s">
        <v>19</v>
      </c>
      <c r="F45" s="2" t="s">
        <v>19</v>
      </c>
      <c r="G45" s="2">
        <v>0</v>
      </c>
      <c r="H45" s="2">
        <v>0</v>
      </c>
      <c r="I45" s="2">
        <v>1</v>
      </c>
      <c r="J45" s="2">
        <v>2</v>
      </c>
      <c r="K45" s="2">
        <v>3</v>
      </c>
      <c r="L45" s="2">
        <v>2</v>
      </c>
      <c r="M45" s="2">
        <v>4</v>
      </c>
      <c r="N45" s="2">
        <f>COUNTIFS([3]流入チャネル別顧客一覧_ユニーク!$C:$C,"&gt;="&amp;N$3,[3]流入チャネル別顧客一覧_ユニーク!$C:$C,"&lt;"&amp;EDATE(N$3,1),[3]流入チャネル別顧客一覧_ユニーク!$H:$H,"organic")+COUNTIFS([3]流入チャネル別顧客一覧_ユニーク!$C:$C,"&gt;="&amp;N$3,[3]流入チャネル別顧客一覧_ユニーク!$C:$C,"&lt;"&amp;EDATE(N$3,1),[3]流入チャネル別顧客一覧_ユニーク!$H:$H,"オーガニック検索")+COUNTIFS([3]流入チャネル別顧客一覧_ユニーク!$C:$C,"&gt;="&amp;N$3,[3]流入チャネル別顧客一覧_ユニーク!$C:$C,"&lt;"&amp;EDATE(N$3,1),[3]流入チャネル別顧客一覧_ユニーク!$H:$H,"column")+COUNTIFS([3]流入チャネル別顧客一覧_ユニーク!$C:$C,"&gt;="&amp;N$3,[3]流入チャネル別顧客一覧_ユニーク!$C:$C,"&lt;"&amp;EDATE(N$3,1),[3]流入チャネル別顧客一覧_ユニーク!$H:$H,"case")</f>
        <v>3</v>
      </c>
      <c r="O45" s="2">
        <f>COUNTIFS([3]流入チャネル別顧客一覧_ユニーク!$C:$C,"&gt;="&amp;O$3,[3]流入チャネル別顧客一覧_ユニーク!$C:$C,"&lt;"&amp;EDATE(O$3,1),[3]流入チャネル別顧客一覧_ユニーク!$H:$H,"organic")+COUNTIFS([3]流入チャネル別顧客一覧_ユニーク!$C:$C,"&gt;="&amp;O$3,[3]流入チャネル別顧客一覧_ユニーク!$C:$C,"&lt;"&amp;EDATE(O$3,1),[3]流入チャネル別顧客一覧_ユニーク!$H:$H,"オーガニック検索")+COUNTIFS([3]流入チャネル別顧客一覧_ユニーク!$C:$C,"&gt;="&amp;O$3,[3]流入チャネル別顧客一覧_ユニーク!$C:$C,"&lt;"&amp;EDATE(O$3,1),[3]流入チャネル別顧客一覧_ユニーク!$H:$H,"column")+COUNTIFS([3]流入チャネル別顧客一覧_ユニーク!$C:$C,"&gt;="&amp;O$3,[3]流入チャネル別顧客一覧_ユニーク!$C:$C,"&lt;"&amp;EDATE(O$3,1),[3]流入チャネル別顧客一覧_ユニーク!$H:$H,"case")</f>
        <v>2</v>
      </c>
      <c r="P45" s="2">
        <f>COUNTIFS([3]流入チャネル別顧客一覧_ユニーク!$C:$C,"&gt;="&amp;P$3,[3]流入チャネル別顧客一覧_ユニーク!$C:$C,"&lt;"&amp;EDATE(P$3,1),[3]流入チャネル別顧客一覧_ユニーク!$H:$H,"organic")+COUNTIFS([3]流入チャネル別顧客一覧_ユニーク!$C:$C,"&gt;="&amp;P$3,[3]流入チャネル別顧客一覧_ユニーク!$C:$C,"&lt;"&amp;EDATE(P$3,1),[3]流入チャネル別顧客一覧_ユニーク!$H:$H,"オーガニック検索")+COUNTIFS([3]流入チャネル別顧客一覧_ユニーク!$C:$C,"&gt;="&amp;P$3,[3]流入チャネル別顧客一覧_ユニーク!$C:$C,"&lt;"&amp;EDATE(P$3,1),[3]流入チャネル別顧客一覧_ユニーク!$H:$H,"column")+COUNTIFS([3]流入チャネル別顧客一覧_ユニーク!$C:$C,"&gt;="&amp;P$3,[3]流入チャネル別顧客一覧_ユニーク!$C:$C,"&lt;"&amp;EDATE(P$3,1),[3]流入チャネル別顧客一覧_ユニーク!$H:$H,"case")</f>
        <v>3</v>
      </c>
      <c r="Q45" s="2">
        <f>COUNTIFS([3]流入チャネル別顧客一覧_ユニーク!$C:$C,"&gt;="&amp;Q$3,[3]流入チャネル別顧客一覧_ユニーク!$C:$C,"&lt;"&amp;EDATE(Q$3,1),[3]流入チャネル別顧客一覧_ユニーク!$H:$H,"organic")+COUNTIFS([3]流入チャネル別顧客一覧_ユニーク!$C:$C,"&gt;="&amp;Q$3,[3]流入チャネル別顧客一覧_ユニーク!$C:$C,"&lt;"&amp;EDATE(Q$3,1),[3]流入チャネル別顧客一覧_ユニーク!$H:$H,"オーガニック検索")+COUNTIFS([3]流入チャネル別顧客一覧_ユニーク!$C:$C,"&gt;="&amp;Q$3,[3]流入チャネル別顧客一覧_ユニーク!$C:$C,"&lt;"&amp;EDATE(Q$3,1),[3]流入チャネル別顧客一覧_ユニーク!$H:$H,"column")+COUNTIFS([3]流入チャネル別顧客一覧_ユニーク!$C:$C,"&gt;="&amp;Q$3,[3]流入チャネル別顧客一覧_ユニーク!$C:$C,"&lt;"&amp;EDATE(Q$3,1),[3]流入チャネル別顧客一覧_ユニーク!$H:$H,"case")</f>
        <v>3</v>
      </c>
      <c r="R45" s="2">
        <f>COUNTIFS([3]流入チャネル別顧客一覧_ユニーク!$C:$C,"&gt;="&amp;R$3,[3]流入チャネル別顧客一覧_ユニーク!$C:$C,"&lt;"&amp;EDATE(R$3,1),[3]流入チャネル別顧客一覧_ユニーク!$H:$H,"organic")+COUNTIFS([3]流入チャネル別顧客一覧_ユニーク!$C:$C,"&gt;="&amp;R$3,[3]流入チャネル別顧客一覧_ユニーク!$C:$C,"&lt;"&amp;EDATE(R$3,1),[3]流入チャネル別顧客一覧_ユニーク!$H:$H,"オーガニック検索")+COUNTIFS([3]流入チャネル別顧客一覧_ユニーク!$C:$C,"&gt;="&amp;R$3,[3]流入チャネル別顧客一覧_ユニーク!$C:$C,"&lt;"&amp;EDATE(R$3,1),[3]流入チャネル別顧客一覧_ユニーク!$H:$H,"column")+COUNTIFS([3]流入チャネル別顧客一覧_ユニーク!$C:$C,"&gt;="&amp;R$3,[3]流入チャネル別顧客一覧_ユニーク!$C:$C,"&lt;"&amp;EDATE(R$3,1),[3]流入チャネル別顧客一覧_ユニーク!$H:$H,"case")</f>
        <v>0</v>
      </c>
      <c r="S45" s="2">
        <f>COUNTIFS([3]流入チャネル別顧客一覧_ユニーク!$C:$C,"&gt;="&amp;S$3,[3]流入チャネル別顧客一覧_ユニーク!$C:$C,"&lt;"&amp;EDATE(S$3,1),[3]流入チャネル別顧客一覧_ユニーク!$H:$H,"organic")+COUNTIFS([3]流入チャネル別顧客一覧_ユニーク!$C:$C,"&gt;="&amp;S$3,[3]流入チャネル別顧客一覧_ユニーク!$C:$C,"&lt;"&amp;EDATE(S$3,1),[3]流入チャネル別顧客一覧_ユニーク!$H:$H,"オーガニック検索")+COUNTIFS([3]流入チャネル別顧客一覧_ユニーク!$C:$C,"&gt;="&amp;S$3,[3]流入チャネル別顧客一覧_ユニーク!$C:$C,"&lt;"&amp;EDATE(S$3,1),[3]流入チャネル別顧客一覧_ユニーク!$H:$H,"column")+COUNTIFS([3]流入チャネル別顧客一覧_ユニーク!$C:$C,"&gt;="&amp;S$3,[3]流入チャネル別顧客一覧_ユニーク!$C:$C,"&lt;"&amp;EDATE(S$3,1),[3]流入チャネル別顧客一覧_ユニーク!$H:$H,"case")</f>
        <v>1</v>
      </c>
      <c r="T45" s="2">
        <f>COUNTIFS([3]流入チャネル別顧客一覧_ユニーク!$C:$C,"&gt;="&amp;T$3,[3]流入チャネル別顧客一覧_ユニーク!$C:$C,"&lt;"&amp;EDATE(T$3,1),[3]流入チャネル別顧客一覧_ユニーク!$H:$H,"organic")+COUNTIFS([3]流入チャネル別顧客一覧_ユニーク!$C:$C,"&gt;="&amp;T$3,[3]流入チャネル別顧客一覧_ユニーク!$C:$C,"&lt;"&amp;EDATE(T$3,1),[3]流入チャネル別顧客一覧_ユニーク!$H:$H,"オーガニック検索")+COUNTIFS([3]流入チャネル別顧客一覧_ユニーク!$C:$C,"&gt;="&amp;T$3,[3]流入チャネル別顧客一覧_ユニーク!$C:$C,"&lt;"&amp;EDATE(T$3,1),[3]流入チャネル別顧客一覧_ユニーク!$H:$H,"column")+COUNTIFS([3]流入チャネル別顧客一覧_ユニーク!$C:$C,"&gt;="&amp;T$3,[3]流入チャネル別顧客一覧_ユニーク!$C:$C,"&lt;"&amp;EDATE(T$3,1),[3]流入チャネル別顧客一覧_ユニーク!$H:$H,"case")</f>
        <v>0</v>
      </c>
      <c r="U45" s="2">
        <f>COUNTIFS([3]流入チャネル別顧客一覧_ユニーク!$C:$C,"&gt;="&amp;U$3,[3]流入チャネル別顧客一覧_ユニーク!$C:$C,"&lt;"&amp;EDATE(U$3,1),[3]流入チャネル別顧客一覧_ユニーク!$H:$H,"organic")+COUNTIFS([3]流入チャネル別顧客一覧_ユニーク!$C:$C,"&gt;="&amp;U$3,[3]流入チャネル別顧客一覧_ユニーク!$C:$C,"&lt;"&amp;EDATE(U$3,1),[3]流入チャネル別顧客一覧_ユニーク!$H:$H,"オーガニック検索")+COUNTIFS([3]流入チャネル別顧客一覧_ユニーク!$C:$C,"&gt;="&amp;U$3,[3]流入チャネル別顧客一覧_ユニーク!$C:$C,"&lt;"&amp;EDATE(U$3,1),[3]流入チャネル別顧客一覧_ユニーク!$H:$H,"column")+COUNTIFS([3]流入チャネル別顧客一覧_ユニーク!$C:$C,"&gt;="&amp;U$3,[3]流入チャネル別顧客一覧_ユニーク!$C:$C,"&lt;"&amp;EDATE(U$3,1),[3]流入チャネル別顧客一覧_ユニーク!$H:$H,"case")</f>
        <v>0</v>
      </c>
      <c r="V45" s="2">
        <f>COUNTIFS([3]流入チャネル別顧客一覧_ユニーク!$C:$C,"&gt;="&amp;V$3,[3]流入チャネル別顧客一覧_ユニーク!$C:$C,"&lt;"&amp;EDATE(V$3,1),[3]流入チャネル別顧客一覧_ユニーク!$H:$H,"organic")+COUNTIFS([3]流入チャネル別顧客一覧_ユニーク!$C:$C,"&gt;="&amp;V$3,[3]流入チャネル別顧客一覧_ユニーク!$C:$C,"&lt;"&amp;EDATE(V$3,1),[3]流入チャネル別顧客一覧_ユニーク!$H:$H,"オーガニック検索")+COUNTIFS([3]流入チャネル別顧客一覧_ユニーク!$C:$C,"&gt;="&amp;V$3,[3]流入チャネル別顧客一覧_ユニーク!$C:$C,"&lt;"&amp;EDATE(V$3,1),[3]流入チャネル別顧客一覧_ユニーク!$H:$H,"column")+COUNTIFS([3]流入チャネル別顧客一覧_ユニーク!$C:$C,"&gt;="&amp;V$3,[3]流入チャネル別顧客一覧_ユニーク!$C:$C,"&lt;"&amp;EDATE(V$3,1),[3]流入チャネル別顧客一覧_ユニーク!$H:$H,"case")</f>
        <v>1</v>
      </c>
      <c r="W45" s="2">
        <f>COUNTIFS([3]流入チャネル別顧客一覧_ユニーク!$C:$C,"&gt;="&amp;W$3,[3]流入チャネル別顧客一覧_ユニーク!$C:$C,"&lt;"&amp;EDATE(W$3,1),[3]流入チャネル別顧客一覧_ユニーク!$H:$H,"organic")+COUNTIFS([3]流入チャネル別顧客一覧_ユニーク!$C:$C,"&gt;="&amp;W$3,[3]流入チャネル別顧客一覧_ユニーク!$C:$C,"&lt;"&amp;EDATE(W$3,1),[3]流入チャネル別顧客一覧_ユニーク!$H:$H,"オーガニック検索")+COUNTIFS([3]流入チャネル別顧客一覧_ユニーク!$C:$C,"&gt;="&amp;W$3,[3]流入チャネル別顧客一覧_ユニーク!$C:$C,"&lt;"&amp;EDATE(W$3,1),[3]流入チャネル別顧客一覧_ユニーク!$H:$H,"column")+COUNTIFS([3]流入チャネル別顧客一覧_ユニーク!$C:$C,"&gt;="&amp;W$3,[3]流入チャネル別顧客一覧_ユニーク!$C:$C,"&lt;"&amp;EDATE(W$3,1),[3]流入チャネル別顧客一覧_ユニーク!$H:$H,"case")</f>
        <v>0</v>
      </c>
      <c r="X45" s="2">
        <f>COUNTIFS([3]流入チャネル別顧客一覧_ユニーク!$C:$C,"&gt;="&amp;X$3,[3]流入チャネル別顧客一覧_ユニーク!$C:$C,"&lt;"&amp;EDATE(X$3,1),[3]流入チャネル別顧客一覧_ユニーク!$H:$H,"organic")+COUNTIFS([3]流入チャネル別顧客一覧_ユニーク!$C:$C,"&gt;="&amp;X$3,[3]流入チャネル別顧客一覧_ユニーク!$C:$C,"&lt;"&amp;EDATE(X$3,1),[3]流入チャネル別顧客一覧_ユニーク!$H:$H,"オーガニック検索")+COUNTIFS([3]流入チャネル別顧客一覧_ユニーク!$C:$C,"&gt;="&amp;X$3,[3]流入チャネル別顧客一覧_ユニーク!$C:$C,"&lt;"&amp;EDATE(X$3,1),[3]流入チャネル別顧客一覧_ユニーク!$H:$H,"column")+COUNTIFS([3]流入チャネル別顧客一覧_ユニーク!$C:$C,"&gt;="&amp;X$3,[3]流入チャネル別顧客一覧_ユニーク!$C:$C,"&lt;"&amp;EDATE(X$3,1),[3]流入チャネル別顧客一覧_ユニーク!$H:$H,"case")</f>
        <v>1</v>
      </c>
      <c r="Y45" s="2">
        <f>COUNTIFS([3]流入チャネル別顧客一覧_ユニーク!$C:$C,"&gt;="&amp;Y$3,[3]流入チャネル別顧客一覧_ユニーク!$C:$C,"&lt;"&amp;EDATE(Y$3,1),[3]流入チャネル別顧客一覧_ユニーク!$H:$H,"organic")+COUNTIFS([3]流入チャネル別顧客一覧_ユニーク!$C:$C,"&gt;="&amp;Y$3,[3]流入チャネル別顧客一覧_ユニーク!$C:$C,"&lt;"&amp;EDATE(Y$3,1),[3]流入チャネル別顧客一覧_ユニーク!$H:$H,"オーガニック検索")+COUNTIFS([3]流入チャネル別顧客一覧_ユニーク!$C:$C,"&gt;="&amp;Y$3,[3]流入チャネル別顧客一覧_ユニーク!$C:$C,"&lt;"&amp;EDATE(Y$3,1),[3]流入チャネル別顧客一覧_ユニーク!$H:$H,"column")+COUNTIFS([3]流入チャネル別顧客一覧_ユニーク!$C:$C,"&gt;="&amp;Y$3,[3]流入チャネル別顧客一覧_ユニーク!$C:$C,"&lt;"&amp;EDATE(Y$3,1),[3]流入チャネル別顧客一覧_ユニーク!$H:$H,"case")</f>
        <v>2</v>
      </c>
      <c r="Z45" s="2">
        <f>COUNTIFS([3]流入チャネル別顧客一覧_ユニーク!$C:$C,"&gt;="&amp;Z$3,[3]流入チャネル別顧客一覧_ユニーク!$C:$C,"&lt;"&amp;EDATE(Z$3,1),[3]流入チャネル別顧客一覧_ユニーク!$H:$H,"organic")+COUNTIFS([3]流入チャネル別顧客一覧_ユニーク!$C:$C,"&gt;="&amp;Z$3,[3]流入チャネル別顧客一覧_ユニーク!$C:$C,"&lt;"&amp;EDATE(Z$3,1),[3]流入チャネル別顧客一覧_ユニーク!$H:$H,"オーガニック検索")+COUNTIFS([3]流入チャネル別顧客一覧_ユニーク!$C:$C,"&gt;="&amp;Z$3,[3]流入チャネル別顧客一覧_ユニーク!$C:$C,"&lt;"&amp;EDATE(Z$3,1),[3]流入チャネル別顧客一覧_ユニーク!$H:$H,"column")+COUNTIFS([3]流入チャネル別顧客一覧_ユニーク!$C:$C,"&gt;="&amp;Z$3,[3]流入チャネル別顧客一覧_ユニーク!$C:$C,"&lt;"&amp;EDATE(Z$3,1),[3]流入チャネル別顧客一覧_ユニーク!$H:$H,"case")</f>
        <v>2</v>
      </c>
      <c r="AA45" s="2">
        <f>COUNTIFS([3]流入チャネル別顧客一覧_ユニーク!$C:$C,"&gt;="&amp;AA$3,[3]流入チャネル別顧客一覧_ユニーク!$C:$C,"&lt;"&amp;EDATE(AA$3,1),[3]流入チャネル別顧客一覧_ユニーク!$H:$H,"organic")+COUNTIFS([3]流入チャネル別顧客一覧_ユニーク!$C:$C,"&gt;="&amp;AA$3,[3]流入チャネル別顧客一覧_ユニーク!$C:$C,"&lt;"&amp;EDATE(AA$3,1),[3]流入チャネル別顧客一覧_ユニーク!$H:$H,"オーガニック検索")+COUNTIFS([3]流入チャネル別顧客一覧_ユニーク!$C:$C,"&gt;="&amp;AA$3,[3]流入チャネル別顧客一覧_ユニーク!$C:$C,"&lt;"&amp;EDATE(AA$3,1),[3]流入チャネル別顧客一覧_ユニーク!$H:$H,"column")+COUNTIFS([3]流入チャネル別顧客一覧_ユニーク!$C:$C,"&gt;="&amp;AA$3,[3]流入チャネル別顧客一覧_ユニーク!$C:$C,"&lt;"&amp;EDATE(AA$3,1),[3]流入チャネル別顧客一覧_ユニーク!$H:$H,"case")</f>
        <v>2</v>
      </c>
      <c r="AB45" s="2">
        <f>COUNTIFS([3]流入チャネル別顧客一覧_ユニーク!$C:$C,"&gt;="&amp;AB$3,[3]流入チャネル別顧客一覧_ユニーク!$C:$C,"&lt;"&amp;EDATE(AB$3,1),[3]流入チャネル別顧客一覧_ユニーク!$H:$H,"organic")+COUNTIFS([3]流入チャネル別顧客一覧_ユニーク!$C:$C,"&gt;="&amp;AB$3,[3]流入チャネル別顧客一覧_ユニーク!$C:$C,"&lt;"&amp;EDATE(AB$3,1),[3]流入チャネル別顧客一覧_ユニーク!$H:$H,"オーガニック検索")+COUNTIFS([3]流入チャネル別顧客一覧_ユニーク!$C:$C,"&gt;="&amp;AB$3,[3]流入チャネル別顧客一覧_ユニーク!$C:$C,"&lt;"&amp;EDATE(AB$3,1),[3]流入チャネル別顧客一覧_ユニーク!$H:$H,"column")+COUNTIFS([3]流入チャネル別顧客一覧_ユニーク!$C:$C,"&gt;="&amp;AB$3,[3]流入チャネル別顧客一覧_ユニーク!$C:$C,"&lt;"&amp;EDATE(AB$3,1),[3]流入チャネル別顧客一覧_ユニーク!$H:$H,"case")</f>
        <v>0</v>
      </c>
      <c r="AC45" s="2">
        <f>COUNTIFS([3]流入チャネル別顧客一覧_ユニーク!$C:$C,"&gt;="&amp;AC$3,[3]流入チャネル別顧客一覧_ユニーク!$C:$C,"&lt;"&amp;EDATE(AC$3,1),[3]流入チャネル別顧客一覧_ユニーク!$H:$H,"organic")+COUNTIFS([3]流入チャネル別顧客一覧_ユニーク!$C:$C,"&gt;="&amp;AC$3,[3]流入チャネル別顧客一覧_ユニーク!$C:$C,"&lt;"&amp;EDATE(AC$3,1),[3]流入チャネル別顧客一覧_ユニーク!$H:$H,"オーガニック検索")+COUNTIFS([3]流入チャネル別顧客一覧_ユニーク!$C:$C,"&gt;="&amp;AC$3,[3]流入チャネル別顧客一覧_ユニーク!$C:$C,"&lt;"&amp;EDATE(AC$3,1),[3]流入チャネル別顧客一覧_ユニーク!$H:$H,"column")+COUNTIFS([3]流入チャネル別顧客一覧_ユニーク!$C:$C,"&gt;="&amp;AC$3,[3]流入チャネル別顧客一覧_ユニーク!$C:$C,"&lt;"&amp;EDATE(AC$3,1),[3]流入チャネル別顧客一覧_ユニーク!$H:$H,"case")</f>
        <v>0</v>
      </c>
      <c r="AD45" s="2">
        <f>COUNTIFS([3]流入チャネル別顧客一覧_ユニーク!$C:$C,"&gt;="&amp;AD$3,[3]流入チャネル別顧客一覧_ユニーク!$C:$C,"&lt;"&amp;EDATE(AD$3,1),[3]流入チャネル別顧客一覧_ユニーク!$H:$H,"organic")+COUNTIFS([3]流入チャネル別顧客一覧_ユニーク!$C:$C,"&gt;="&amp;AD$3,[3]流入チャネル別顧客一覧_ユニーク!$C:$C,"&lt;"&amp;EDATE(AD$3,1),[3]流入チャネル別顧客一覧_ユニーク!$H:$H,"オーガニック検索")+COUNTIFS([3]流入チャネル別顧客一覧_ユニーク!$C:$C,"&gt;="&amp;AD$3,[3]流入チャネル別顧客一覧_ユニーク!$C:$C,"&lt;"&amp;EDATE(AD$3,1),[3]流入チャネル別顧客一覧_ユニーク!$H:$H,"column")+COUNTIFS([3]流入チャネル別顧客一覧_ユニーク!$C:$C,"&gt;="&amp;AD$3,[3]流入チャネル別顧客一覧_ユニーク!$C:$C,"&lt;"&amp;EDATE(AD$3,1),[3]流入チャネル別顧客一覧_ユニーク!$H:$H,"case")</f>
        <v>0</v>
      </c>
      <c r="AE45" s="2">
        <f>COUNTIFS([3]流入チャネル別顧客一覧_ユニーク!$C:$C,"&gt;="&amp;AE$3,[3]流入チャネル別顧客一覧_ユニーク!$C:$C,"&lt;"&amp;EDATE(AE$3,1),[3]流入チャネル別顧客一覧_ユニーク!$H:$H,"organic")+COUNTIFS([3]流入チャネル別顧客一覧_ユニーク!$C:$C,"&gt;="&amp;AE$3,[3]流入チャネル別顧客一覧_ユニーク!$C:$C,"&lt;"&amp;EDATE(AE$3,1),[3]流入チャネル別顧客一覧_ユニーク!$H:$H,"オーガニック検索")+COUNTIFS([3]流入チャネル別顧客一覧_ユニーク!$C:$C,"&gt;="&amp;AE$3,[3]流入チャネル別顧客一覧_ユニーク!$C:$C,"&lt;"&amp;EDATE(AE$3,1),[3]流入チャネル別顧客一覧_ユニーク!$H:$H,"column")+COUNTIFS([3]流入チャネル別顧客一覧_ユニーク!$C:$C,"&gt;="&amp;AE$3,[3]流入チャネル別顧客一覧_ユニーク!$C:$C,"&lt;"&amp;EDATE(AE$3,1),[3]流入チャネル別顧客一覧_ユニーク!$H:$H,"case")</f>
        <v>0</v>
      </c>
      <c r="AF45" s="2">
        <f>COUNTIFS([3]流入チャネル別顧客一覧_ユニーク!$C:$C,"&gt;="&amp;AF$3,[3]流入チャネル別顧客一覧_ユニーク!$C:$C,"&lt;"&amp;EDATE(AF$3,1),[3]流入チャネル別顧客一覧_ユニーク!$H:$H,"organic")+COUNTIFS([3]流入チャネル別顧客一覧_ユニーク!$C:$C,"&gt;="&amp;AF$3,[3]流入チャネル別顧客一覧_ユニーク!$C:$C,"&lt;"&amp;EDATE(AF$3,1),[3]流入チャネル別顧客一覧_ユニーク!$H:$H,"オーガニック検索")+COUNTIFS([3]流入チャネル別顧客一覧_ユニーク!$C:$C,"&gt;="&amp;AF$3,[3]流入チャネル別顧客一覧_ユニーク!$C:$C,"&lt;"&amp;EDATE(AF$3,1),[3]流入チャネル別顧客一覧_ユニーク!$H:$H,"column")+COUNTIFS([3]流入チャネル別顧客一覧_ユニーク!$C:$C,"&gt;="&amp;AF$3,[3]流入チャネル別顧客一覧_ユニーク!$C:$C,"&lt;"&amp;EDATE(AF$3,1),[3]流入チャネル別顧客一覧_ユニーク!$H:$H,"case")</f>
        <v>0</v>
      </c>
      <c r="AG45" s="2">
        <f>COUNTIFS([3]流入チャネル別顧客一覧_ユニーク!$C:$C,"&gt;="&amp;AG$3,[3]流入チャネル別顧客一覧_ユニーク!$C:$C,"&lt;"&amp;EDATE(AG$3,1),[3]流入チャネル別顧客一覧_ユニーク!$H:$H,"organic")+COUNTIFS([3]流入チャネル別顧客一覧_ユニーク!$C:$C,"&gt;="&amp;AG$3,[3]流入チャネル別顧客一覧_ユニーク!$C:$C,"&lt;"&amp;EDATE(AG$3,1),[3]流入チャネル別顧客一覧_ユニーク!$H:$H,"オーガニック検索")+COUNTIFS([3]流入チャネル別顧客一覧_ユニーク!$C:$C,"&gt;="&amp;AG$3,[3]流入チャネル別顧客一覧_ユニーク!$C:$C,"&lt;"&amp;EDATE(AG$3,1),[3]流入チャネル別顧客一覧_ユニーク!$H:$H,"column")+COUNTIFS([3]流入チャネル別顧客一覧_ユニーク!$C:$C,"&gt;="&amp;AG$3,[3]流入チャネル別顧客一覧_ユニーク!$C:$C,"&lt;"&amp;EDATE(AG$3,1),[3]流入チャネル別顧客一覧_ユニーク!$H:$H,"case")</f>
        <v>0</v>
      </c>
      <c r="AH45" s="2">
        <f>COUNTIFS([3]流入チャネル別顧客一覧_ユニーク!$C:$C,"&gt;="&amp;AH$3,[3]流入チャネル別顧客一覧_ユニーク!$C:$C,"&lt;"&amp;EDATE(AH$3,1),[3]流入チャネル別顧客一覧_ユニーク!$H:$H,"organic")+COUNTIFS([3]流入チャネル別顧客一覧_ユニーク!$C:$C,"&gt;="&amp;AH$3,[3]流入チャネル別顧客一覧_ユニーク!$C:$C,"&lt;"&amp;EDATE(AH$3,1),[3]流入チャネル別顧客一覧_ユニーク!$H:$H,"オーガニック検索")+COUNTIFS([3]流入チャネル別顧客一覧_ユニーク!$C:$C,"&gt;="&amp;AH$3,[3]流入チャネル別顧客一覧_ユニーク!$C:$C,"&lt;"&amp;EDATE(AH$3,1),[3]流入チャネル別顧客一覧_ユニーク!$H:$H,"column")+COUNTIFS([3]流入チャネル別顧客一覧_ユニーク!$C:$C,"&gt;="&amp;AH$3,[3]流入チャネル別顧客一覧_ユニーク!$C:$C,"&lt;"&amp;EDATE(AH$3,1),[3]流入チャネル別顧客一覧_ユニーク!$H:$H,"case")</f>
        <v>0</v>
      </c>
      <c r="AI45" s="2">
        <f>COUNTIFS([3]流入チャネル別顧客一覧_ユニーク!$C:$C,"&gt;="&amp;AI$3,[3]流入チャネル別顧客一覧_ユニーク!$C:$C,"&lt;"&amp;EDATE(AI$3,1),[3]流入チャネル別顧客一覧_ユニーク!$H:$H,"organic")+COUNTIFS([3]流入チャネル別顧客一覧_ユニーク!$C:$C,"&gt;="&amp;AI$3,[3]流入チャネル別顧客一覧_ユニーク!$C:$C,"&lt;"&amp;EDATE(AI$3,1),[3]流入チャネル別顧客一覧_ユニーク!$H:$H,"オーガニック検索")+COUNTIFS([3]流入チャネル別顧客一覧_ユニーク!$C:$C,"&gt;="&amp;AI$3,[3]流入チャネル別顧客一覧_ユニーク!$C:$C,"&lt;"&amp;EDATE(AI$3,1),[3]流入チャネル別顧客一覧_ユニーク!$H:$H,"column")+COUNTIFS([3]流入チャネル別顧客一覧_ユニーク!$C:$C,"&gt;="&amp;AI$3,[3]流入チャネル別顧客一覧_ユニーク!$C:$C,"&lt;"&amp;EDATE(AI$3,1),[3]流入チャネル別顧客一覧_ユニーク!$H:$H,"case")</f>
        <v>0</v>
      </c>
      <c r="AJ45" s="2">
        <f>COUNTIFS([3]流入チャネル別顧客一覧_ユニーク!$C:$C,"&gt;="&amp;AJ$3,[3]流入チャネル別顧客一覧_ユニーク!$C:$C,"&lt;"&amp;EDATE(AJ$3,1),[3]流入チャネル別顧客一覧_ユニーク!$H:$H,"organic")+COUNTIFS([3]流入チャネル別顧客一覧_ユニーク!$C:$C,"&gt;="&amp;AJ$3,[3]流入チャネル別顧客一覧_ユニーク!$C:$C,"&lt;"&amp;EDATE(AJ$3,1),[3]流入チャネル別顧客一覧_ユニーク!$H:$H,"オーガニック検索")+COUNTIFS([3]流入チャネル別顧客一覧_ユニーク!$C:$C,"&gt;="&amp;AJ$3,[3]流入チャネル別顧客一覧_ユニーク!$C:$C,"&lt;"&amp;EDATE(AJ$3,1),[3]流入チャネル別顧客一覧_ユニーク!$H:$H,"column")+COUNTIFS([3]流入チャネル別顧客一覧_ユニーク!$C:$C,"&gt;="&amp;AJ$3,[3]流入チャネル別顧客一覧_ユニーク!$C:$C,"&lt;"&amp;EDATE(AJ$3,1),[3]流入チャネル別顧客一覧_ユニーク!$H:$H,"case")</f>
        <v>0</v>
      </c>
      <c r="AK45" s="2">
        <f>COUNTIFS([3]流入チャネル別顧客一覧_ユニーク!$C:$C,"&gt;="&amp;AK$3,[3]流入チャネル別顧客一覧_ユニーク!$C:$C,"&lt;"&amp;EDATE(AK$3,1),[3]流入チャネル別顧客一覧_ユニーク!$H:$H,"organic")+COUNTIFS([3]流入チャネル別顧客一覧_ユニーク!$C:$C,"&gt;="&amp;AK$3,[3]流入チャネル別顧客一覧_ユニーク!$C:$C,"&lt;"&amp;EDATE(AK$3,1),[3]流入チャネル別顧客一覧_ユニーク!$H:$H,"オーガニック検索")+COUNTIFS([3]流入チャネル別顧客一覧_ユニーク!$C:$C,"&gt;="&amp;AK$3,[3]流入チャネル別顧客一覧_ユニーク!$C:$C,"&lt;"&amp;EDATE(AK$3,1),[3]流入チャネル別顧客一覧_ユニーク!$H:$H,"column")+COUNTIFS([3]流入チャネル別顧客一覧_ユニーク!$C:$C,"&gt;="&amp;AK$3,[3]流入チャネル別顧客一覧_ユニーク!$C:$C,"&lt;"&amp;EDATE(AK$3,1),[3]流入チャネル別顧客一覧_ユニーク!$H:$H,"case")</f>
        <v>0</v>
      </c>
      <c r="AL45" s="2">
        <f>COUNTIFS([3]流入チャネル別顧客一覧_ユニーク!$C:$C,"&gt;="&amp;AL$3,[3]流入チャネル別顧客一覧_ユニーク!$C:$C,"&lt;"&amp;EDATE(AL$3,1),[3]流入チャネル別顧客一覧_ユニーク!$H:$H,"organic")+COUNTIFS([3]流入チャネル別顧客一覧_ユニーク!$C:$C,"&gt;="&amp;AL$3,[3]流入チャネル別顧客一覧_ユニーク!$C:$C,"&lt;"&amp;EDATE(AL$3,1),[3]流入チャネル別顧客一覧_ユニーク!$H:$H,"オーガニック検索")+COUNTIFS([3]流入チャネル別顧客一覧_ユニーク!$C:$C,"&gt;="&amp;AL$3,[3]流入チャネル別顧客一覧_ユニーク!$C:$C,"&lt;"&amp;EDATE(AL$3,1),[3]流入チャネル別顧客一覧_ユニーク!$H:$H,"column")+COUNTIFS([3]流入チャネル別顧客一覧_ユニーク!$C:$C,"&gt;="&amp;AL$3,[3]流入チャネル別顧客一覧_ユニーク!$C:$C,"&lt;"&amp;EDATE(AL$3,1),[3]流入チャネル別顧客一覧_ユニーク!$H:$H,"case")</f>
        <v>0</v>
      </c>
      <c r="AM45" s="2">
        <f>SUM(N45:Y45)</f>
        <v>16</v>
      </c>
      <c r="AN45" s="2">
        <f>SUM(Z45:AK45)</f>
        <v>4</v>
      </c>
    </row>
    <row r="46" spans="1:50" ht="18">
      <c r="A46" s="1" t="s">
        <v>58</v>
      </c>
      <c r="B46" s="2" t="s">
        <v>19</v>
      </c>
      <c r="C46" s="2" t="s">
        <v>19</v>
      </c>
      <c r="D46" s="2" t="s">
        <v>19</v>
      </c>
      <c r="E46" s="2" t="s">
        <v>19</v>
      </c>
      <c r="F46" s="2" t="s">
        <v>19</v>
      </c>
      <c r="G46" s="2">
        <v>0</v>
      </c>
      <c r="H46" s="2">
        <v>0</v>
      </c>
      <c r="I46" s="2">
        <v>5</v>
      </c>
      <c r="J46" s="2">
        <v>4</v>
      </c>
      <c r="K46" s="2">
        <v>3</v>
      </c>
      <c r="L46" s="2">
        <v>0</v>
      </c>
      <c r="M46" s="2">
        <v>1</v>
      </c>
      <c r="N46" s="2">
        <f>COUNTIFS([3]流入チャネル別顧客一覧_ユニーク!$C:$C,"&gt;="&amp;N$3,[3]流入チャネル別顧客一覧_ユニーク!$C:$C,"&lt;"&amp;EDATE(N$3,1),[3]流入チャネル別顧客一覧_ユニーク!$H:$H,"listing")+COUNTIFS([3]流入チャネル別顧客一覧_ユニーク!$C:$C,"&gt;="&amp;N$3,[3]流入チャネル別顧客一覧_ユニーク!$C:$C,"&lt;"&amp;EDATE(N$3,1),[3]流入チャネル別顧客一覧_ユニーク!$H:$H,"検索連動型広告")+COUNTIFS([3]流入チャネル別顧客一覧_ユニーク!$C:$C,"&gt;="&amp;N$3,[3]流入チャネル別顧客一覧_ユニーク!$C:$C,"&lt;"&amp;EDATE(N$3,1),[3]流入チャネル別顧客一覧_ユニーク!$H:$H,"display")</f>
        <v>1</v>
      </c>
      <c r="O46" s="2">
        <f>COUNTIFS([3]流入チャネル別顧客一覧_ユニーク!$C:$C,"&gt;="&amp;O$3,[3]流入チャネル別顧客一覧_ユニーク!$C:$C,"&lt;"&amp;EDATE(O$3,1),[3]流入チャネル別顧客一覧_ユニーク!$H:$H,"listing")+COUNTIFS([3]流入チャネル別顧客一覧_ユニーク!$C:$C,"&gt;="&amp;O$3,[3]流入チャネル別顧客一覧_ユニーク!$C:$C,"&lt;"&amp;EDATE(O$3,1),[3]流入チャネル別顧客一覧_ユニーク!$H:$H,"検索連動型広告")+COUNTIFS([3]流入チャネル別顧客一覧_ユニーク!$C:$C,"&gt;="&amp;O$3,[3]流入チャネル別顧客一覧_ユニーク!$C:$C,"&lt;"&amp;EDATE(O$3,1),[3]流入チャネル別顧客一覧_ユニーク!$H:$H,"display")</f>
        <v>0</v>
      </c>
      <c r="P46" s="2">
        <f>COUNTIFS([3]流入チャネル別顧客一覧_ユニーク!$C:$C,"&gt;="&amp;P$3,[3]流入チャネル別顧客一覧_ユニーク!$C:$C,"&lt;"&amp;EDATE(P$3,1),[3]流入チャネル別顧客一覧_ユニーク!$H:$H,"listing")+COUNTIFS([3]流入チャネル別顧客一覧_ユニーク!$C:$C,"&gt;="&amp;P$3,[3]流入チャネル別顧客一覧_ユニーク!$C:$C,"&lt;"&amp;EDATE(P$3,1),[3]流入チャネル別顧客一覧_ユニーク!$H:$H,"検索連動型広告")+COUNTIFS([3]流入チャネル別顧客一覧_ユニーク!$C:$C,"&gt;="&amp;P$3,[3]流入チャネル別顧客一覧_ユニーク!$C:$C,"&lt;"&amp;EDATE(P$3,1),[3]流入チャネル別顧客一覧_ユニーク!$H:$H,"display")</f>
        <v>0</v>
      </c>
      <c r="Q46" s="2">
        <f>COUNTIFS([3]流入チャネル別顧客一覧_ユニーク!$C:$C,"&gt;="&amp;Q$3,[3]流入チャネル別顧客一覧_ユニーク!$C:$C,"&lt;"&amp;EDATE(Q$3,1),[3]流入チャネル別顧客一覧_ユニーク!$H:$H,"listing")+COUNTIFS([3]流入チャネル別顧客一覧_ユニーク!$C:$C,"&gt;="&amp;Q$3,[3]流入チャネル別顧客一覧_ユニーク!$C:$C,"&lt;"&amp;EDATE(Q$3,1),[3]流入チャネル別顧客一覧_ユニーク!$H:$H,"検索連動型広告")+COUNTIFS([3]流入チャネル別顧客一覧_ユニーク!$C:$C,"&gt;="&amp;Q$3,[3]流入チャネル別顧客一覧_ユニーク!$C:$C,"&lt;"&amp;EDATE(Q$3,1),[3]流入チャネル別顧客一覧_ユニーク!$H:$H,"display")</f>
        <v>1</v>
      </c>
      <c r="R46" s="2">
        <f>COUNTIFS([3]流入チャネル別顧客一覧_ユニーク!$C:$C,"&gt;="&amp;R$3,[3]流入チャネル別顧客一覧_ユニーク!$C:$C,"&lt;"&amp;EDATE(R$3,1),[3]流入チャネル別顧客一覧_ユニーク!$H:$H,"listing")+COUNTIFS([3]流入チャネル別顧客一覧_ユニーク!$C:$C,"&gt;="&amp;R$3,[3]流入チャネル別顧客一覧_ユニーク!$C:$C,"&lt;"&amp;EDATE(R$3,1),[3]流入チャネル別顧客一覧_ユニーク!$H:$H,"検索連動型広告")+COUNTIFS([3]流入チャネル別顧客一覧_ユニーク!$C:$C,"&gt;="&amp;R$3,[3]流入チャネル別顧客一覧_ユニーク!$C:$C,"&lt;"&amp;EDATE(R$3,1),[3]流入チャネル別顧客一覧_ユニーク!$H:$H,"display")</f>
        <v>0</v>
      </c>
      <c r="S46" s="2">
        <f>COUNTIFS([3]流入チャネル別顧客一覧_ユニーク!$C:$C,"&gt;="&amp;S$3,[3]流入チャネル別顧客一覧_ユニーク!$C:$C,"&lt;"&amp;EDATE(S$3,1),[3]流入チャネル別顧客一覧_ユニーク!$H:$H,"listing")+COUNTIFS([3]流入チャネル別顧客一覧_ユニーク!$C:$C,"&gt;="&amp;S$3,[3]流入チャネル別顧客一覧_ユニーク!$C:$C,"&lt;"&amp;EDATE(S$3,1),[3]流入チャネル別顧客一覧_ユニーク!$H:$H,"検索連動型広告")+COUNTIFS([3]流入チャネル別顧客一覧_ユニーク!$C:$C,"&gt;="&amp;S$3,[3]流入チャネル別顧客一覧_ユニーク!$C:$C,"&lt;"&amp;EDATE(S$3,1),[3]流入チャネル別顧客一覧_ユニーク!$H:$H,"display")</f>
        <v>0</v>
      </c>
      <c r="T46" s="2">
        <f>COUNTIFS([3]流入チャネル別顧客一覧_ユニーク!$C:$C,"&gt;="&amp;T$3,[3]流入チャネル別顧客一覧_ユニーク!$C:$C,"&lt;"&amp;EDATE(T$3,1),[3]流入チャネル別顧客一覧_ユニーク!$H:$H,"listing")+COUNTIFS([3]流入チャネル別顧客一覧_ユニーク!$C:$C,"&gt;="&amp;T$3,[3]流入チャネル別顧客一覧_ユニーク!$C:$C,"&lt;"&amp;EDATE(T$3,1),[3]流入チャネル別顧客一覧_ユニーク!$H:$H,"検索連動型広告")+COUNTIFS([3]流入チャネル別顧客一覧_ユニーク!$C:$C,"&gt;="&amp;T$3,[3]流入チャネル別顧客一覧_ユニーク!$C:$C,"&lt;"&amp;EDATE(T$3,1),[3]流入チャネル別顧客一覧_ユニーク!$H:$H,"display")</f>
        <v>0</v>
      </c>
      <c r="U46" s="2">
        <f>COUNTIFS([3]流入チャネル別顧客一覧_ユニーク!$C:$C,"&gt;="&amp;U$3,[3]流入チャネル別顧客一覧_ユニーク!$C:$C,"&lt;"&amp;EDATE(U$3,1),[3]流入チャネル別顧客一覧_ユニーク!$H:$H,"listing")+COUNTIFS([3]流入チャネル別顧客一覧_ユニーク!$C:$C,"&gt;="&amp;U$3,[3]流入チャネル別顧客一覧_ユニーク!$C:$C,"&lt;"&amp;EDATE(U$3,1),[3]流入チャネル別顧客一覧_ユニーク!$H:$H,"検索連動型広告")+COUNTIFS([3]流入チャネル別顧客一覧_ユニーク!$C:$C,"&gt;="&amp;U$3,[3]流入チャネル別顧客一覧_ユニーク!$C:$C,"&lt;"&amp;EDATE(U$3,1),[3]流入チャネル別顧客一覧_ユニーク!$H:$H,"display")</f>
        <v>0</v>
      </c>
      <c r="V46" s="2">
        <f>COUNTIFS([3]流入チャネル別顧客一覧_ユニーク!$C:$C,"&gt;="&amp;V$3,[3]流入チャネル別顧客一覧_ユニーク!$C:$C,"&lt;"&amp;EDATE(V$3,1),[3]流入チャネル別顧客一覧_ユニーク!$H:$H,"listing")+COUNTIFS([3]流入チャネル別顧客一覧_ユニーク!$C:$C,"&gt;="&amp;V$3,[3]流入チャネル別顧客一覧_ユニーク!$C:$C,"&lt;"&amp;EDATE(V$3,1),[3]流入チャネル別顧客一覧_ユニーク!$H:$H,"検索連動型広告")+COUNTIFS([3]流入チャネル別顧客一覧_ユニーク!$C:$C,"&gt;="&amp;V$3,[3]流入チャネル別顧客一覧_ユニーク!$C:$C,"&lt;"&amp;EDATE(V$3,1),[3]流入チャネル別顧客一覧_ユニーク!$H:$H,"display")</f>
        <v>0</v>
      </c>
      <c r="W46" s="2">
        <f>COUNTIFS([3]流入チャネル別顧客一覧_ユニーク!$C:$C,"&gt;="&amp;W$3,[3]流入チャネル別顧客一覧_ユニーク!$C:$C,"&lt;"&amp;EDATE(W$3,1),[3]流入チャネル別顧客一覧_ユニーク!$H:$H,"listing")+COUNTIFS([3]流入チャネル別顧客一覧_ユニーク!$C:$C,"&gt;="&amp;W$3,[3]流入チャネル別顧客一覧_ユニーク!$C:$C,"&lt;"&amp;EDATE(W$3,1),[3]流入チャネル別顧客一覧_ユニーク!$H:$H,"検索連動型広告")+COUNTIFS([3]流入チャネル別顧客一覧_ユニーク!$C:$C,"&gt;="&amp;W$3,[3]流入チャネル別顧客一覧_ユニーク!$C:$C,"&lt;"&amp;EDATE(W$3,1),[3]流入チャネル別顧客一覧_ユニーク!$H:$H,"display")</f>
        <v>0</v>
      </c>
      <c r="X46" s="2">
        <f>COUNTIFS([3]流入チャネル別顧客一覧_ユニーク!$C:$C,"&gt;="&amp;X$3,[3]流入チャネル別顧客一覧_ユニーク!$C:$C,"&lt;"&amp;EDATE(X$3,1),[3]流入チャネル別顧客一覧_ユニーク!$H:$H,"listing")+COUNTIFS([3]流入チャネル別顧客一覧_ユニーク!$C:$C,"&gt;="&amp;X$3,[3]流入チャネル別顧客一覧_ユニーク!$C:$C,"&lt;"&amp;EDATE(X$3,1),[3]流入チャネル別顧客一覧_ユニーク!$H:$H,"検索連動型広告")+COUNTIFS([3]流入チャネル別顧客一覧_ユニーク!$C:$C,"&gt;="&amp;X$3,[3]流入チャネル別顧客一覧_ユニーク!$C:$C,"&lt;"&amp;EDATE(X$3,1),[3]流入チャネル別顧客一覧_ユニーク!$H:$H,"display")</f>
        <v>0</v>
      </c>
      <c r="Y46" s="2">
        <f>COUNTIFS([3]流入チャネル別顧客一覧_ユニーク!$C:$C,"&gt;="&amp;Y$3,[3]流入チャネル別顧客一覧_ユニーク!$C:$C,"&lt;"&amp;EDATE(Y$3,1),[3]流入チャネル別顧客一覧_ユニーク!$H:$H,"listing")+COUNTIFS([3]流入チャネル別顧客一覧_ユニーク!$C:$C,"&gt;="&amp;Y$3,[3]流入チャネル別顧客一覧_ユニーク!$C:$C,"&lt;"&amp;EDATE(Y$3,1),[3]流入チャネル別顧客一覧_ユニーク!$H:$H,"検索連動型広告")+COUNTIFS([3]流入チャネル別顧客一覧_ユニーク!$C:$C,"&gt;="&amp;Y$3,[3]流入チャネル別顧客一覧_ユニーク!$C:$C,"&lt;"&amp;EDATE(Y$3,1),[3]流入チャネル別顧客一覧_ユニーク!$H:$H,"display")</f>
        <v>0</v>
      </c>
      <c r="Z46" s="2">
        <f>COUNTIFS([3]流入チャネル別顧客一覧_ユニーク!$C:$C,"&gt;="&amp;Z$3,[3]流入チャネル別顧客一覧_ユニーク!$C:$C,"&lt;"&amp;EDATE(Z$3,1),[3]流入チャネル別顧客一覧_ユニーク!$H:$H,"listing")+COUNTIFS([3]流入チャネル別顧客一覧_ユニーク!$C:$C,"&gt;="&amp;Z$3,[3]流入チャネル別顧客一覧_ユニーク!$C:$C,"&lt;"&amp;EDATE(Z$3,1),[3]流入チャネル別顧客一覧_ユニーク!$H:$H,"検索連動型広告")+COUNTIFS([3]流入チャネル別顧客一覧_ユニーク!$C:$C,"&gt;="&amp;Z$3,[3]流入チャネル別顧客一覧_ユニーク!$C:$C,"&lt;"&amp;EDATE(Z$3,1),[3]流入チャネル別顧客一覧_ユニーク!$H:$H,"display")</f>
        <v>0</v>
      </c>
      <c r="AA46" s="2">
        <f>COUNTIFS([3]流入チャネル別顧客一覧_ユニーク!$C:$C,"&gt;="&amp;AA$3,[3]流入チャネル別顧客一覧_ユニーク!$C:$C,"&lt;"&amp;EDATE(AA$3,1),[3]流入チャネル別顧客一覧_ユニーク!$H:$H,"listing")+COUNTIFS([3]流入チャネル別顧客一覧_ユニーク!$C:$C,"&gt;="&amp;AA$3,[3]流入チャネル別顧客一覧_ユニーク!$C:$C,"&lt;"&amp;EDATE(AA$3,1),[3]流入チャネル別顧客一覧_ユニーク!$H:$H,"検索連動型広告")+COUNTIFS([3]流入チャネル別顧客一覧_ユニーク!$C:$C,"&gt;="&amp;AA$3,[3]流入チャネル別顧客一覧_ユニーク!$C:$C,"&lt;"&amp;EDATE(AA$3,1),[3]流入チャネル別顧客一覧_ユニーク!$H:$H,"display")</f>
        <v>0</v>
      </c>
      <c r="AB46" s="2">
        <f>COUNTIFS([3]流入チャネル別顧客一覧_ユニーク!$C:$C,"&gt;="&amp;AB$3,[3]流入チャネル別顧客一覧_ユニーク!$C:$C,"&lt;"&amp;EDATE(AB$3,1),[3]流入チャネル別顧客一覧_ユニーク!$H:$H,"listing")+COUNTIFS([3]流入チャネル別顧客一覧_ユニーク!$C:$C,"&gt;="&amp;AB$3,[3]流入チャネル別顧客一覧_ユニーク!$C:$C,"&lt;"&amp;EDATE(AB$3,1),[3]流入チャネル別顧客一覧_ユニーク!$H:$H,"検索連動型広告")+COUNTIFS([3]流入チャネル別顧客一覧_ユニーク!$C:$C,"&gt;="&amp;AB$3,[3]流入チャネル別顧客一覧_ユニーク!$C:$C,"&lt;"&amp;EDATE(AB$3,1),[3]流入チャネル別顧客一覧_ユニーク!$H:$H,"display")</f>
        <v>0</v>
      </c>
      <c r="AC46" s="2">
        <f>COUNTIFS([3]流入チャネル別顧客一覧_ユニーク!$C:$C,"&gt;="&amp;AC$3,[3]流入チャネル別顧客一覧_ユニーク!$C:$C,"&lt;"&amp;EDATE(AC$3,1),[3]流入チャネル別顧客一覧_ユニーク!$H:$H,"listing")+COUNTIFS([3]流入チャネル別顧客一覧_ユニーク!$C:$C,"&gt;="&amp;AC$3,[3]流入チャネル別顧客一覧_ユニーク!$C:$C,"&lt;"&amp;EDATE(AC$3,1),[3]流入チャネル別顧客一覧_ユニーク!$H:$H,"検索連動型広告")+COUNTIFS([3]流入チャネル別顧客一覧_ユニーク!$C:$C,"&gt;="&amp;AC$3,[3]流入チャネル別顧客一覧_ユニーク!$C:$C,"&lt;"&amp;EDATE(AC$3,1),[3]流入チャネル別顧客一覧_ユニーク!$H:$H,"display")</f>
        <v>0</v>
      </c>
      <c r="AD46" s="2">
        <f>COUNTIFS([3]流入チャネル別顧客一覧_ユニーク!$C:$C,"&gt;="&amp;AD$3,[3]流入チャネル別顧客一覧_ユニーク!$C:$C,"&lt;"&amp;EDATE(AD$3,1),[3]流入チャネル別顧客一覧_ユニーク!$H:$H,"listing")+COUNTIFS([3]流入チャネル別顧客一覧_ユニーク!$C:$C,"&gt;="&amp;AD$3,[3]流入チャネル別顧客一覧_ユニーク!$C:$C,"&lt;"&amp;EDATE(AD$3,1),[3]流入チャネル別顧客一覧_ユニーク!$H:$H,"検索連動型広告")+COUNTIFS([3]流入チャネル別顧客一覧_ユニーク!$C:$C,"&gt;="&amp;AD$3,[3]流入チャネル別顧客一覧_ユニーク!$C:$C,"&lt;"&amp;EDATE(AD$3,1),[3]流入チャネル別顧客一覧_ユニーク!$H:$H,"display")</f>
        <v>0</v>
      </c>
      <c r="AE46" s="2">
        <f>COUNTIFS([3]流入チャネル別顧客一覧_ユニーク!$C:$C,"&gt;="&amp;AE$3,[3]流入チャネル別顧客一覧_ユニーク!$C:$C,"&lt;"&amp;EDATE(AE$3,1),[3]流入チャネル別顧客一覧_ユニーク!$H:$H,"listing")+COUNTIFS([3]流入チャネル別顧客一覧_ユニーク!$C:$C,"&gt;="&amp;AE$3,[3]流入チャネル別顧客一覧_ユニーク!$C:$C,"&lt;"&amp;EDATE(AE$3,1),[3]流入チャネル別顧客一覧_ユニーク!$H:$H,"検索連動型広告")+COUNTIFS([3]流入チャネル別顧客一覧_ユニーク!$C:$C,"&gt;="&amp;AE$3,[3]流入チャネル別顧客一覧_ユニーク!$C:$C,"&lt;"&amp;EDATE(AE$3,1),[3]流入チャネル別顧客一覧_ユニーク!$H:$H,"display")</f>
        <v>0</v>
      </c>
      <c r="AF46" s="2">
        <f>COUNTIFS([3]流入チャネル別顧客一覧_ユニーク!$C:$C,"&gt;="&amp;AF$3,[3]流入チャネル別顧客一覧_ユニーク!$C:$C,"&lt;"&amp;EDATE(AF$3,1),[3]流入チャネル別顧客一覧_ユニーク!$H:$H,"listing")+COUNTIFS([3]流入チャネル別顧客一覧_ユニーク!$C:$C,"&gt;="&amp;AF$3,[3]流入チャネル別顧客一覧_ユニーク!$C:$C,"&lt;"&amp;EDATE(AF$3,1),[3]流入チャネル別顧客一覧_ユニーク!$H:$H,"検索連動型広告")+COUNTIFS([3]流入チャネル別顧客一覧_ユニーク!$C:$C,"&gt;="&amp;AF$3,[3]流入チャネル別顧客一覧_ユニーク!$C:$C,"&lt;"&amp;EDATE(AF$3,1),[3]流入チャネル別顧客一覧_ユニーク!$H:$H,"display")</f>
        <v>0</v>
      </c>
      <c r="AG46" s="2">
        <f>COUNTIFS([3]流入チャネル別顧客一覧_ユニーク!$C:$C,"&gt;="&amp;AG$3,[3]流入チャネル別顧客一覧_ユニーク!$C:$C,"&lt;"&amp;EDATE(AG$3,1),[3]流入チャネル別顧客一覧_ユニーク!$H:$H,"listing")+COUNTIFS([3]流入チャネル別顧客一覧_ユニーク!$C:$C,"&gt;="&amp;AG$3,[3]流入チャネル別顧客一覧_ユニーク!$C:$C,"&lt;"&amp;EDATE(AG$3,1),[3]流入チャネル別顧客一覧_ユニーク!$H:$H,"検索連動型広告")+COUNTIFS([3]流入チャネル別顧客一覧_ユニーク!$C:$C,"&gt;="&amp;AG$3,[3]流入チャネル別顧客一覧_ユニーク!$C:$C,"&lt;"&amp;EDATE(AG$3,1),[3]流入チャネル別顧客一覧_ユニーク!$H:$H,"display")</f>
        <v>0</v>
      </c>
      <c r="AH46" s="2">
        <f>COUNTIFS([3]流入チャネル別顧客一覧_ユニーク!$C:$C,"&gt;="&amp;AH$3,[3]流入チャネル別顧客一覧_ユニーク!$C:$C,"&lt;"&amp;EDATE(AH$3,1),[3]流入チャネル別顧客一覧_ユニーク!$H:$H,"listing")+COUNTIFS([3]流入チャネル別顧客一覧_ユニーク!$C:$C,"&gt;="&amp;AH$3,[3]流入チャネル別顧客一覧_ユニーク!$C:$C,"&lt;"&amp;EDATE(AH$3,1),[3]流入チャネル別顧客一覧_ユニーク!$H:$H,"検索連動型広告")+COUNTIFS([3]流入チャネル別顧客一覧_ユニーク!$C:$C,"&gt;="&amp;AH$3,[3]流入チャネル別顧客一覧_ユニーク!$C:$C,"&lt;"&amp;EDATE(AH$3,1),[3]流入チャネル別顧客一覧_ユニーク!$H:$H,"display")</f>
        <v>0</v>
      </c>
      <c r="AI46" s="2">
        <f>COUNTIFS([3]流入チャネル別顧客一覧_ユニーク!$C:$C,"&gt;="&amp;AI$3,[3]流入チャネル別顧客一覧_ユニーク!$C:$C,"&lt;"&amp;EDATE(AI$3,1),[3]流入チャネル別顧客一覧_ユニーク!$H:$H,"listing")+COUNTIFS([3]流入チャネル別顧客一覧_ユニーク!$C:$C,"&gt;="&amp;AI$3,[3]流入チャネル別顧客一覧_ユニーク!$C:$C,"&lt;"&amp;EDATE(AI$3,1),[3]流入チャネル別顧客一覧_ユニーク!$H:$H,"検索連動型広告")+COUNTIFS([3]流入チャネル別顧客一覧_ユニーク!$C:$C,"&gt;="&amp;AI$3,[3]流入チャネル別顧客一覧_ユニーク!$C:$C,"&lt;"&amp;EDATE(AI$3,1),[3]流入チャネル別顧客一覧_ユニーク!$H:$H,"display")</f>
        <v>0</v>
      </c>
      <c r="AJ46" s="2">
        <f>COUNTIFS([3]流入チャネル別顧客一覧_ユニーク!$C:$C,"&gt;="&amp;AJ$3,[3]流入チャネル別顧客一覧_ユニーク!$C:$C,"&lt;"&amp;EDATE(AJ$3,1),[3]流入チャネル別顧客一覧_ユニーク!$H:$H,"listing")+COUNTIFS([3]流入チャネル別顧客一覧_ユニーク!$C:$C,"&gt;="&amp;AJ$3,[3]流入チャネル別顧客一覧_ユニーク!$C:$C,"&lt;"&amp;EDATE(AJ$3,1),[3]流入チャネル別顧客一覧_ユニーク!$H:$H,"検索連動型広告")+COUNTIFS([3]流入チャネル別顧客一覧_ユニーク!$C:$C,"&gt;="&amp;AJ$3,[3]流入チャネル別顧客一覧_ユニーク!$C:$C,"&lt;"&amp;EDATE(AJ$3,1),[3]流入チャネル別顧客一覧_ユニーク!$H:$H,"display")</f>
        <v>0</v>
      </c>
      <c r="AK46" s="2">
        <f>COUNTIFS([3]流入チャネル別顧客一覧_ユニーク!$C:$C,"&gt;="&amp;AK$3,[3]流入チャネル別顧客一覧_ユニーク!$C:$C,"&lt;"&amp;EDATE(AK$3,1),[3]流入チャネル別顧客一覧_ユニーク!$H:$H,"listing")+COUNTIFS([3]流入チャネル別顧客一覧_ユニーク!$C:$C,"&gt;="&amp;AK$3,[3]流入チャネル別顧客一覧_ユニーク!$C:$C,"&lt;"&amp;EDATE(AK$3,1),[3]流入チャネル別顧客一覧_ユニーク!$H:$H,"検索連動型広告")+COUNTIFS([3]流入チャネル別顧客一覧_ユニーク!$C:$C,"&gt;="&amp;AK$3,[3]流入チャネル別顧客一覧_ユニーク!$C:$C,"&lt;"&amp;EDATE(AK$3,1),[3]流入チャネル別顧客一覧_ユニーク!$H:$H,"display")</f>
        <v>0</v>
      </c>
      <c r="AL46" s="2">
        <f>COUNTIFS([3]流入チャネル別顧客一覧_ユニーク!$C:$C,"&gt;="&amp;AL$3,[3]流入チャネル別顧客一覧_ユニーク!$C:$C,"&lt;"&amp;EDATE(AL$3,1),[3]流入チャネル別顧客一覧_ユニーク!$H:$H,"listing")+COUNTIFS([3]流入チャネル別顧客一覧_ユニーク!$C:$C,"&gt;="&amp;AL$3,[3]流入チャネル別顧客一覧_ユニーク!$C:$C,"&lt;"&amp;EDATE(AL$3,1),[3]流入チャネル別顧客一覧_ユニーク!$H:$H,"検索連動型広告")+COUNTIFS([3]流入チャネル別顧客一覧_ユニーク!$C:$C,"&gt;="&amp;AL$3,[3]流入チャネル別顧客一覧_ユニーク!$C:$C,"&lt;"&amp;EDATE(AL$3,1),[3]流入チャネル別顧客一覧_ユニーク!$H:$H,"display")</f>
        <v>0</v>
      </c>
      <c r="AM46" s="2">
        <f t="shared" ref="AM46:AM53" si="38">SUM(N46:Y46)</f>
        <v>2</v>
      </c>
      <c r="AN46" s="2">
        <f t="shared" ref="AN46:AN53" si="39">SUM(Z46:AK46)</f>
        <v>0</v>
      </c>
    </row>
    <row r="47" spans="1:50" ht="18">
      <c r="A47" s="141" t="s">
        <v>59</v>
      </c>
      <c r="B47" s="2"/>
      <c r="C47" s="2"/>
      <c r="D47" s="2"/>
      <c r="V47" s="2">
        <f>COUNTIFS([3]流入チャネル別顧客一覧_ユニーク!$C:$C,"&gt;="&amp;V$3,[3]流入チャネル別顧客一覧_ユニーク!$C:$C,"&lt;"&amp;EDATE(V$3,1),[3]流入チャネル別顧客一覧_ユニーク!$H:$H,"display")</f>
        <v>0</v>
      </c>
      <c r="W47" s="2">
        <f>COUNTIFS([3]流入チャネル別顧客一覧_ユニーク!$C:$C,"&gt;="&amp;W$3,[3]流入チャネル別顧客一覧_ユニーク!$C:$C,"&lt;"&amp;EDATE(W$3,1),[3]流入チャネル別顧客一覧_ユニーク!$H:$H,"display")</f>
        <v>0</v>
      </c>
      <c r="X47" s="2">
        <f>COUNTIFS([3]流入チャネル別顧客一覧_ユニーク!$C:$C,"&gt;="&amp;X$3,[3]流入チャネル別顧客一覧_ユニーク!$C:$C,"&lt;"&amp;EDATE(X$3,1),[3]流入チャネル別顧客一覧_ユニーク!$H:$H,"display")</f>
        <v>0</v>
      </c>
      <c r="Y47" s="2">
        <f>COUNTIFS([3]流入チャネル別顧客一覧_ユニーク!$C:$C,"&gt;="&amp;Y$3,[3]流入チャネル別顧客一覧_ユニーク!$C:$C,"&lt;"&amp;EDATE(Y$3,1),[3]流入チャネル別顧客一覧_ユニーク!$H:$H,"display")</f>
        <v>0</v>
      </c>
      <c r="Z47" s="2">
        <f>COUNTIFS([3]流入チャネル別顧客一覧_ユニーク!$C:$C,"&gt;="&amp;Z$3,[3]流入チャネル別顧客一覧_ユニーク!$C:$C,"&lt;"&amp;EDATE(Z$3,1),[3]流入チャネル別顧客一覧_ユニーク!$H:$H,"display")</f>
        <v>0</v>
      </c>
      <c r="AA47" s="2">
        <f>COUNTIFS([3]流入チャネル別顧客一覧_ユニーク!$C:$C,"&gt;="&amp;AA$3,[3]流入チャネル別顧客一覧_ユニーク!$C:$C,"&lt;"&amp;EDATE(AA$3,1),[3]流入チャネル別顧客一覧_ユニーク!$H:$H,"display")</f>
        <v>0</v>
      </c>
      <c r="AB47" s="2">
        <f>COUNTIFS([3]流入チャネル別顧客一覧_ユニーク!$C:$C,"&gt;="&amp;AB$3,[3]流入チャネル別顧客一覧_ユニーク!$C:$C,"&lt;"&amp;EDATE(AB$3,1),[3]流入チャネル別顧客一覧_ユニーク!$H:$H,"display")</f>
        <v>0</v>
      </c>
      <c r="AC47" s="2">
        <f>COUNTIFS([3]流入チャネル別顧客一覧_ユニーク!$C:$C,"&gt;="&amp;AC$3,[3]流入チャネル別顧客一覧_ユニーク!$C:$C,"&lt;"&amp;EDATE(AC$3,1),[3]流入チャネル別顧客一覧_ユニーク!$H:$H,"display")</f>
        <v>0</v>
      </c>
      <c r="AD47" s="2">
        <f>COUNTIFS([3]流入チャネル別顧客一覧_ユニーク!$C:$C,"&gt;="&amp;AD$3,[3]流入チャネル別顧客一覧_ユニーク!$C:$C,"&lt;"&amp;EDATE(AD$3,1),[3]流入チャネル別顧客一覧_ユニーク!$H:$H,"display")</f>
        <v>0</v>
      </c>
      <c r="AE47" s="2">
        <f>COUNTIFS([3]流入チャネル別顧客一覧_ユニーク!$C:$C,"&gt;="&amp;AE$3,[3]流入チャネル別顧客一覧_ユニーク!$C:$C,"&lt;"&amp;EDATE(AE$3,1),[3]流入チャネル別顧客一覧_ユニーク!$H:$H,"display")</f>
        <v>0</v>
      </c>
      <c r="AF47" s="2">
        <f>COUNTIFS([3]流入チャネル別顧客一覧_ユニーク!$C:$C,"&gt;="&amp;AF$3,[3]流入チャネル別顧客一覧_ユニーク!$C:$C,"&lt;"&amp;EDATE(AF$3,1),[3]流入チャネル別顧客一覧_ユニーク!$H:$H,"display")</f>
        <v>0</v>
      </c>
      <c r="AG47" s="2">
        <f>COUNTIFS([3]流入チャネル別顧客一覧_ユニーク!$C:$C,"&gt;="&amp;AG$3,[3]流入チャネル別顧客一覧_ユニーク!$C:$C,"&lt;"&amp;EDATE(AG$3,1),[3]流入チャネル別顧客一覧_ユニーク!$H:$H,"display")</f>
        <v>0</v>
      </c>
      <c r="AH47" s="2">
        <f>COUNTIFS([3]流入チャネル別顧客一覧_ユニーク!$C:$C,"&gt;="&amp;AH$3,[3]流入チャネル別顧客一覧_ユニーク!$C:$C,"&lt;"&amp;EDATE(AH$3,1),[3]流入チャネル別顧客一覧_ユニーク!$H:$H,"display")</f>
        <v>0</v>
      </c>
      <c r="AI47" s="2">
        <f>COUNTIFS([3]流入チャネル別顧客一覧_ユニーク!$C:$C,"&gt;="&amp;AI$3,[3]流入チャネル別顧客一覧_ユニーク!$C:$C,"&lt;"&amp;EDATE(AI$3,1),[3]流入チャネル別顧客一覧_ユニーク!$H:$H,"display")</f>
        <v>0</v>
      </c>
      <c r="AJ47" s="2">
        <f>COUNTIFS([3]流入チャネル別顧客一覧_ユニーク!$C:$C,"&gt;="&amp;AJ$3,[3]流入チャネル別顧客一覧_ユニーク!$C:$C,"&lt;"&amp;EDATE(AJ$3,1),[3]流入チャネル別顧客一覧_ユニーク!$H:$H,"display")</f>
        <v>0</v>
      </c>
      <c r="AK47" s="2">
        <f>COUNTIFS([3]流入チャネル別顧客一覧_ユニーク!$C:$C,"&gt;="&amp;AK$3,[3]流入チャネル別顧客一覧_ユニーク!$C:$C,"&lt;"&amp;EDATE(AK$3,1),[3]流入チャネル別顧客一覧_ユニーク!$H:$H,"display")</f>
        <v>0</v>
      </c>
      <c r="AL47" s="2">
        <f>COUNTIFS([3]流入チャネル別顧客一覧_ユニーク!$C:$C,"&gt;="&amp;AL$3,[3]流入チャネル別顧客一覧_ユニーク!$C:$C,"&lt;"&amp;EDATE(AL$3,1),[3]流入チャネル別顧客一覧_ユニーク!$H:$H,"display")</f>
        <v>0</v>
      </c>
      <c r="AM47" s="2">
        <f t="shared" si="38"/>
        <v>0</v>
      </c>
      <c r="AN47" s="2">
        <f t="shared" si="39"/>
        <v>0</v>
      </c>
    </row>
    <row r="48" spans="1:50" ht="18">
      <c r="A48" s="1" t="s">
        <v>60</v>
      </c>
      <c r="B48" s="2" t="s">
        <v>19</v>
      </c>
      <c r="C48" s="2" t="s">
        <v>19</v>
      </c>
      <c r="D48" s="2" t="s">
        <v>19</v>
      </c>
      <c r="E48" s="2" t="s">
        <v>19</v>
      </c>
      <c r="F48" s="2" t="s">
        <v>19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2</v>
      </c>
      <c r="M48" s="2">
        <v>1</v>
      </c>
      <c r="N48" s="2">
        <f>COUNTIFS([3]流入チャネル別顧客一覧_ユニーク!$C:$C,"&gt;="&amp;N$3,[3]流入チャネル別顧客一覧_ユニーク!$C:$C,"&lt;"&amp;EDATE(N$3,1),[3]流入チャネル別顧客一覧_ユニーク!$H:$H,"mail")+COUNTIFS([3]流入チャネル別顧客一覧_ユニーク!$C:$C,"&gt;="&amp;N$3,[3]流入チャネル別顧客一覧_ユニーク!$C:$C,"&lt;"&amp;EDATE(N$3,1),[3]流入チャネル別顧客一覧_ユニーク!$H:$H,"Eメールマーケティング")</f>
        <v>0</v>
      </c>
      <c r="O48" s="2">
        <f>COUNTIFS([3]流入チャネル別顧客一覧_ユニーク!$C:$C,"&gt;="&amp;O$3,[3]流入チャネル別顧客一覧_ユニーク!$C:$C,"&lt;"&amp;EDATE(O$3,1),[3]流入チャネル別顧客一覧_ユニーク!$H:$H,"mail")+COUNTIFS([3]流入チャネル別顧客一覧_ユニーク!$C:$C,"&gt;="&amp;O$3,[3]流入チャネル別顧客一覧_ユニーク!$C:$C,"&lt;"&amp;EDATE(O$3,1),[3]流入チャネル別顧客一覧_ユニーク!$H:$H,"Eメールマーケティング")</f>
        <v>0</v>
      </c>
      <c r="P48" s="2">
        <f>COUNTIFS([3]流入チャネル別顧客一覧_ユニーク!$C:$C,"&gt;="&amp;P$3,[3]流入チャネル別顧客一覧_ユニーク!$C:$C,"&lt;"&amp;EDATE(P$3,1),[3]流入チャネル別顧客一覧_ユニーク!$H:$H,"mail")+COUNTIFS([3]流入チャネル別顧客一覧_ユニーク!$C:$C,"&gt;="&amp;P$3,[3]流入チャネル別顧客一覧_ユニーク!$C:$C,"&lt;"&amp;EDATE(P$3,1),[3]流入チャネル別顧客一覧_ユニーク!$H:$H,"Eメールマーケティング")</f>
        <v>1</v>
      </c>
      <c r="Q48" s="2">
        <f>COUNTIFS([3]流入チャネル別顧客一覧_ユニーク!$C:$C,"&gt;="&amp;Q$3,[3]流入チャネル別顧客一覧_ユニーク!$C:$C,"&lt;"&amp;EDATE(Q$3,1),[3]流入チャネル別顧客一覧_ユニーク!$H:$H,"mail")+COUNTIFS([3]流入チャネル別顧客一覧_ユニーク!$C:$C,"&gt;="&amp;Q$3,[3]流入チャネル別顧客一覧_ユニーク!$C:$C,"&lt;"&amp;EDATE(Q$3,1),[3]流入チャネル別顧客一覧_ユニーク!$H:$H,"Eメールマーケティング")</f>
        <v>1</v>
      </c>
      <c r="R48" s="2">
        <f>COUNTIFS([3]流入チャネル別顧客一覧_ユニーク!$C:$C,"&gt;="&amp;R$3,[3]流入チャネル別顧客一覧_ユニーク!$C:$C,"&lt;"&amp;EDATE(R$3,1),[3]流入チャネル別顧客一覧_ユニーク!$H:$H,"mail")+COUNTIFS([3]流入チャネル別顧客一覧_ユニーク!$C:$C,"&gt;="&amp;R$3,[3]流入チャネル別顧客一覧_ユニーク!$C:$C,"&lt;"&amp;EDATE(R$3,1),[3]流入チャネル別顧客一覧_ユニーク!$H:$H,"Eメールマーケティング")</f>
        <v>0</v>
      </c>
      <c r="S48" s="2">
        <f>COUNTIFS([3]流入チャネル別顧客一覧_ユニーク!$C:$C,"&gt;="&amp;S$3,[3]流入チャネル別顧客一覧_ユニーク!$C:$C,"&lt;"&amp;EDATE(S$3,1),[3]流入チャネル別顧客一覧_ユニーク!$H:$H,"mail")+COUNTIFS([3]流入チャネル別顧客一覧_ユニーク!$C:$C,"&gt;="&amp;S$3,[3]流入チャネル別顧客一覧_ユニーク!$C:$C,"&lt;"&amp;EDATE(S$3,1),[3]流入チャネル別顧客一覧_ユニーク!$H:$H,"Eメールマーケティング")</f>
        <v>0</v>
      </c>
      <c r="T48" s="2">
        <f>COUNTIFS([3]流入チャネル別顧客一覧_ユニーク!$C:$C,"&gt;="&amp;T$3,[3]流入チャネル別顧客一覧_ユニーク!$C:$C,"&lt;"&amp;EDATE(T$3,1),[3]流入チャネル別顧客一覧_ユニーク!$H:$H,"mail")+COUNTIFS([3]流入チャネル別顧客一覧_ユニーク!$C:$C,"&gt;="&amp;T$3,[3]流入チャネル別顧客一覧_ユニーク!$C:$C,"&lt;"&amp;EDATE(T$3,1),[3]流入チャネル別顧客一覧_ユニーク!$H:$H,"Eメールマーケティング")</f>
        <v>1</v>
      </c>
      <c r="U48" s="2">
        <f>COUNTIFS([3]流入チャネル別顧客一覧_ユニーク!$C:$C,"&gt;="&amp;U$3,[3]流入チャネル別顧客一覧_ユニーク!$C:$C,"&lt;"&amp;EDATE(U$3,1),[3]流入チャネル別顧客一覧_ユニーク!$H:$H,"mail")+COUNTIFS([3]流入チャネル別顧客一覧_ユニーク!$C:$C,"&gt;="&amp;U$3,[3]流入チャネル別顧客一覧_ユニーク!$C:$C,"&lt;"&amp;EDATE(U$3,1),[3]流入チャネル別顧客一覧_ユニーク!$H:$H,"Eメールマーケティング")</f>
        <v>0</v>
      </c>
      <c r="V48" s="2">
        <f>COUNTIFS([3]流入チャネル別顧客一覧_ユニーク!$C:$C,"&gt;="&amp;V$3,[3]流入チャネル別顧客一覧_ユニーク!$C:$C,"&lt;"&amp;EDATE(V$3,1),[3]流入チャネル別顧客一覧_ユニーク!$H:$H,"mail")+COUNTIFS([3]流入チャネル別顧客一覧_ユニーク!$C:$C,"&gt;="&amp;V$3,[3]流入チャネル別顧客一覧_ユニーク!$C:$C,"&lt;"&amp;EDATE(V$3,1),[3]流入チャネル別顧客一覧_ユニーク!$H:$H,"Eメールマーケティング")</f>
        <v>0</v>
      </c>
      <c r="W48" s="2">
        <f>COUNTIFS([3]流入チャネル別顧客一覧_ユニーク!$C:$C,"&gt;="&amp;W$3,[3]流入チャネル別顧客一覧_ユニーク!$C:$C,"&lt;"&amp;EDATE(W$3,1),[3]流入チャネル別顧客一覧_ユニーク!$H:$H,"mail")+COUNTIFS([3]流入チャネル別顧客一覧_ユニーク!$C:$C,"&gt;="&amp;W$3,[3]流入チャネル別顧客一覧_ユニーク!$C:$C,"&lt;"&amp;EDATE(W$3,1),[3]流入チャネル別顧客一覧_ユニーク!$H:$H,"Eメールマーケティング")</f>
        <v>0</v>
      </c>
      <c r="X48" s="2">
        <f>COUNTIFS([3]流入チャネル別顧客一覧_ユニーク!$C:$C,"&gt;="&amp;X$3,[3]流入チャネル別顧客一覧_ユニーク!$C:$C,"&lt;"&amp;EDATE(X$3,1),[3]流入チャネル別顧客一覧_ユニーク!$H:$H,"mail")+COUNTIFS([3]流入チャネル別顧客一覧_ユニーク!$C:$C,"&gt;="&amp;X$3,[3]流入チャネル別顧客一覧_ユニーク!$C:$C,"&lt;"&amp;EDATE(X$3,1),[3]流入チャネル別顧客一覧_ユニーク!$H:$H,"Eメールマーケティング")</f>
        <v>0</v>
      </c>
      <c r="Y48" s="2">
        <f>COUNTIFS([3]流入チャネル別顧客一覧_ユニーク!$C:$C,"&gt;="&amp;Y$3,[3]流入チャネル別顧客一覧_ユニーク!$C:$C,"&lt;"&amp;EDATE(Y$3,1),[3]流入チャネル別顧客一覧_ユニーク!$H:$H,"mail")+COUNTIFS([3]流入チャネル別顧客一覧_ユニーク!$C:$C,"&gt;="&amp;Y$3,[3]流入チャネル別顧客一覧_ユニーク!$C:$C,"&lt;"&amp;EDATE(Y$3,1),[3]流入チャネル別顧客一覧_ユニーク!$H:$H,"Eメールマーケティング")</f>
        <v>0</v>
      </c>
      <c r="Z48" s="2">
        <f>COUNTIFS([3]流入チャネル別顧客一覧_ユニーク!$C:$C,"&gt;="&amp;Z$3,[3]流入チャネル別顧客一覧_ユニーク!$C:$C,"&lt;"&amp;EDATE(Z$3,1),[3]流入チャネル別顧客一覧_ユニーク!$H:$H,"mail")+COUNTIFS([3]流入チャネル別顧客一覧_ユニーク!$C:$C,"&gt;="&amp;Z$3,[3]流入チャネル別顧客一覧_ユニーク!$C:$C,"&lt;"&amp;EDATE(Z$3,1),[3]流入チャネル別顧客一覧_ユニーク!$H:$H,"Eメールマーケティング")</f>
        <v>0</v>
      </c>
      <c r="AA48" s="2">
        <f>COUNTIFS([3]流入チャネル別顧客一覧_ユニーク!$C:$C,"&gt;="&amp;AA$3,[3]流入チャネル別顧客一覧_ユニーク!$C:$C,"&lt;"&amp;EDATE(AA$3,1),[3]流入チャネル別顧客一覧_ユニーク!$H:$H,"mail")+COUNTIFS([3]流入チャネル別顧客一覧_ユニーク!$C:$C,"&gt;="&amp;AA$3,[3]流入チャネル別顧客一覧_ユニーク!$C:$C,"&lt;"&amp;EDATE(AA$3,1),[3]流入チャネル別顧客一覧_ユニーク!$H:$H,"Eメールマーケティング")</f>
        <v>0</v>
      </c>
      <c r="AB48" s="2">
        <f>COUNTIFS([3]流入チャネル別顧客一覧_ユニーク!$C:$C,"&gt;="&amp;AB$3,[3]流入チャネル別顧客一覧_ユニーク!$C:$C,"&lt;"&amp;EDATE(AB$3,1),[3]流入チャネル別顧客一覧_ユニーク!$H:$H,"mail")+COUNTIFS([3]流入チャネル別顧客一覧_ユニーク!$C:$C,"&gt;="&amp;AB$3,[3]流入チャネル別顧客一覧_ユニーク!$C:$C,"&lt;"&amp;EDATE(AB$3,1),[3]流入チャネル別顧客一覧_ユニーク!$H:$H,"Eメールマーケティング")</f>
        <v>0</v>
      </c>
      <c r="AC48" s="2">
        <f>COUNTIFS([3]流入チャネル別顧客一覧_ユニーク!$C:$C,"&gt;="&amp;AC$3,[3]流入チャネル別顧客一覧_ユニーク!$C:$C,"&lt;"&amp;EDATE(AC$3,1),[3]流入チャネル別顧客一覧_ユニーク!$H:$H,"mail")+COUNTIFS([3]流入チャネル別顧客一覧_ユニーク!$C:$C,"&gt;="&amp;AC$3,[3]流入チャネル別顧客一覧_ユニーク!$C:$C,"&lt;"&amp;EDATE(AC$3,1),[3]流入チャネル別顧客一覧_ユニーク!$H:$H,"Eメールマーケティング")</f>
        <v>0</v>
      </c>
      <c r="AD48" s="2">
        <f>COUNTIFS([3]流入チャネル別顧客一覧_ユニーク!$C:$C,"&gt;="&amp;AD$3,[3]流入チャネル別顧客一覧_ユニーク!$C:$C,"&lt;"&amp;EDATE(AD$3,1),[3]流入チャネル別顧客一覧_ユニーク!$H:$H,"mail")+COUNTIFS([3]流入チャネル別顧客一覧_ユニーク!$C:$C,"&gt;="&amp;AD$3,[3]流入チャネル別顧客一覧_ユニーク!$C:$C,"&lt;"&amp;EDATE(AD$3,1),[3]流入チャネル別顧客一覧_ユニーク!$H:$H,"Eメールマーケティング")</f>
        <v>0</v>
      </c>
      <c r="AE48" s="2">
        <f>COUNTIFS([3]流入チャネル別顧客一覧_ユニーク!$C:$C,"&gt;="&amp;AE$3,[3]流入チャネル別顧客一覧_ユニーク!$C:$C,"&lt;"&amp;EDATE(AE$3,1),[3]流入チャネル別顧客一覧_ユニーク!$H:$H,"mail")+COUNTIFS([3]流入チャネル別顧客一覧_ユニーク!$C:$C,"&gt;="&amp;AE$3,[3]流入チャネル別顧客一覧_ユニーク!$C:$C,"&lt;"&amp;EDATE(AE$3,1),[3]流入チャネル別顧客一覧_ユニーク!$H:$H,"Eメールマーケティング")</f>
        <v>0</v>
      </c>
      <c r="AF48" s="2">
        <f>COUNTIFS([3]流入チャネル別顧客一覧_ユニーク!$C:$C,"&gt;="&amp;AF$3,[3]流入チャネル別顧客一覧_ユニーク!$C:$C,"&lt;"&amp;EDATE(AF$3,1),[3]流入チャネル別顧客一覧_ユニーク!$H:$H,"mail")+COUNTIFS([3]流入チャネル別顧客一覧_ユニーク!$C:$C,"&gt;="&amp;AF$3,[3]流入チャネル別顧客一覧_ユニーク!$C:$C,"&lt;"&amp;EDATE(AF$3,1),[3]流入チャネル別顧客一覧_ユニーク!$H:$H,"Eメールマーケティング")</f>
        <v>0</v>
      </c>
      <c r="AG48" s="2">
        <f>COUNTIFS([3]流入チャネル別顧客一覧_ユニーク!$C:$C,"&gt;="&amp;AG$3,[3]流入チャネル別顧客一覧_ユニーク!$C:$C,"&lt;"&amp;EDATE(AG$3,1),[3]流入チャネル別顧客一覧_ユニーク!$H:$H,"mail")+COUNTIFS([3]流入チャネル別顧客一覧_ユニーク!$C:$C,"&gt;="&amp;AG$3,[3]流入チャネル別顧客一覧_ユニーク!$C:$C,"&lt;"&amp;EDATE(AG$3,1),[3]流入チャネル別顧客一覧_ユニーク!$H:$H,"Eメールマーケティング")</f>
        <v>0</v>
      </c>
      <c r="AH48" s="2">
        <f>COUNTIFS([3]流入チャネル別顧客一覧_ユニーク!$C:$C,"&gt;="&amp;AH$3,[3]流入チャネル別顧客一覧_ユニーク!$C:$C,"&lt;"&amp;EDATE(AH$3,1),[3]流入チャネル別顧客一覧_ユニーク!$H:$H,"mail")+COUNTIFS([3]流入チャネル別顧客一覧_ユニーク!$C:$C,"&gt;="&amp;AH$3,[3]流入チャネル別顧客一覧_ユニーク!$C:$C,"&lt;"&amp;EDATE(AH$3,1),[3]流入チャネル別顧客一覧_ユニーク!$H:$H,"Eメールマーケティング")</f>
        <v>0</v>
      </c>
      <c r="AI48" s="2">
        <f>COUNTIFS([3]流入チャネル別顧客一覧_ユニーク!$C:$C,"&gt;="&amp;AI$3,[3]流入チャネル別顧客一覧_ユニーク!$C:$C,"&lt;"&amp;EDATE(AI$3,1),[3]流入チャネル別顧客一覧_ユニーク!$H:$H,"mail")+COUNTIFS([3]流入チャネル別顧客一覧_ユニーク!$C:$C,"&gt;="&amp;AI$3,[3]流入チャネル別顧客一覧_ユニーク!$C:$C,"&lt;"&amp;EDATE(AI$3,1),[3]流入チャネル別顧客一覧_ユニーク!$H:$H,"Eメールマーケティング")</f>
        <v>0</v>
      </c>
      <c r="AJ48" s="2">
        <f>COUNTIFS([3]流入チャネル別顧客一覧_ユニーク!$C:$C,"&gt;="&amp;AJ$3,[3]流入チャネル別顧客一覧_ユニーク!$C:$C,"&lt;"&amp;EDATE(AJ$3,1),[3]流入チャネル別顧客一覧_ユニーク!$H:$H,"mail")+COUNTIFS([3]流入チャネル別顧客一覧_ユニーク!$C:$C,"&gt;="&amp;AJ$3,[3]流入チャネル別顧客一覧_ユニーク!$C:$C,"&lt;"&amp;EDATE(AJ$3,1),[3]流入チャネル別顧客一覧_ユニーク!$H:$H,"Eメールマーケティング")</f>
        <v>0</v>
      </c>
      <c r="AK48" s="2">
        <f>COUNTIFS([3]流入チャネル別顧客一覧_ユニーク!$C:$C,"&gt;="&amp;AK$3,[3]流入チャネル別顧客一覧_ユニーク!$C:$C,"&lt;"&amp;EDATE(AK$3,1),[3]流入チャネル別顧客一覧_ユニーク!$H:$H,"mail")+COUNTIFS([3]流入チャネル別顧客一覧_ユニーク!$C:$C,"&gt;="&amp;AK$3,[3]流入チャネル別顧客一覧_ユニーク!$C:$C,"&lt;"&amp;EDATE(AK$3,1),[3]流入チャネル別顧客一覧_ユニーク!$H:$H,"Eメールマーケティング")</f>
        <v>0</v>
      </c>
      <c r="AL48" s="2">
        <f>COUNTIFS([3]流入チャネル別顧客一覧_ユニーク!$C:$C,"&gt;="&amp;AL$3,[3]流入チャネル別顧客一覧_ユニーク!$C:$C,"&lt;"&amp;EDATE(AL$3,1),[3]流入チャネル別顧客一覧_ユニーク!$H:$H,"mail")+COUNTIFS([3]流入チャネル別顧客一覧_ユニーク!$C:$C,"&gt;="&amp;AL$3,[3]流入チャネル別顧客一覧_ユニーク!$C:$C,"&lt;"&amp;EDATE(AL$3,1),[3]流入チャネル別顧客一覧_ユニーク!$H:$H,"Eメールマーケティング")</f>
        <v>0</v>
      </c>
      <c r="AM48" s="2">
        <f t="shared" ref="AM48" si="40">SUM(N48:Y48)</f>
        <v>3</v>
      </c>
      <c r="AN48" s="2">
        <f t="shared" ref="AN48" si="41">SUM(Z48:AK48)</f>
        <v>0</v>
      </c>
    </row>
    <row r="49" spans="1:50" ht="18">
      <c r="A49" s="1" t="s">
        <v>61</v>
      </c>
      <c r="B49" s="2" t="s">
        <v>19</v>
      </c>
      <c r="C49" s="2" t="s">
        <v>19</v>
      </c>
      <c r="D49" s="2" t="s">
        <v>19</v>
      </c>
      <c r="E49" s="2" t="s">
        <v>19</v>
      </c>
      <c r="F49" s="2" t="s">
        <v>19</v>
      </c>
      <c r="G49" s="2">
        <v>0</v>
      </c>
      <c r="H49" s="2">
        <v>0</v>
      </c>
      <c r="I49" s="2">
        <v>5</v>
      </c>
      <c r="J49" s="2">
        <v>1</v>
      </c>
      <c r="K49" s="2">
        <v>4</v>
      </c>
      <c r="L49" s="2">
        <v>0</v>
      </c>
      <c r="M49" s="2">
        <v>1</v>
      </c>
      <c r="N49" s="2">
        <f>COUNTIFS([3]流入チャネル別顧客一覧_ユニーク!$C:$C,"&gt;="&amp;N$3,[3]流入チャネル別顧客一覧_ユニーク!$C:$C,"&lt;"&amp;EDATE(N$3,1),[3]流入チャネル別顧客一覧_ユニーク!$H:$H,"direct")+COUNTIFS([3]流入チャネル別顧客一覧_ユニーク!$C:$C,"&gt;="&amp;N$3,[3]流入チャネル別顧客一覧_ユニーク!$C:$C,"&lt;"&amp;EDATE(N$3,1),[3]流入チャネル別顧客一覧_ユニーク!$H:$H,"直接トラフィック")</f>
        <v>0</v>
      </c>
      <c r="O49" s="2">
        <f>COUNTIFS([3]流入チャネル別顧客一覧_ユニーク!$C:$C,"&gt;="&amp;O$3,[3]流入チャネル別顧客一覧_ユニーク!$C:$C,"&lt;"&amp;EDATE(O$3,1),[3]流入チャネル別顧客一覧_ユニーク!$H:$H,"direct")+COUNTIFS([3]流入チャネル別顧客一覧_ユニーク!$C:$C,"&gt;="&amp;O$3,[3]流入チャネル別顧客一覧_ユニーク!$C:$C,"&lt;"&amp;EDATE(O$3,1),[3]流入チャネル別顧客一覧_ユニーク!$H:$H,"直接トラフィック")</f>
        <v>1</v>
      </c>
      <c r="P49" s="2">
        <f>COUNTIFS([3]流入チャネル別顧客一覧_ユニーク!$C:$C,"&gt;="&amp;P$3,[3]流入チャネル別顧客一覧_ユニーク!$C:$C,"&lt;"&amp;EDATE(P$3,1),[3]流入チャネル別顧客一覧_ユニーク!$H:$H,"direct")+COUNTIFS([3]流入チャネル別顧客一覧_ユニーク!$C:$C,"&gt;="&amp;P$3,[3]流入チャネル別顧客一覧_ユニーク!$C:$C,"&lt;"&amp;EDATE(P$3,1),[3]流入チャネル別顧客一覧_ユニーク!$H:$H,"直接トラフィック")</f>
        <v>0</v>
      </c>
      <c r="Q49" s="2">
        <f>COUNTIFS([3]流入チャネル別顧客一覧_ユニーク!$C:$C,"&gt;="&amp;Q$3,[3]流入チャネル別顧客一覧_ユニーク!$C:$C,"&lt;"&amp;EDATE(Q$3,1),[3]流入チャネル別顧客一覧_ユニーク!$H:$H,"direct")+COUNTIFS([3]流入チャネル別顧客一覧_ユニーク!$C:$C,"&gt;="&amp;Q$3,[3]流入チャネル別顧客一覧_ユニーク!$C:$C,"&lt;"&amp;EDATE(Q$3,1),[3]流入チャネル別顧客一覧_ユニーク!$H:$H,"直接トラフィック")</f>
        <v>0</v>
      </c>
      <c r="R49" s="2">
        <f>COUNTIFS([3]流入チャネル別顧客一覧_ユニーク!$C:$C,"&gt;="&amp;R$3,[3]流入チャネル別顧客一覧_ユニーク!$C:$C,"&lt;"&amp;EDATE(R$3,1),[3]流入チャネル別顧客一覧_ユニーク!$H:$H,"direct")+COUNTIFS([3]流入チャネル別顧客一覧_ユニーク!$C:$C,"&gt;="&amp;R$3,[3]流入チャネル別顧客一覧_ユニーク!$C:$C,"&lt;"&amp;EDATE(R$3,1),[3]流入チャネル別顧客一覧_ユニーク!$H:$H,"直接トラフィック")</f>
        <v>0</v>
      </c>
      <c r="S49" s="2">
        <f>COUNTIFS([3]流入チャネル別顧客一覧_ユニーク!$C:$C,"&gt;="&amp;S$3,[3]流入チャネル別顧客一覧_ユニーク!$C:$C,"&lt;"&amp;EDATE(S$3,1),[3]流入チャネル別顧客一覧_ユニーク!$H:$H,"direct")+COUNTIFS([3]流入チャネル別顧客一覧_ユニーク!$C:$C,"&gt;="&amp;S$3,[3]流入チャネル別顧客一覧_ユニーク!$C:$C,"&lt;"&amp;EDATE(S$3,1),[3]流入チャネル別顧客一覧_ユニーク!$H:$H,"直接トラフィック")</f>
        <v>1</v>
      </c>
      <c r="T49" s="2">
        <f>COUNTIFS([3]流入チャネル別顧客一覧_ユニーク!$C:$C,"&gt;="&amp;T$3,[3]流入チャネル別顧客一覧_ユニーク!$C:$C,"&lt;"&amp;EDATE(T$3,1),[3]流入チャネル別顧客一覧_ユニーク!$H:$H,"direct")+COUNTIFS([3]流入チャネル別顧客一覧_ユニーク!$C:$C,"&gt;="&amp;T$3,[3]流入チャネル別顧客一覧_ユニーク!$C:$C,"&lt;"&amp;EDATE(T$3,1),[3]流入チャネル別顧客一覧_ユニーク!$H:$H,"直接トラフィック")</f>
        <v>0</v>
      </c>
      <c r="U49" s="2">
        <f>COUNTIFS([3]流入チャネル別顧客一覧_ユニーク!$C:$C,"&gt;="&amp;U$3,[3]流入チャネル別顧客一覧_ユニーク!$C:$C,"&lt;"&amp;EDATE(U$3,1),[3]流入チャネル別顧客一覧_ユニーク!$H:$H,"direct")+COUNTIFS([3]流入チャネル別顧客一覧_ユニーク!$C:$C,"&gt;="&amp;U$3,[3]流入チャネル別顧客一覧_ユニーク!$C:$C,"&lt;"&amp;EDATE(U$3,1),[3]流入チャネル別顧客一覧_ユニーク!$H:$H,"直接トラフィック")</f>
        <v>0</v>
      </c>
      <c r="V49" s="2">
        <f>COUNTIFS([3]流入チャネル別顧客一覧_ユニーク!$C:$C,"&gt;="&amp;V$3,[3]流入チャネル別顧客一覧_ユニーク!$C:$C,"&lt;"&amp;EDATE(V$3,1),[3]流入チャネル別顧客一覧_ユニーク!$H:$H,"direct")+COUNTIFS([3]流入チャネル別顧客一覧_ユニーク!$C:$C,"&gt;="&amp;V$3,[3]流入チャネル別顧客一覧_ユニーク!$C:$C,"&lt;"&amp;EDATE(V$3,1),[3]流入チャネル別顧客一覧_ユニーク!$H:$H,"直接トラフィック")</f>
        <v>1</v>
      </c>
      <c r="W49" s="2">
        <f>COUNTIFS([3]流入チャネル別顧客一覧_ユニーク!$C:$C,"&gt;="&amp;W$3,[3]流入チャネル別顧客一覧_ユニーク!$C:$C,"&lt;"&amp;EDATE(W$3,1),[3]流入チャネル別顧客一覧_ユニーク!$H:$H,"direct")+COUNTIFS([3]流入チャネル別顧客一覧_ユニーク!$C:$C,"&gt;="&amp;W$3,[3]流入チャネル別顧客一覧_ユニーク!$C:$C,"&lt;"&amp;EDATE(W$3,1),[3]流入チャネル別顧客一覧_ユニーク!$H:$H,"直接トラフィック")</f>
        <v>1</v>
      </c>
      <c r="X49" s="2">
        <f>COUNTIFS([3]流入チャネル別顧客一覧_ユニーク!$C:$C,"&gt;="&amp;X$3,[3]流入チャネル別顧客一覧_ユニーク!$C:$C,"&lt;"&amp;EDATE(X$3,1),[3]流入チャネル別顧客一覧_ユニーク!$H:$H,"direct")+COUNTIFS([3]流入チャネル別顧客一覧_ユニーク!$C:$C,"&gt;="&amp;X$3,[3]流入チャネル別顧客一覧_ユニーク!$C:$C,"&lt;"&amp;EDATE(X$3,1),[3]流入チャネル別顧客一覧_ユニーク!$H:$H,"直接トラフィック")</f>
        <v>1</v>
      </c>
      <c r="Y49" s="2">
        <f>COUNTIFS([3]流入チャネル別顧客一覧_ユニーク!$C:$C,"&gt;="&amp;Y$3,[3]流入チャネル別顧客一覧_ユニーク!$C:$C,"&lt;"&amp;EDATE(Y$3,1),[3]流入チャネル別顧客一覧_ユニーク!$H:$H,"direct")+COUNTIFS([3]流入チャネル別顧客一覧_ユニーク!$C:$C,"&gt;="&amp;Y$3,[3]流入チャネル別顧客一覧_ユニーク!$C:$C,"&lt;"&amp;EDATE(Y$3,1),[3]流入チャネル別顧客一覧_ユニーク!$H:$H,"直接トラフィック")</f>
        <v>1</v>
      </c>
      <c r="Z49" s="2">
        <f>COUNTIFS([3]流入チャネル別顧客一覧_ユニーク!$C:$C,"&gt;="&amp;Z$3,[3]流入チャネル別顧客一覧_ユニーク!$C:$C,"&lt;"&amp;EDATE(Z$3,1),[3]流入チャネル別顧客一覧_ユニーク!$H:$H,"direct")+COUNTIFS([3]流入チャネル別顧客一覧_ユニーク!$C:$C,"&gt;="&amp;Z$3,[3]流入チャネル別顧客一覧_ユニーク!$C:$C,"&lt;"&amp;EDATE(Z$3,1),[3]流入チャネル別顧客一覧_ユニーク!$H:$H,"直接トラフィック")</f>
        <v>1</v>
      </c>
      <c r="AA49" s="2">
        <f>COUNTIFS([3]流入チャネル別顧客一覧_ユニーク!$C:$C,"&gt;="&amp;AA$3,[3]流入チャネル別顧客一覧_ユニーク!$C:$C,"&lt;"&amp;EDATE(AA$3,1),[3]流入チャネル別顧客一覧_ユニーク!$H:$H,"direct")+COUNTIFS([3]流入チャネル別顧客一覧_ユニーク!$C:$C,"&gt;="&amp;AA$3,[3]流入チャネル別顧客一覧_ユニーク!$C:$C,"&lt;"&amp;EDATE(AA$3,1),[3]流入チャネル別顧客一覧_ユニーク!$H:$H,"直接トラフィック")</f>
        <v>0</v>
      </c>
      <c r="AB49" s="2">
        <f>COUNTIFS([3]流入チャネル別顧客一覧_ユニーク!$C:$C,"&gt;="&amp;AB$3,[3]流入チャネル別顧客一覧_ユニーク!$C:$C,"&lt;"&amp;EDATE(AB$3,1),[3]流入チャネル別顧客一覧_ユニーク!$H:$H,"direct")+COUNTIFS([3]流入チャネル別顧客一覧_ユニーク!$C:$C,"&gt;="&amp;AB$3,[3]流入チャネル別顧客一覧_ユニーク!$C:$C,"&lt;"&amp;EDATE(AB$3,1),[3]流入チャネル別顧客一覧_ユニーク!$H:$H,"直接トラフィック")</f>
        <v>1</v>
      </c>
      <c r="AC49" s="2">
        <f>COUNTIFS([3]流入チャネル別顧客一覧_ユニーク!$C:$C,"&gt;="&amp;AC$3,[3]流入チャネル別顧客一覧_ユニーク!$C:$C,"&lt;"&amp;EDATE(AC$3,1),[3]流入チャネル別顧客一覧_ユニーク!$H:$H,"direct")+COUNTIFS([3]流入チャネル別顧客一覧_ユニーク!$C:$C,"&gt;="&amp;AC$3,[3]流入チャネル別顧客一覧_ユニーク!$C:$C,"&lt;"&amp;EDATE(AC$3,1),[3]流入チャネル別顧客一覧_ユニーク!$H:$H,"直接トラフィック")</f>
        <v>2</v>
      </c>
      <c r="AD49" s="2">
        <f>COUNTIFS([3]流入チャネル別顧客一覧_ユニーク!$C:$C,"&gt;="&amp;AD$3,[3]流入チャネル別顧客一覧_ユニーク!$C:$C,"&lt;"&amp;EDATE(AD$3,1),[3]流入チャネル別顧客一覧_ユニーク!$H:$H,"direct")+COUNTIFS([3]流入チャネル別顧客一覧_ユニーク!$C:$C,"&gt;="&amp;AD$3,[3]流入チャネル別顧客一覧_ユニーク!$C:$C,"&lt;"&amp;EDATE(AD$3,1),[3]流入チャネル別顧客一覧_ユニーク!$H:$H,"直接トラフィック")</f>
        <v>0</v>
      </c>
      <c r="AE49" s="2">
        <f>COUNTIFS([3]流入チャネル別顧客一覧_ユニーク!$C:$C,"&gt;="&amp;AE$3,[3]流入チャネル別顧客一覧_ユニーク!$C:$C,"&lt;"&amp;EDATE(AE$3,1),[3]流入チャネル別顧客一覧_ユニーク!$H:$H,"direct")+COUNTIFS([3]流入チャネル別顧客一覧_ユニーク!$C:$C,"&gt;="&amp;AE$3,[3]流入チャネル別顧客一覧_ユニーク!$C:$C,"&lt;"&amp;EDATE(AE$3,1),[3]流入チャネル別顧客一覧_ユニーク!$H:$H,"直接トラフィック")</f>
        <v>0</v>
      </c>
      <c r="AF49" s="2">
        <f>COUNTIFS([3]流入チャネル別顧客一覧_ユニーク!$C:$C,"&gt;="&amp;AF$3,[3]流入チャネル別顧客一覧_ユニーク!$C:$C,"&lt;"&amp;EDATE(AF$3,1),[3]流入チャネル別顧客一覧_ユニーク!$H:$H,"direct")+COUNTIFS([3]流入チャネル別顧客一覧_ユニーク!$C:$C,"&gt;="&amp;AF$3,[3]流入チャネル別顧客一覧_ユニーク!$C:$C,"&lt;"&amp;EDATE(AF$3,1),[3]流入チャネル別顧客一覧_ユニーク!$H:$H,"直接トラフィック")</f>
        <v>0</v>
      </c>
      <c r="AG49" s="2">
        <f>COUNTIFS([3]流入チャネル別顧客一覧_ユニーク!$C:$C,"&gt;="&amp;AG$3,[3]流入チャネル別顧客一覧_ユニーク!$C:$C,"&lt;"&amp;EDATE(AG$3,1),[3]流入チャネル別顧客一覧_ユニーク!$H:$H,"direct")+COUNTIFS([3]流入チャネル別顧客一覧_ユニーク!$C:$C,"&gt;="&amp;AG$3,[3]流入チャネル別顧客一覧_ユニーク!$C:$C,"&lt;"&amp;EDATE(AG$3,1),[3]流入チャネル別顧客一覧_ユニーク!$H:$H,"直接トラフィック")</f>
        <v>0</v>
      </c>
      <c r="AH49" s="2">
        <f>COUNTIFS([3]流入チャネル別顧客一覧_ユニーク!$C:$C,"&gt;="&amp;AH$3,[3]流入チャネル別顧客一覧_ユニーク!$C:$C,"&lt;"&amp;EDATE(AH$3,1),[3]流入チャネル別顧客一覧_ユニーク!$H:$H,"direct")+COUNTIFS([3]流入チャネル別顧客一覧_ユニーク!$C:$C,"&gt;="&amp;AH$3,[3]流入チャネル別顧客一覧_ユニーク!$C:$C,"&lt;"&amp;EDATE(AH$3,1),[3]流入チャネル別顧客一覧_ユニーク!$H:$H,"直接トラフィック")</f>
        <v>0</v>
      </c>
      <c r="AI49" s="2">
        <f>COUNTIFS([3]流入チャネル別顧客一覧_ユニーク!$C:$C,"&gt;="&amp;AI$3,[3]流入チャネル別顧客一覧_ユニーク!$C:$C,"&lt;"&amp;EDATE(AI$3,1),[3]流入チャネル別顧客一覧_ユニーク!$H:$H,"direct")+COUNTIFS([3]流入チャネル別顧客一覧_ユニーク!$C:$C,"&gt;="&amp;AI$3,[3]流入チャネル別顧客一覧_ユニーク!$C:$C,"&lt;"&amp;EDATE(AI$3,1),[3]流入チャネル別顧客一覧_ユニーク!$H:$H,"直接トラフィック")</f>
        <v>0</v>
      </c>
      <c r="AJ49" s="2">
        <f>COUNTIFS([3]流入チャネル別顧客一覧_ユニーク!$C:$C,"&gt;="&amp;AJ$3,[3]流入チャネル別顧客一覧_ユニーク!$C:$C,"&lt;"&amp;EDATE(AJ$3,1),[3]流入チャネル別顧客一覧_ユニーク!$H:$H,"direct")+COUNTIFS([3]流入チャネル別顧客一覧_ユニーク!$C:$C,"&gt;="&amp;AJ$3,[3]流入チャネル別顧客一覧_ユニーク!$C:$C,"&lt;"&amp;EDATE(AJ$3,1),[3]流入チャネル別顧客一覧_ユニーク!$H:$H,"直接トラフィック")</f>
        <v>0</v>
      </c>
      <c r="AK49" s="2">
        <f>COUNTIFS([3]流入チャネル別顧客一覧_ユニーク!$C:$C,"&gt;="&amp;AK$3,[3]流入チャネル別顧客一覧_ユニーク!$C:$C,"&lt;"&amp;EDATE(AK$3,1),[3]流入チャネル別顧客一覧_ユニーク!$H:$H,"direct")+COUNTIFS([3]流入チャネル別顧客一覧_ユニーク!$C:$C,"&gt;="&amp;AK$3,[3]流入チャネル別顧客一覧_ユニーク!$C:$C,"&lt;"&amp;EDATE(AK$3,1),[3]流入チャネル別顧客一覧_ユニーク!$H:$H,"直接トラフィック")</f>
        <v>0</v>
      </c>
      <c r="AL49" s="2">
        <f>COUNTIFS([3]流入チャネル別顧客一覧_ユニーク!$C:$C,"&gt;="&amp;AL$3,[3]流入チャネル別顧客一覧_ユニーク!$C:$C,"&lt;"&amp;EDATE(AL$3,1),[3]流入チャネル別顧客一覧_ユニーク!$H:$H,"direct")+COUNTIFS([3]流入チャネル別顧客一覧_ユニーク!$C:$C,"&gt;="&amp;AL$3,[3]流入チャネル別顧客一覧_ユニーク!$C:$C,"&lt;"&amp;EDATE(AL$3,1),[3]流入チャネル別顧客一覧_ユニーク!$H:$H,"直接トラフィック")</f>
        <v>0</v>
      </c>
      <c r="AM49" s="2">
        <f t="shared" si="38"/>
        <v>6</v>
      </c>
      <c r="AN49" s="2">
        <f t="shared" si="39"/>
        <v>4</v>
      </c>
    </row>
    <row r="50" spans="1:50" ht="18">
      <c r="A50" s="1" t="s">
        <v>62</v>
      </c>
      <c r="B50" s="2" t="s">
        <v>19</v>
      </c>
      <c r="C50" s="2" t="s">
        <v>19</v>
      </c>
      <c r="D50" s="2" t="s">
        <v>19</v>
      </c>
      <c r="E50" s="2" t="s">
        <v>19</v>
      </c>
      <c r="F50" s="2" t="s">
        <v>19</v>
      </c>
      <c r="G50" s="2">
        <v>6</v>
      </c>
      <c r="H50" s="2">
        <v>6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  <c r="N50" s="2">
        <f>COUNTIFS([3]流入チャネル別顧客一覧_ユニーク!$C:$C,"&gt;="&amp;N$3,[3]流入チャネル別顧客一覧_ユニーク!$C:$C,"&lt;"&amp;EDATE(N$3,1),[3]流入チャネル別顧客一覧_ユニーク!$H:$H,"link")+COUNTIFS([3]流入チャネル別顧客一覧_ユニーク!$C:$C,"&gt;="&amp;N$3,[3]流入チャネル別顧客一覧_ユニーク!$C:$C,"&lt;"&amp;EDATE(N$3,1),[3]流入チャネル別顧客一覧_ユニーク!$H:$H,"リファラル")+COUNTIFS([3]流入チャネル別顧客一覧_ユニーク!$C:$C,"&gt;="&amp;N$3,[3]流入チャネル別顧客一覧_ユニーク!$C:$C,"&lt;"&amp;EDATE(N$3,1),[3]流入チャネル別顧客一覧_ユニーク!$H:$H,"AIリファーラル")+COUNTIFS([3]流入チャネル別顧客一覧_ユニーク!$C:$C,"&gt;="&amp;N$3,[3]流入チャネル別顧客一覧_ユニーク!$C:$C,"&lt;"&amp;EDATE(N$3,1),[3]流入チャネル別顧客一覧_ユニーク!$H:$H,"リファーラル")</f>
        <v>1</v>
      </c>
      <c r="O50" s="2">
        <f>COUNTIFS([3]流入チャネル別顧客一覧_ユニーク!$C:$C,"&gt;="&amp;O$3,[3]流入チャネル別顧客一覧_ユニーク!$C:$C,"&lt;"&amp;EDATE(O$3,1),[3]流入チャネル別顧客一覧_ユニーク!$H:$H,"link")+COUNTIFS([3]流入チャネル別顧客一覧_ユニーク!$C:$C,"&gt;="&amp;O$3,[3]流入チャネル別顧客一覧_ユニーク!$C:$C,"&lt;"&amp;EDATE(O$3,1),[3]流入チャネル別顧客一覧_ユニーク!$H:$H,"リファラル")+COUNTIFS([3]流入チャネル別顧客一覧_ユニーク!$C:$C,"&gt;="&amp;O$3,[3]流入チャネル別顧客一覧_ユニーク!$C:$C,"&lt;"&amp;EDATE(O$3,1),[3]流入チャネル別顧客一覧_ユニーク!$H:$H,"AIリファーラル")+COUNTIFS([3]流入チャネル別顧客一覧_ユニーク!$C:$C,"&gt;="&amp;O$3,[3]流入チャネル別顧客一覧_ユニーク!$C:$C,"&lt;"&amp;EDATE(O$3,1),[3]流入チャネル別顧客一覧_ユニーク!$H:$H,"リファーラル")</f>
        <v>0</v>
      </c>
      <c r="P50" s="2">
        <f>COUNTIFS([3]流入チャネル別顧客一覧_ユニーク!$C:$C,"&gt;="&amp;P$3,[3]流入チャネル別顧客一覧_ユニーク!$C:$C,"&lt;"&amp;EDATE(P$3,1),[3]流入チャネル別顧客一覧_ユニーク!$H:$H,"link")+COUNTIFS([3]流入チャネル別顧客一覧_ユニーク!$C:$C,"&gt;="&amp;P$3,[3]流入チャネル別顧客一覧_ユニーク!$C:$C,"&lt;"&amp;EDATE(P$3,1),[3]流入チャネル別顧客一覧_ユニーク!$H:$H,"リファラル")+COUNTIFS([3]流入チャネル別顧客一覧_ユニーク!$C:$C,"&gt;="&amp;P$3,[3]流入チャネル別顧客一覧_ユニーク!$C:$C,"&lt;"&amp;EDATE(P$3,1),[3]流入チャネル別顧客一覧_ユニーク!$H:$H,"AIリファーラル")+COUNTIFS([3]流入チャネル別顧客一覧_ユニーク!$C:$C,"&gt;="&amp;P$3,[3]流入チャネル別顧客一覧_ユニーク!$C:$C,"&lt;"&amp;EDATE(P$3,1),[3]流入チャネル別顧客一覧_ユニーク!$H:$H,"リファーラル")</f>
        <v>1</v>
      </c>
      <c r="Q50" s="2">
        <f>COUNTIFS([3]流入チャネル別顧客一覧_ユニーク!$C:$C,"&gt;="&amp;Q$3,[3]流入チャネル別顧客一覧_ユニーク!$C:$C,"&lt;"&amp;EDATE(Q$3,1),[3]流入チャネル別顧客一覧_ユニーク!$H:$H,"link")+COUNTIFS([3]流入チャネル別顧客一覧_ユニーク!$C:$C,"&gt;="&amp;Q$3,[3]流入チャネル別顧客一覧_ユニーク!$C:$C,"&lt;"&amp;EDATE(Q$3,1),[3]流入チャネル別顧客一覧_ユニーク!$H:$H,"リファラル")+COUNTIFS([3]流入チャネル別顧客一覧_ユニーク!$C:$C,"&gt;="&amp;Q$3,[3]流入チャネル別顧客一覧_ユニーク!$C:$C,"&lt;"&amp;EDATE(Q$3,1),[3]流入チャネル別顧客一覧_ユニーク!$H:$H,"AIリファーラル")+COUNTIFS([3]流入チャネル別顧客一覧_ユニーク!$C:$C,"&gt;="&amp;Q$3,[3]流入チャネル別顧客一覧_ユニーク!$C:$C,"&lt;"&amp;EDATE(Q$3,1),[3]流入チャネル別顧客一覧_ユニーク!$H:$H,"リファーラル")</f>
        <v>0</v>
      </c>
      <c r="R50" s="2">
        <f>COUNTIFS([3]流入チャネル別顧客一覧_ユニーク!$C:$C,"&gt;="&amp;R$3,[3]流入チャネル別顧客一覧_ユニーク!$C:$C,"&lt;"&amp;EDATE(R$3,1),[3]流入チャネル別顧客一覧_ユニーク!$H:$H,"link")+COUNTIFS([3]流入チャネル別顧客一覧_ユニーク!$C:$C,"&gt;="&amp;R$3,[3]流入チャネル別顧客一覧_ユニーク!$C:$C,"&lt;"&amp;EDATE(R$3,1),[3]流入チャネル別顧客一覧_ユニーク!$H:$H,"リファラル")+COUNTIFS([3]流入チャネル別顧客一覧_ユニーク!$C:$C,"&gt;="&amp;R$3,[3]流入チャネル別顧客一覧_ユニーク!$C:$C,"&lt;"&amp;EDATE(R$3,1),[3]流入チャネル別顧客一覧_ユニーク!$H:$H,"AIリファーラル")+COUNTIFS([3]流入チャネル別顧客一覧_ユニーク!$C:$C,"&gt;="&amp;R$3,[3]流入チャネル別顧客一覧_ユニーク!$C:$C,"&lt;"&amp;EDATE(R$3,1),[3]流入チャネル別顧客一覧_ユニーク!$H:$H,"リファーラル")</f>
        <v>0</v>
      </c>
      <c r="S50" s="2">
        <f>COUNTIFS([3]流入チャネル別顧客一覧_ユニーク!$C:$C,"&gt;="&amp;S$3,[3]流入チャネル別顧客一覧_ユニーク!$C:$C,"&lt;"&amp;EDATE(S$3,1),[3]流入チャネル別顧客一覧_ユニーク!$H:$H,"link")+COUNTIFS([3]流入チャネル別顧客一覧_ユニーク!$C:$C,"&gt;="&amp;S$3,[3]流入チャネル別顧客一覧_ユニーク!$C:$C,"&lt;"&amp;EDATE(S$3,1),[3]流入チャネル別顧客一覧_ユニーク!$H:$H,"リファラル")+COUNTIFS([3]流入チャネル別顧客一覧_ユニーク!$C:$C,"&gt;="&amp;S$3,[3]流入チャネル別顧客一覧_ユニーク!$C:$C,"&lt;"&amp;EDATE(S$3,1),[3]流入チャネル別顧客一覧_ユニーク!$H:$H,"AIリファーラル")+COUNTIFS([3]流入チャネル別顧客一覧_ユニーク!$C:$C,"&gt;="&amp;S$3,[3]流入チャネル別顧客一覧_ユニーク!$C:$C,"&lt;"&amp;EDATE(S$3,1),[3]流入チャネル別顧客一覧_ユニーク!$H:$H,"リファーラル")</f>
        <v>0</v>
      </c>
      <c r="T50" s="2">
        <f>COUNTIFS([3]流入チャネル別顧客一覧_ユニーク!$C:$C,"&gt;="&amp;T$3,[3]流入チャネル別顧客一覧_ユニーク!$C:$C,"&lt;"&amp;EDATE(T$3,1),[3]流入チャネル別顧客一覧_ユニーク!$H:$H,"link")+COUNTIFS([3]流入チャネル別顧客一覧_ユニーク!$C:$C,"&gt;="&amp;T$3,[3]流入チャネル別顧客一覧_ユニーク!$C:$C,"&lt;"&amp;EDATE(T$3,1),[3]流入チャネル別顧客一覧_ユニーク!$H:$H,"リファラル")+COUNTIFS([3]流入チャネル別顧客一覧_ユニーク!$C:$C,"&gt;="&amp;T$3,[3]流入チャネル別顧客一覧_ユニーク!$C:$C,"&lt;"&amp;EDATE(T$3,1),[3]流入チャネル別顧客一覧_ユニーク!$H:$H,"AIリファーラル")+COUNTIFS([3]流入チャネル別顧客一覧_ユニーク!$C:$C,"&gt;="&amp;T$3,[3]流入チャネル別顧客一覧_ユニーク!$C:$C,"&lt;"&amp;EDATE(T$3,1),[3]流入チャネル別顧客一覧_ユニーク!$H:$H,"リファーラル")</f>
        <v>1</v>
      </c>
      <c r="U50" s="2">
        <f>COUNTIFS([3]流入チャネル別顧客一覧_ユニーク!$C:$C,"&gt;="&amp;U$3,[3]流入チャネル別顧客一覧_ユニーク!$C:$C,"&lt;"&amp;EDATE(U$3,1),[3]流入チャネル別顧客一覧_ユニーク!$H:$H,"link")+COUNTIFS([3]流入チャネル別顧客一覧_ユニーク!$C:$C,"&gt;="&amp;U$3,[3]流入チャネル別顧客一覧_ユニーク!$C:$C,"&lt;"&amp;EDATE(U$3,1),[3]流入チャネル別顧客一覧_ユニーク!$H:$H,"リファラル")+COUNTIFS([3]流入チャネル別顧客一覧_ユニーク!$C:$C,"&gt;="&amp;U$3,[3]流入チャネル別顧客一覧_ユニーク!$C:$C,"&lt;"&amp;EDATE(U$3,1),[3]流入チャネル別顧客一覧_ユニーク!$H:$H,"AIリファーラル")+COUNTIFS([3]流入チャネル別顧客一覧_ユニーク!$C:$C,"&gt;="&amp;U$3,[3]流入チャネル別顧客一覧_ユニーク!$C:$C,"&lt;"&amp;EDATE(U$3,1),[3]流入チャネル別顧客一覧_ユニーク!$H:$H,"リファーラル")</f>
        <v>1</v>
      </c>
      <c r="V50" s="2">
        <f>COUNTIFS([3]流入チャネル別顧客一覧_ユニーク!$C:$C,"&gt;="&amp;V$3,[3]流入チャネル別顧客一覧_ユニーク!$C:$C,"&lt;"&amp;EDATE(V$3,1),[3]流入チャネル別顧客一覧_ユニーク!$H:$H,"link")+COUNTIFS([3]流入チャネル別顧客一覧_ユニーク!$C:$C,"&gt;="&amp;V$3,[3]流入チャネル別顧客一覧_ユニーク!$C:$C,"&lt;"&amp;EDATE(V$3,1),[3]流入チャネル別顧客一覧_ユニーク!$H:$H,"リファラル")+COUNTIFS([3]流入チャネル別顧客一覧_ユニーク!$C:$C,"&gt;="&amp;V$3,[3]流入チャネル別顧客一覧_ユニーク!$C:$C,"&lt;"&amp;EDATE(V$3,1),[3]流入チャネル別顧客一覧_ユニーク!$H:$H,"AIリファーラル")+COUNTIFS([3]流入チャネル別顧客一覧_ユニーク!$C:$C,"&gt;="&amp;V$3,[3]流入チャネル別顧客一覧_ユニーク!$C:$C,"&lt;"&amp;EDATE(V$3,1),[3]流入チャネル別顧客一覧_ユニーク!$H:$H,"リファーラル")</f>
        <v>0</v>
      </c>
      <c r="W50" s="2">
        <f>COUNTIFS([3]流入チャネル別顧客一覧_ユニーク!$C:$C,"&gt;="&amp;W$3,[3]流入チャネル別顧客一覧_ユニーク!$C:$C,"&lt;"&amp;EDATE(W$3,1),[3]流入チャネル別顧客一覧_ユニーク!$H:$H,"link")+COUNTIFS([3]流入チャネル別顧客一覧_ユニーク!$C:$C,"&gt;="&amp;W$3,[3]流入チャネル別顧客一覧_ユニーク!$C:$C,"&lt;"&amp;EDATE(W$3,1),[3]流入チャネル別顧客一覧_ユニーク!$H:$H,"リファラル")+COUNTIFS([3]流入チャネル別顧客一覧_ユニーク!$C:$C,"&gt;="&amp;W$3,[3]流入チャネル別顧客一覧_ユニーク!$C:$C,"&lt;"&amp;EDATE(W$3,1),[3]流入チャネル別顧客一覧_ユニーク!$H:$H,"AIリファーラル")+COUNTIFS([3]流入チャネル別顧客一覧_ユニーク!$C:$C,"&gt;="&amp;W$3,[3]流入チャネル別顧客一覧_ユニーク!$C:$C,"&lt;"&amp;EDATE(W$3,1),[3]流入チャネル別顧客一覧_ユニーク!$H:$H,"リファーラル")</f>
        <v>0</v>
      </c>
      <c r="X50" s="2">
        <f>COUNTIFS([3]流入チャネル別顧客一覧_ユニーク!$C:$C,"&gt;="&amp;X$3,[3]流入チャネル別顧客一覧_ユニーク!$C:$C,"&lt;"&amp;EDATE(X$3,1),[3]流入チャネル別顧客一覧_ユニーク!$H:$H,"link")+COUNTIFS([3]流入チャネル別顧客一覧_ユニーク!$C:$C,"&gt;="&amp;X$3,[3]流入チャネル別顧客一覧_ユニーク!$C:$C,"&lt;"&amp;EDATE(X$3,1),[3]流入チャネル別顧客一覧_ユニーク!$H:$H,"リファラル")+COUNTIFS([3]流入チャネル別顧客一覧_ユニーク!$C:$C,"&gt;="&amp;X$3,[3]流入チャネル別顧客一覧_ユニーク!$C:$C,"&lt;"&amp;EDATE(X$3,1),[3]流入チャネル別顧客一覧_ユニーク!$H:$H,"AIリファーラル")+COUNTIFS([3]流入チャネル別顧客一覧_ユニーク!$C:$C,"&gt;="&amp;X$3,[3]流入チャネル別顧客一覧_ユニーク!$C:$C,"&lt;"&amp;EDATE(X$3,1),[3]流入チャネル別顧客一覧_ユニーク!$H:$H,"リファーラル")</f>
        <v>0</v>
      </c>
      <c r="Y50" s="2">
        <f>COUNTIFS([3]流入チャネル別顧客一覧_ユニーク!$C:$C,"&gt;="&amp;Y$3,[3]流入チャネル別顧客一覧_ユニーク!$C:$C,"&lt;"&amp;EDATE(Y$3,1),[3]流入チャネル別顧客一覧_ユニーク!$H:$H,"link")+COUNTIFS([3]流入チャネル別顧客一覧_ユニーク!$C:$C,"&gt;="&amp;Y$3,[3]流入チャネル別顧客一覧_ユニーク!$C:$C,"&lt;"&amp;EDATE(Y$3,1),[3]流入チャネル別顧客一覧_ユニーク!$H:$H,"リファラル")+COUNTIFS([3]流入チャネル別顧客一覧_ユニーク!$C:$C,"&gt;="&amp;Y$3,[3]流入チャネル別顧客一覧_ユニーク!$C:$C,"&lt;"&amp;EDATE(Y$3,1),[3]流入チャネル別顧客一覧_ユニーク!$H:$H,"AIリファーラル")+COUNTIFS([3]流入チャネル別顧客一覧_ユニーク!$C:$C,"&gt;="&amp;Y$3,[3]流入チャネル別顧客一覧_ユニーク!$C:$C,"&lt;"&amp;EDATE(Y$3,1),[3]流入チャネル別顧客一覧_ユニーク!$H:$H,"リファーラル")</f>
        <v>0</v>
      </c>
      <c r="Z50" s="2">
        <f>COUNTIFS([3]流入チャネル別顧客一覧_ユニーク!$C:$C,"&gt;="&amp;Z$3,[3]流入チャネル別顧客一覧_ユニーク!$C:$C,"&lt;"&amp;EDATE(Z$3,1),[3]流入チャネル別顧客一覧_ユニーク!$H:$H,"link")+COUNTIFS([3]流入チャネル別顧客一覧_ユニーク!$C:$C,"&gt;="&amp;Z$3,[3]流入チャネル別顧客一覧_ユニーク!$C:$C,"&lt;"&amp;EDATE(Z$3,1),[3]流入チャネル別顧客一覧_ユニーク!$H:$H,"リファラル")+COUNTIFS([3]流入チャネル別顧客一覧_ユニーク!$C:$C,"&gt;="&amp;Z$3,[3]流入チャネル別顧客一覧_ユニーク!$C:$C,"&lt;"&amp;EDATE(Z$3,1),[3]流入チャネル別顧客一覧_ユニーク!$H:$H,"AIリファーラル")+COUNTIFS([3]流入チャネル別顧客一覧_ユニーク!$C:$C,"&gt;="&amp;Z$3,[3]流入チャネル別顧客一覧_ユニーク!$C:$C,"&lt;"&amp;EDATE(Z$3,1),[3]流入チャネル別顧客一覧_ユニーク!$H:$H,"リファーラル")</f>
        <v>2</v>
      </c>
      <c r="AA50" s="2">
        <f>COUNTIFS([3]流入チャネル別顧客一覧_ユニーク!$C:$C,"&gt;="&amp;AA$3,[3]流入チャネル別顧客一覧_ユニーク!$C:$C,"&lt;"&amp;EDATE(AA$3,1),[3]流入チャネル別顧客一覧_ユニーク!$H:$H,"link")+COUNTIFS([3]流入チャネル別顧客一覧_ユニーク!$C:$C,"&gt;="&amp;AA$3,[3]流入チャネル別顧客一覧_ユニーク!$C:$C,"&lt;"&amp;EDATE(AA$3,1),[3]流入チャネル別顧客一覧_ユニーク!$H:$H,"リファラル")+COUNTIFS([3]流入チャネル別顧客一覧_ユニーク!$C:$C,"&gt;="&amp;AA$3,[3]流入チャネル別顧客一覧_ユニーク!$C:$C,"&lt;"&amp;EDATE(AA$3,1),[3]流入チャネル別顧客一覧_ユニーク!$H:$H,"AIリファーラル")+COUNTIFS([3]流入チャネル別顧客一覧_ユニーク!$C:$C,"&gt;="&amp;AA$3,[3]流入チャネル別顧客一覧_ユニーク!$C:$C,"&lt;"&amp;EDATE(AA$3,1),[3]流入チャネル別顧客一覧_ユニーク!$H:$H,"リファーラル")</f>
        <v>0</v>
      </c>
      <c r="AB50" s="2">
        <f>COUNTIFS([3]流入チャネル別顧客一覧_ユニーク!$C:$C,"&gt;="&amp;AB$3,[3]流入チャネル別顧客一覧_ユニーク!$C:$C,"&lt;"&amp;EDATE(AB$3,1),[3]流入チャネル別顧客一覧_ユニーク!$H:$H,"link")+COUNTIFS([3]流入チャネル別顧客一覧_ユニーク!$C:$C,"&gt;="&amp;AB$3,[3]流入チャネル別顧客一覧_ユニーク!$C:$C,"&lt;"&amp;EDATE(AB$3,1),[3]流入チャネル別顧客一覧_ユニーク!$H:$H,"リファラル")+COUNTIFS([3]流入チャネル別顧客一覧_ユニーク!$C:$C,"&gt;="&amp;AB$3,[3]流入チャネル別顧客一覧_ユニーク!$C:$C,"&lt;"&amp;EDATE(AB$3,1),[3]流入チャネル別顧客一覧_ユニーク!$H:$H,"AIリファーラル")+COUNTIFS([3]流入チャネル別顧客一覧_ユニーク!$C:$C,"&gt;="&amp;AB$3,[3]流入チャネル別顧客一覧_ユニーク!$C:$C,"&lt;"&amp;EDATE(AB$3,1),[3]流入チャネル別顧客一覧_ユニーク!$H:$H,"リファーラル")</f>
        <v>1</v>
      </c>
      <c r="AC50" s="2">
        <f>COUNTIFS([3]流入チャネル別顧客一覧_ユニーク!$C:$C,"&gt;="&amp;AC$3,[3]流入チャネル別顧客一覧_ユニーク!$C:$C,"&lt;"&amp;EDATE(AC$3,1),[3]流入チャネル別顧客一覧_ユニーク!$H:$H,"link")+COUNTIFS([3]流入チャネル別顧客一覧_ユニーク!$C:$C,"&gt;="&amp;AC$3,[3]流入チャネル別顧客一覧_ユニーク!$C:$C,"&lt;"&amp;EDATE(AC$3,1),[3]流入チャネル別顧客一覧_ユニーク!$H:$H,"リファラル")+COUNTIFS([3]流入チャネル別顧客一覧_ユニーク!$C:$C,"&gt;="&amp;AC$3,[3]流入チャネル別顧客一覧_ユニーク!$C:$C,"&lt;"&amp;EDATE(AC$3,1),[3]流入チャネル別顧客一覧_ユニーク!$H:$H,"AIリファーラル")+COUNTIFS([3]流入チャネル別顧客一覧_ユニーク!$C:$C,"&gt;="&amp;AC$3,[3]流入チャネル別顧客一覧_ユニーク!$C:$C,"&lt;"&amp;EDATE(AC$3,1),[3]流入チャネル別顧客一覧_ユニーク!$H:$H,"リファーラル")</f>
        <v>0</v>
      </c>
      <c r="AD50" s="2">
        <f>COUNTIFS([3]流入チャネル別顧客一覧_ユニーク!$C:$C,"&gt;="&amp;AD$3,[3]流入チャネル別顧客一覧_ユニーク!$C:$C,"&lt;"&amp;EDATE(AD$3,1),[3]流入チャネル別顧客一覧_ユニーク!$H:$H,"link")+COUNTIFS([3]流入チャネル別顧客一覧_ユニーク!$C:$C,"&gt;="&amp;AD$3,[3]流入チャネル別顧客一覧_ユニーク!$C:$C,"&lt;"&amp;EDATE(AD$3,1),[3]流入チャネル別顧客一覧_ユニーク!$H:$H,"リファラル")+COUNTIFS([3]流入チャネル別顧客一覧_ユニーク!$C:$C,"&gt;="&amp;AD$3,[3]流入チャネル別顧客一覧_ユニーク!$C:$C,"&lt;"&amp;EDATE(AD$3,1),[3]流入チャネル別顧客一覧_ユニーク!$H:$H,"AIリファーラル")+COUNTIFS([3]流入チャネル別顧客一覧_ユニーク!$C:$C,"&gt;="&amp;AD$3,[3]流入チャネル別顧客一覧_ユニーク!$C:$C,"&lt;"&amp;EDATE(AD$3,1),[3]流入チャネル別顧客一覧_ユニーク!$H:$H,"リファーラル")</f>
        <v>0</v>
      </c>
      <c r="AE50" s="2">
        <f>COUNTIFS([3]流入チャネル別顧客一覧_ユニーク!$C:$C,"&gt;="&amp;AE$3,[3]流入チャネル別顧客一覧_ユニーク!$C:$C,"&lt;"&amp;EDATE(AE$3,1),[3]流入チャネル別顧客一覧_ユニーク!$H:$H,"link")+COUNTIFS([3]流入チャネル別顧客一覧_ユニーク!$C:$C,"&gt;="&amp;AE$3,[3]流入チャネル別顧客一覧_ユニーク!$C:$C,"&lt;"&amp;EDATE(AE$3,1),[3]流入チャネル別顧客一覧_ユニーク!$H:$H,"リファラル")+COUNTIFS([3]流入チャネル別顧客一覧_ユニーク!$C:$C,"&gt;="&amp;AE$3,[3]流入チャネル別顧客一覧_ユニーク!$C:$C,"&lt;"&amp;EDATE(AE$3,1),[3]流入チャネル別顧客一覧_ユニーク!$H:$H,"AIリファーラル")+COUNTIFS([3]流入チャネル別顧客一覧_ユニーク!$C:$C,"&gt;="&amp;AE$3,[3]流入チャネル別顧客一覧_ユニーク!$C:$C,"&lt;"&amp;EDATE(AE$3,1),[3]流入チャネル別顧客一覧_ユニーク!$H:$H,"リファーラル")</f>
        <v>0</v>
      </c>
      <c r="AF50" s="2">
        <f>COUNTIFS([3]流入チャネル別顧客一覧_ユニーク!$C:$C,"&gt;="&amp;AF$3,[3]流入チャネル別顧客一覧_ユニーク!$C:$C,"&lt;"&amp;EDATE(AF$3,1),[3]流入チャネル別顧客一覧_ユニーク!$H:$H,"link")+COUNTIFS([3]流入チャネル別顧客一覧_ユニーク!$C:$C,"&gt;="&amp;AF$3,[3]流入チャネル別顧客一覧_ユニーク!$C:$C,"&lt;"&amp;EDATE(AF$3,1),[3]流入チャネル別顧客一覧_ユニーク!$H:$H,"リファラル")+COUNTIFS([3]流入チャネル別顧客一覧_ユニーク!$C:$C,"&gt;="&amp;AF$3,[3]流入チャネル別顧客一覧_ユニーク!$C:$C,"&lt;"&amp;EDATE(AF$3,1),[3]流入チャネル別顧客一覧_ユニーク!$H:$H,"AIリファーラル")+COUNTIFS([3]流入チャネル別顧客一覧_ユニーク!$C:$C,"&gt;="&amp;AF$3,[3]流入チャネル別顧客一覧_ユニーク!$C:$C,"&lt;"&amp;EDATE(AF$3,1),[3]流入チャネル別顧客一覧_ユニーク!$H:$H,"リファーラル")</f>
        <v>0</v>
      </c>
      <c r="AG50" s="2">
        <f>COUNTIFS([3]流入チャネル別顧客一覧_ユニーク!$C:$C,"&gt;="&amp;AG$3,[3]流入チャネル別顧客一覧_ユニーク!$C:$C,"&lt;"&amp;EDATE(AG$3,1),[3]流入チャネル別顧客一覧_ユニーク!$H:$H,"link")+COUNTIFS([3]流入チャネル別顧客一覧_ユニーク!$C:$C,"&gt;="&amp;AG$3,[3]流入チャネル別顧客一覧_ユニーク!$C:$C,"&lt;"&amp;EDATE(AG$3,1),[3]流入チャネル別顧客一覧_ユニーク!$H:$H,"リファラル")+COUNTIFS([3]流入チャネル別顧客一覧_ユニーク!$C:$C,"&gt;="&amp;AG$3,[3]流入チャネル別顧客一覧_ユニーク!$C:$C,"&lt;"&amp;EDATE(AG$3,1),[3]流入チャネル別顧客一覧_ユニーク!$H:$H,"AIリファーラル")+COUNTIFS([3]流入チャネル別顧客一覧_ユニーク!$C:$C,"&gt;="&amp;AG$3,[3]流入チャネル別顧客一覧_ユニーク!$C:$C,"&lt;"&amp;EDATE(AG$3,1),[3]流入チャネル別顧客一覧_ユニーク!$H:$H,"リファーラル")</f>
        <v>0</v>
      </c>
      <c r="AH50" s="2">
        <f>COUNTIFS([3]流入チャネル別顧客一覧_ユニーク!$C:$C,"&gt;="&amp;AH$3,[3]流入チャネル別顧客一覧_ユニーク!$C:$C,"&lt;"&amp;EDATE(AH$3,1),[3]流入チャネル別顧客一覧_ユニーク!$H:$H,"link")+COUNTIFS([3]流入チャネル別顧客一覧_ユニーク!$C:$C,"&gt;="&amp;AH$3,[3]流入チャネル別顧客一覧_ユニーク!$C:$C,"&lt;"&amp;EDATE(AH$3,1),[3]流入チャネル別顧客一覧_ユニーク!$H:$H,"リファラル")+COUNTIFS([3]流入チャネル別顧客一覧_ユニーク!$C:$C,"&gt;="&amp;AH$3,[3]流入チャネル別顧客一覧_ユニーク!$C:$C,"&lt;"&amp;EDATE(AH$3,1),[3]流入チャネル別顧客一覧_ユニーク!$H:$H,"AIリファーラル")+COUNTIFS([3]流入チャネル別顧客一覧_ユニーク!$C:$C,"&gt;="&amp;AH$3,[3]流入チャネル別顧客一覧_ユニーク!$C:$C,"&lt;"&amp;EDATE(AH$3,1),[3]流入チャネル別顧客一覧_ユニーク!$H:$H,"リファーラル")</f>
        <v>0</v>
      </c>
      <c r="AI50" s="2">
        <f>COUNTIFS([3]流入チャネル別顧客一覧_ユニーク!$C:$C,"&gt;="&amp;AI$3,[3]流入チャネル別顧客一覧_ユニーク!$C:$C,"&lt;"&amp;EDATE(AI$3,1),[3]流入チャネル別顧客一覧_ユニーク!$H:$H,"link")+COUNTIFS([3]流入チャネル別顧客一覧_ユニーク!$C:$C,"&gt;="&amp;AI$3,[3]流入チャネル別顧客一覧_ユニーク!$C:$C,"&lt;"&amp;EDATE(AI$3,1),[3]流入チャネル別顧客一覧_ユニーク!$H:$H,"リファラル")+COUNTIFS([3]流入チャネル別顧客一覧_ユニーク!$C:$C,"&gt;="&amp;AI$3,[3]流入チャネル別顧客一覧_ユニーク!$C:$C,"&lt;"&amp;EDATE(AI$3,1),[3]流入チャネル別顧客一覧_ユニーク!$H:$H,"AIリファーラル")+COUNTIFS([3]流入チャネル別顧客一覧_ユニーク!$C:$C,"&gt;="&amp;AI$3,[3]流入チャネル別顧客一覧_ユニーク!$C:$C,"&lt;"&amp;EDATE(AI$3,1),[3]流入チャネル別顧客一覧_ユニーク!$H:$H,"リファーラル")</f>
        <v>0</v>
      </c>
      <c r="AJ50" s="2">
        <f>COUNTIFS([3]流入チャネル別顧客一覧_ユニーク!$C:$C,"&gt;="&amp;AJ$3,[3]流入チャネル別顧客一覧_ユニーク!$C:$C,"&lt;"&amp;EDATE(AJ$3,1),[3]流入チャネル別顧客一覧_ユニーク!$H:$H,"link")+COUNTIFS([3]流入チャネル別顧客一覧_ユニーク!$C:$C,"&gt;="&amp;AJ$3,[3]流入チャネル別顧客一覧_ユニーク!$C:$C,"&lt;"&amp;EDATE(AJ$3,1),[3]流入チャネル別顧客一覧_ユニーク!$H:$H,"リファラル")+COUNTIFS([3]流入チャネル別顧客一覧_ユニーク!$C:$C,"&gt;="&amp;AJ$3,[3]流入チャネル別顧客一覧_ユニーク!$C:$C,"&lt;"&amp;EDATE(AJ$3,1),[3]流入チャネル別顧客一覧_ユニーク!$H:$H,"AIリファーラル")+COUNTIFS([3]流入チャネル別顧客一覧_ユニーク!$C:$C,"&gt;="&amp;AJ$3,[3]流入チャネル別顧客一覧_ユニーク!$C:$C,"&lt;"&amp;EDATE(AJ$3,1),[3]流入チャネル別顧客一覧_ユニーク!$H:$H,"リファーラル")</f>
        <v>0</v>
      </c>
      <c r="AK50" s="2">
        <f>COUNTIFS([3]流入チャネル別顧客一覧_ユニーク!$C:$C,"&gt;="&amp;AK$3,[3]流入チャネル別顧客一覧_ユニーク!$C:$C,"&lt;"&amp;EDATE(AK$3,1),[3]流入チャネル別顧客一覧_ユニーク!$H:$H,"link")+COUNTIFS([3]流入チャネル別顧客一覧_ユニーク!$C:$C,"&gt;="&amp;AK$3,[3]流入チャネル別顧客一覧_ユニーク!$C:$C,"&lt;"&amp;EDATE(AK$3,1),[3]流入チャネル別顧客一覧_ユニーク!$H:$H,"リファラル")+COUNTIFS([3]流入チャネル別顧客一覧_ユニーク!$C:$C,"&gt;="&amp;AK$3,[3]流入チャネル別顧客一覧_ユニーク!$C:$C,"&lt;"&amp;EDATE(AK$3,1),[3]流入チャネル別顧客一覧_ユニーク!$H:$H,"AIリファーラル")+COUNTIFS([3]流入チャネル別顧客一覧_ユニーク!$C:$C,"&gt;="&amp;AK$3,[3]流入チャネル別顧客一覧_ユニーク!$C:$C,"&lt;"&amp;EDATE(AK$3,1),[3]流入チャネル別顧客一覧_ユニーク!$H:$H,"リファーラル")</f>
        <v>0</v>
      </c>
      <c r="AL50" s="2">
        <f>COUNTIFS([3]流入チャネル別顧客一覧_ユニーク!$C:$C,"&gt;="&amp;AL$3,[3]流入チャネル別顧客一覧_ユニーク!$C:$C,"&lt;"&amp;EDATE(AL$3,1),[3]流入チャネル別顧客一覧_ユニーク!$H:$H,"link")+COUNTIFS([3]流入チャネル別顧客一覧_ユニーク!$C:$C,"&gt;="&amp;AL$3,[3]流入チャネル別顧客一覧_ユニーク!$C:$C,"&lt;"&amp;EDATE(AL$3,1),[3]流入チャネル別顧客一覧_ユニーク!$H:$H,"リファラル")+COUNTIFS([3]流入チャネル別顧客一覧_ユニーク!$C:$C,"&gt;="&amp;AL$3,[3]流入チャネル別顧客一覧_ユニーク!$C:$C,"&lt;"&amp;EDATE(AL$3,1),[3]流入チャネル別顧客一覧_ユニーク!$H:$H,"AIリファラル")</f>
        <v>0</v>
      </c>
      <c r="AM50" s="2">
        <f t="shared" si="38"/>
        <v>4</v>
      </c>
      <c r="AN50" s="2">
        <f t="shared" si="39"/>
        <v>3</v>
      </c>
    </row>
    <row r="51" spans="1:50" ht="18">
      <c r="A51" s="1" t="s">
        <v>63</v>
      </c>
      <c r="B51" s="2" t="s">
        <v>19</v>
      </c>
      <c r="C51" s="2" t="s">
        <v>19</v>
      </c>
      <c r="D51" s="2" t="s">
        <v>19</v>
      </c>
      <c r="E51" s="2" t="s">
        <v>19</v>
      </c>
      <c r="F51" s="2" t="s">
        <v>19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AL51" s="2"/>
      <c r="AM51" s="2">
        <f t="shared" si="38"/>
        <v>0</v>
      </c>
      <c r="AN51" s="2">
        <f t="shared" si="39"/>
        <v>0</v>
      </c>
    </row>
    <row r="52" spans="1:50" ht="18">
      <c r="A52" s="1" t="s">
        <v>64</v>
      </c>
      <c r="B52" s="2"/>
      <c r="C52" s="2"/>
      <c r="D52" s="2"/>
      <c r="N52" s="2">
        <f>COUNTIFS([3]流入チャネル別顧客一覧_ユニーク!$C:$C,"&gt;="&amp;N$3,[3]流入チャネル別顧客一覧_ユニーク!$C:$C,"&lt;"&amp;EDATE(N$3,1),[3]流入チャネル別顧客一覧_ユニーク!$H:$H,"オフラインソース")+COUNTIFS([3]流入チャネル別顧客一覧_ユニーク!$C:$C,"&gt;="&amp;N$3,[3]流入チャネル別顧客一覧_ユニーク!$C:$C,"&lt;"&amp;EDATE(N$3,1),[3]流入チャネル別顧客一覧_ユニーク!$H:$H,"ベルシステム")</f>
        <v>0</v>
      </c>
      <c r="O52" s="2">
        <f>COUNTIFS([3]流入チャネル別顧客一覧_ユニーク!$C:$C,"&gt;="&amp;O$3,[3]流入チャネル別顧客一覧_ユニーク!$C:$C,"&lt;"&amp;EDATE(O$3,1),[3]流入チャネル別顧客一覧_ユニーク!$H:$H,"オフラインソース")+COUNTIFS([3]流入チャネル別顧客一覧_ユニーク!$C:$C,"&gt;="&amp;O$3,[3]流入チャネル別顧客一覧_ユニーク!$C:$C,"&lt;"&amp;EDATE(O$3,1),[3]流入チャネル別顧客一覧_ユニーク!$H:$H,"ベルシステム")</f>
        <v>0</v>
      </c>
      <c r="P52" s="2">
        <f>COUNTIFS([3]流入チャネル別顧客一覧_ユニーク!$C:$C,"&gt;="&amp;P$3,[3]流入チャネル別顧客一覧_ユニーク!$C:$C,"&lt;"&amp;EDATE(P$3,1),[3]流入チャネル別顧客一覧_ユニーク!$H:$H,"オフラインソース")+COUNTIFS([3]流入チャネル別顧客一覧_ユニーク!$C:$C,"&gt;="&amp;P$3,[3]流入チャネル別顧客一覧_ユニーク!$C:$C,"&lt;"&amp;EDATE(P$3,1),[3]流入チャネル別顧客一覧_ユニーク!$H:$H,"ベルシステム")</f>
        <v>0</v>
      </c>
      <c r="Q52" s="2">
        <f>COUNTIFS([3]流入チャネル別顧客一覧_ユニーク!$C:$C,"&gt;="&amp;Q$3,[3]流入チャネル別顧客一覧_ユニーク!$C:$C,"&lt;"&amp;EDATE(Q$3,1),[3]流入チャネル別顧客一覧_ユニーク!$H:$H,"オフラインソース")+COUNTIFS([3]流入チャネル別顧客一覧_ユニーク!$C:$C,"&gt;="&amp;Q$3,[3]流入チャネル別顧客一覧_ユニーク!$C:$C,"&lt;"&amp;EDATE(Q$3,1),[3]流入チャネル別顧客一覧_ユニーク!$H:$H,"ベルシステム")</f>
        <v>0</v>
      </c>
      <c r="R52" s="2">
        <f>COUNTIFS([3]流入チャネル別顧客一覧_ユニーク!$C:$C,"&gt;="&amp;R$3,[3]流入チャネル別顧客一覧_ユニーク!$C:$C,"&lt;"&amp;EDATE(R$3,1),[3]流入チャネル別顧客一覧_ユニーク!$H:$H,"オフラインソース")+COUNTIFS([3]流入チャネル別顧客一覧_ユニーク!$C:$C,"&gt;="&amp;R$3,[3]流入チャネル別顧客一覧_ユニーク!$C:$C,"&lt;"&amp;EDATE(R$3,1),[3]流入チャネル別顧客一覧_ユニーク!$H:$H,"ベルシステム")</f>
        <v>0</v>
      </c>
      <c r="S52" s="2">
        <f>COUNTIFS([3]流入チャネル別顧客一覧_ユニーク!$C:$C,"&gt;="&amp;S$3,[3]流入チャネル別顧客一覧_ユニーク!$C:$C,"&lt;"&amp;EDATE(S$3,1),[3]流入チャネル別顧客一覧_ユニーク!$H:$H,"オフラインソース")+COUNTIFS([3]流入チャネル別顧客一覧_ユニーク!$C:$C,"&gt;="&amp;S$3,[3]流入チャネル別顧客一覧_ユニーク!$C:$C,"&lt;"&amp;EDATE(S$3,1),[3]流入チャネル別顧客一覧_ユニーク!$H:$H,"ベルシステム")</f>
        <v>0</v>
      </c>
      <c r="T52" s="2">
        <f>COUNTIFS([3]流入チャネル別顧客一覧_ユニーク!$C:$C,"&gt;="&amp;T$3,[3]流入チャネル別顧客一覧_ユニーク!$C:$C,"&lt;"&amp;EDATE(T$3,1),[3]流入チャネル別顧客一覧_ユニーク!$H:$H,"オフラインソース")+COUNTIFS([3]流入チャネル別顧客一覧_ユニーク!$C:$C,"&gt;="&amp;T$3,[3]流入チャネル別顧客一覧_ユニーク!$C:$C,"&lt;"&amp;EDATE(T$3,1),[3]流入チャネル別顧客一覧_ユニーク!$H:$H,"ベルシステム")</f>
        <v>1</v>
      </c>
      <c r="U52" s="2">
        <f>COUNTIFS([3]流入チャネル別顧客一覧_ユニーク!$C:$C,"&gt;="&amp;U$3,[3]流入チャネル別顧客一覧_ユニーク!$C:$C,"&lt;"&amp;EDATE(U$3,1),[3]流入チャネル別顧客一覧_ユニーク!$H:$H,"オフラインソース")+COUNTIFS([3]流入チャネル別顧客一覧_ユニーク!$C:$C,"&gt;="&amp;U$3,[3]流入チャネル別顧客一覧_ユニーク!$C:$C,"&lt;"&amp;EDATE(U$3,1),[3]流入チャネル別顧客一覧_ユニーク!$H:$H,"ベルシステム")</f>
        <v>0</v>
      </c>
      <c r="V52" s="2">
        <f>COUNTIFS([3]流入チャネル別顧客一覧_ユニーク!$C:$C,"&gt;="&amp;V$3,[3]流入チャネル別顧客一覧_ユニーク!$C:$C,"&lt;"&amp;EDATE(V$3,1),[3]流入チャネル別顧客一覧_ユニーク!$H:$H,"オフラインソース")+COUNTIFS([3]流入チャネル別顧客一覧_ユニーク!$C:$C,"&gt;="&amp;V$3,[3]流入チャネル別顧客一覧_ユニーク!$C:$C,"&lt;"&amp;EDATE(V$3,1),[3]流入チャネル別顧客一覧_ユニーク!$H:$H,"ベルシステム")</f>
        <v>0</v>
      </c>
      <c r="W52" s="2">
        <f>COUNTIFS([3]流入チャネル別顧客一覧_ユニーク!$C:$C,"&gt;="&amp;W$3,[3]流入チャネル別顧客一覧_ユニーク!$C:$C,"&lt;"&amp;EDATE(W$3,1),[3]流入チャネル別顧客一覧_ユニーク!$H:$H,"オフラインソース")+COUNTIFS([3]流入チャネル別顧客一覧_ユニーク!$C:$C,"&gt;="&amp;W$3,[3]流入チャネル別顧客一覧_ユニーク!$C:$C,"&lt;"&amp;EDATE(W$3,1),[3]流入チャネル別顧客一覧_ユニーク!$H:$H,"ベルシステム")</f>
        <v>0</v>
      </c>
      <c r="X52" s="2">
        <f>COUNTIFS([3]流入チャネル別顧客一覧_ユニーク!$C:$C,"&gt;="&amp;X$3,[3]流入チャネル別顧客一覧_ユニーク!$C:$C,"&lt;"&amp;EDATE(X$3,1),[3]流入チャネル別顧客一覧_ユニーク!$H:$H,"オフラインソース")+COUNTIFS([3]流入チャネル別顧客一覧_ユニーク!$C:$C,"&gt;="&amp;X$3,[3]流入チャネル別顧客一覧_ユニーク!$C:$C,"&lt;"&amp;EDATE(X$3,1),[3]流入チャネル別顧客一覧_ユニーク!$H:$H,"ベルシステム")</f>
        <v>0</v>
      </c>
      <c r="Y52" s="2">
        <f>COUNTIFS([3]流入チャネル別顧客一覧_ユニーク!$C:$C,"&gt;="&amp;Y$3,[3]流入チャネル別顧客一覧_ユニーク!$C:$C,"&lt;"&amp;EDATE(Y$3,1),[3]流入チャネル別顧客一覧_ユニーク!$H:$H,"オフラインソース")+COUNTIFS([3]流入チャネル別顧客一覧_ユニーク!$C:$C,"&gt;="&amp;Y$3,[3]流入チャネル別顧客一覧_ユニーク!$C:$C,"&lt;"&amp;EDATE(Y$3,1),[3]流入チャネル別顧客一覧_ユニーク!$H:$H,"ベルシステム")</f>
        <v>0</v>
      </c>
      <c r="Z52" s="2">
        <f>COUNTIFS([3]流入チャネル別顧客一覧_ユニーク!$C:$C,"&gt;="&amp;Z$3,[3]流入チャネル別顧客一覧_ユニーク!$C:$C,"&lt;"&amp;EDATE(Z$3,1),[3]流入チャネル別顧客一覧_ユニーク!$H:$H,"オフラインソース")+COUNTIFS([3]流入チャネル別顧客一覧_ユニーク!$C:$C,"&gt;="&amp;Z$3,[3]流入チャネル別顧客一覧_ユニーク!$C:$C,"&lt;"&amp;EDATE(Z$3,1),[3]流入チャネル別顧客一覧_ユニーク!$H:$H,"ベルシステム")</f>
        <v>0</v>
      </c>
      <c r="AA52" s="2">
        <f>COUNTIFS([3]流入チャネル別顧客一覧_ユニーク!$C:$C,"&gt;="&amp;AA$3,[3]流入チャネル別顧客一覧_ユニーク!$C:$C,"&lt;"&amp;EDATE(AA$3,1),[3]流入チャネル別顧客一覧_ユニーク!$H:$H,"オフラインソース")+COUNTIFS([3]流入チャネル別顧客一覧_ユニーク!$C:$C,"&gt;="&amp;AA$3,[3]流入チャネル別顧客一覧_ユニーク!$C:$C,"&lt;"&amp;EDATE(AA$3,1),[3]流入チャネル別顧客一覧_ユニーク!$H:$H,"ベルシステム")</f>
        <v>0</v>
      </c>
      <c r="AB52" s="2">
        <f>COUNTIFS([3]流入チャネル別顧客一覧_ユニーク!$C:$C,"&gt;="&amp;AB$3,[3]流入チャネル別顧客一覧_ユニーク!$C:$C,"&lt;"&amp;EDATE(AB$3,1),[3]流入チャネル別顧客一覧_ユニーク!$H:$H,"オフラインソース")+COUNTIFS([3]流入チャネル別顧客一覧_ユニーク!$C:$C,"&gt;="&amp;AB$3,[3]流入チャネル別顧客一覧_ユニーク!$C:$C,"&lt;"&amp;EDATE(AB$3,1),[3]流入チャネル別顧客一覧_ユニーク!$H:$H,"ベルシステム")</f>
        <v>1</v>
      </c>
      <c r="AC52" s="2">
        <f>COUNTIFS([3]流入チャネル別顧客一覧_ユニーク!$C:$C,"&gt;="&amp;AC$3,[3]流入チャネル別顧客一覧_ユニーク!$C:$C,"&lt;"&amp;EDATE(AC$3,1),[3]流入チャネル別顧客一覧_ユニーク!$H:$H,"オフラインソース")+COUNTIFS([3]流入チャネル別顧客一覧_ユニーク!$C:$C,"&gt;="&amp;AC$3,[3]流入チャネル別顧客一覧_ユニーク!$C:$C,"&lt;"&amp;EDATE(AC$3,1),[3]流入チャネル別顧客一覧_ユニーク!$H:$H,"ベルシステム")</f>
        <v>0</v>
      </c>
      <c r="AD52" s="2">
        <f>COUNTIFS([3]流入チャネル別顧客一覧_ユニーク!$C:$C,"&gt;="&amp;AD$3,[3]流入チャネル別顧客一覧_ユニーク!$C:$C,"&lt;"&amp;EDATE(AD$3,1),[3]流入チャネル別顧客一覧_ユニーク!$H:$H,"オフラインソース")+COUNTIFS([3]流入チャネル別顧客一覧_ユニーク!$C:$C,"&gt;="&amp;AD$3,[3]流入チャネル別顧客一覧_ユニーク!$C:$C,"&lt;"&amp;EDATE(AD$3,1),[3]流入チャネル別顧客一覧_ユニーク!$H:$H,"ベルシステム")</f>
        <v>0</v>
      </c>
      <c r="AE52" s="2">
        <f>COUNTIFS([3]流入チャネル別顧客一覧_ユニーク!$C:$C,"&gt;="&amp;AE$3,[3]流入チャネル別顧客一覧_ユニーク!$C:$C,"&lt;"&amp;EDATE(AE$3,1),[3]流入チャネル別顧客一覧_ユニーク!$H:$H,"オフラインソース")+COUNTIFS([3]流入チャネル別顧客一覧_ユニーク!$C:$C,"&gt;="&amp;AE$3,[3]流入チャネル別顧客一覧_ユニーク!$C:$C,"&lt;"&amp;EDATE(AE$3,1),[3]流入チャネル別顧客一覧_ユニーク!$H:$H,"ベルシステム")</f>
        <v>0</v>
      </c>
      <c r="AF52" s="2">
        <f>COUNTIFS([3]流入チャネル別顧客一覧_ユニーク!$C:$C,"&gt;="&amp;AF$3,[3]流入チャネル別顧客一覧_ユニーク!$C:$C,"&lt;"&amp;EDATE(AF$3,1),[3]流入チャネル別顧客一覧_ユニーク!$H:$H,"オフラインソース")+COUNTIFS([3]流入チャネル別顧客一覧_ユニーク!$C:$C,"&gt;="&amp;AF$3,[3]流入チャネル別顧客一覧_ユニーク!$C:$C,"&lt;"&amp;EDATE(AF$3,1),[3]流入チャネル別顧客一覧_ユニーク!$H:$H,"ベルシステム")</f>
        <v>0</v>
      </c>
      <c r="AG52" s="2">
        <f>COUNTIFS([3]流入チャネル別顧客一覧_ユニーク!$C:$C,"&gt;="&amp;AG$3,[3]流入チャネル別顧客一覧_ユニーク!$C:$C,"&lt;"&amp;EDATE(AG$3,1),[3]流入チャネル別顧客一覧_ユニーク!$H:$H,"オフラインソース")+COUNTIFS([3]流入チャネル別顧客一覧_ユニーク!$C:$C,"&gt;="&amp;AG$3,[3]流入チャネル別顧客一覧_ユニーク!$C:$C,"&lt;"&amp;EDATE(AG$3,1),[3]流入チャネル別顧客一覧_ユニーク!$H:$H,"ベルシステム")</f>
        <v>0</v>
      </c>
      <c r="AH52" s="2">
        <f>COUNTIFS([3]流入チャネル別顧客一覧_ユニーク!$C:$C,"&gt;="&amp;AH$3,[3]流入チャネル別顧客一覧_ユニーク!$C:$C,"&lt;"&amp;EDATE(AH$3,1),[3]流入チャネル別顧客一覧_ユニーク!$H:$H,"オフラインソース")+COUNTIFS([3]流入チャネル別顧客一覧_ユニーク!$C:$C,"&gt;="&amp;AH$3,[3]流入チャネル別顧客一覧_ユニーク!$C:$C,"&lt;"&amp;EDATE(AH$3,1),[3]流入チャネル別顧客一覧_ユニーク!$H:$H,"ベルシステム")</f>
        <v>0</v>
      </c>
      <c r="AI52" s="2">
        <f>COUNTIFS([3]流入チャネル別顧客一覧_ユニーク!$C:$C,"&gt;="&amp;AI$3,[3]流入チャネル別顧客一覧_ユニーク!$C:$C,"&lt;"&amp;EDATE(AI$3,1),[3]流入チャネル別顧客一覧_ユニーク!$H:$H,"オフラインソース")+COUNTIFS([3]流入チャネル別顧客一覧_ユニーク!$C:$C,"&gt;="&amp;AI$3,[3]流入チャネル別顧客一覧_ユニーク!$C:$C,"&lt;"&amp;EDATE(AI$3,1),[3]流入チャネル別顧客一覧_ユニーク!$H:$H,"ベルシステム")</f>
        <v>0</v>
      </c>
      <c r="AJ52" s="2">
        <f>COUNTIFS([3]流入チャネル別顧客一覧_ユニーク!$C:$C,"&gt;="&amp;AJ$3,[3]流入チャネル別顧客一覧_ユニーク!$C:$C,"&lt;"&amp;EDATE(AJ$3,1),[3]流入チャネル別顧客一覧_ユニーク!$H:$H,"オフラインソース")+COUNTIFS([3]流入チャネル別顧客一覧_ユニーク!$C:$C,"&gt;="&amp;AJ$3,[3]流入チャネル別顧客一覧_ユニーク!$C:$C,"&lt;"&amp;EDATE(AJ$3,1),[3]流入チャネル別顧客一覧_ユニーク!$H:$H,"ベルシステム")</f>
        <v>0</v>
      </c>
      <c r="AK52" s="2">
        <f>COUNTIFS([3]流入チャネル別顧客一覧_ユニーク!$C:$C,"&gt;="&amp;AK$3,[3]流入チャネル別顧客一覧_ユニーク!$C:$C,"&lt;"&amp;EDATE(AK$3,1),[3]流入チャネル別顧客一覧_ユニーク!$H:$H,"オフラインソース")+COUNTIFS([3]流入チャネル別顧客一覧_ユニーク!$C:$C,"&gt;="&amp;AK$3,[3]流入チャネル別顧客一覧_ユニーク!$C:$C,"&lt;"&amp;EDATE(AK$3,1),[3]流入チャネル別顧客一覧_ユニーク!$H:$H,"ベルシステム")</f>
        <v>0</v>
      </c>
      <c r="AL52" s="2">
        <f>COUNTIFS([3]流入チャネル別顧客一覧_ユニーク!$C:$C,"&gt;="&amp;AL$3,[3]流入チャネル別顧客一覧_ユニーク!$C:$C,"&lt;"&amp;EDATE(AL$3,1),[3]流入チャネル別顧客一覧_ユニーク!$H:$H,"オフラインソース")+COUNTIFS([3]流入チャネル別顧客一覧_ユニーク!$C:$C,"&gt;="&amp;AL$3,[3]流入チャネル別顧客一覧_ユニーク!$C:$C,"&lt;"&amp;EDATE(AL$3,1),[3]流入チャネル別顧客一覧_ユニーク!$H:$H,"ベルシステム")</f>
        <v>0</v>
      </c>
      <c r="AM52" s="2">
        <f t="shared" si="38"/>
        <v>1</v>
      </c>
      <c r="AN52" s="2">
        <f t="shared" si="39"/>
        <v>1</v>
      </c>
    </row>
    <row r="53" spans="1:50" ht="18">
      <c r="A53" s="1" t="s">
        <v>65</v>
      </c>
      <c r="B53" s="2" t="s">
        <v>19</v>
      </c>
      <c r="C53" s="2" t="s">
        <v>19</v>
      </c>
      <c r="D53" s="2" t="s">
        <v>19</v>
      </c>
      <c r="E53" s="2" t="s">
        <v>19</v>
      </c>
      <c r="F53" s="2" t="s">
        <v>19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f>COUNTIFS([3]流入チャネル別顧客一覧_ユニーク!$C:$C,"&gt;="&amp;N$3,[3]流入チャネル別顧客一覧_ユニーク!$C:$C,"&lt;"&amp;EDATE(N$3,1),[3]流入チャネル別顧客一覧_ユニーク!$H:$H,"他のキャンペーン")+COUNTIFS([3]流入チャネル別顧客一覧_ユニーク!$C:$C,"&gt;="&amp;N$3,[3]流入チャネル別顧客一覧_ユニーク!$C:$C,"&lt;"&amp;EDATE(N$3,1),[3]流入チャネル別顧客一覧_ユニーク!$H:$H,"others")</f>
        <v>3</v>
      </c>
      <c r="O53" s="2">
        <f>COUNTIFS([3]流入チャネル別顧客一覧_ユニーク!$C:$C,"&gt;="&amp;O$3,[3]流入チャネル別顧客一覧_ユニーク!$C:$C,"&lt;"&amp;EDATE(O$3,1),[3]流入チャネル別顧客一覧_ユニーク!$H:$H,"他のキャンペーン")+COUNTIFS([3]流入チャネル別顧客一覧_ユニーク!$C:$C,"&gt;="&amp;O$3,[3]流入チャネル別顧客一覧_ユニーク!$C:$C,"&lt;"&amp;EDATE(O$3,1),[3]流入チャネル別顧客一覧_ユニーク!$H:$H,"others")</f>
        <v>1</v>
      </c>
      <c r="P53" s="2">
        <f>COUNTIFS([3]流入チャネル別顧客一覧_ユニーク!$C:$C,"&gt;="&amp;P$3,[3]流入チャネル別顧客一覧_ユニーク!$C:$C,"&lt;"&amp;EDATE(P$3,1),[3]流入チャネル別顧客一覧_ユニーク!$H:$H,"他のキャンペーン")+COUNTIFS([3]流入チャネル別顧客一覧_ユニーク!$C:$C,"&gt;="&amp;P$3,[3]流入チャネル別顧客一覧_ユニーク!$C:$C,"&lt;"&amp;EDATE(P$3,1),[3]流入チャネル別顧客一覧_ユニーク!$H:$H,"others")</f>
        <v>0</v>
      </c>
      <c r="Q53" s="2">
        <f>COUNTIFS([3]流入チャネル別顧客一覧_ユニーク!$C:$C,"&gt;="&amp;Q$3,[3]流入チャネル別顧客一覧_ユニーク!$C:$C,"&lt;"&amp;EDATE(Q$3,1),[3]流入チャネル別顧客一覧_ユニーク!$H:$H,"他のキャンペーン")+COUNTIFS([3]流入チャネル別顧客一覧_ユニーク!$C:$C,"&gt;="&amp;Q$3,[3]流入チャネル別顧客一覧_ユニーク!$C:$C,"&lt;"&amp;EDATE(Q$3,1),[3]流入チャネル別顧客一覧_ユニーク!$H:$H,"others")</f>
        <v>2</v>
      </c>
      <c r="R53" s="2">
        <f>COUNTIFS([3]流入チャネル別顧客一覧_ユニーク!$C:$C,"&gt;="&amp;R$3,[3]流入チャネル別顧客一覧_ユニーク!$C:$C,"&lt;"&amp;EDATE(R$3,1),[3]流入チャネル別顧客一覧_ユニーク!$H:$H,"他のキャンペーン")+COUNTIFS([3]流入チャネル別顧客一覧_ユニーク!$C:$C,"&gt;="&amp;R$3,[3]流入チャネル別顧客一覧_ユニーク!$C:$C,"&lt;"&amp;EDATE(R$3,1),[3]流入チャネル別顧客一覧_ユニーク!$H:$H,"others")</f>
        <v>0</v>
      </c>
      <c r="S53" s="2">
        <f>COUNTIFS([3]流入チャネル別顧客一覧_ユニーク!$C:$C,"&gt;="&amp;S$3,[3]流入チャネル別顧客一覧_ユニーク!$C:$C,"&lt;"&amp;EDATE(S$3,1),[3]流入チャネル別顧客一覧_ユニーク!$H:$H,"他のキャンペーン")+COUNTIFS([3]流入チャネル別顧客一覧_ユニーク!$C:$C,"&gt;="&amp;S$3,[3]流入チャネル別顧客一覧_ユニーク!$C:$C,"&lt;"&amp;EDATE(S$3,1),[3]流入チャネル別顧客一覧_ユニーク!$H:$H,"others")</f>
        <v>0</v>
      </c>
      <c r="T53" s="2">
        <f>COUNTIFS([3]流入チャネル別顧客一覧_ユニーク!$C:$C,"&gt;="&amp;T$3,[3]流入チャネル別顧客一覧_ユニーク!$C:$C,"&lt;"&amp;EDATE(T$3,1),[3]流入チャネル別顧客一覧_ユニーク!$H:$H,"他のキャンペーン")+COUNTIFS([3]流入チャネル別顧客一覧_ユニーク!$C:$C,"&gt;="&amp;T$3,[3]流入チャネル別顧客一覧_ユニーク!$C:$C,"&lt;"&amp;EDATE(T$3,1),[3]流入チャネル別顧客一覧_ユニーク!$H:$H,"others")</f>
        <v>0</v>
      </c>
      <c r="U53" s="2">
        <f>COUNTIFS([3]流入チャネル別顧客一覧_ユニーク!$C:$C,"&gt;="&amp;U$3,[3]流入チャネル別顧客一覧_ユニーク!$C:$C,"&lt;"&amp;EDATE(U$3,1),[3]流入チャネル別顧客一覧_ユニーク!$H:$H,"他のキャンペーン")+COUNTIFS([3]流入チャネル別顧客一覧_ユニーク!$C:$C,"&gt;="&amp;U$3,[3]流入チャネル別顧客一覧_ユニーク!$C:$C,"&lt;"&amp;EDATE(U$3,1),[3]流入チャネル別顧客一覧_ユニーク!$H:$H,"others")</f>
        <v>0</v>
      </c>
      <c r="V53" s="2">
        <f>COUNTIFS([3]流入チャネル別顧客一覧_ユニーク!$C:$C,"&gt;="&amp;V$3,[3]流入チャネル別顧客一覧_ユニーク!$C:$C,"&lt;"&amp;EDATE(V$3,1),[3]流入チャネル別顧客一覧_ユニーク!$H:$H,"他のキャンペーン")+COUNTIFS([3]流入チャネル別顧客一覧_ユニーク!$C:$C,"&gt;="&amp;V$3,[3]流入チャネル別顧客一覧_ユニーク!$C:$C,"&lt;"&amp;EDATE(V$3,1),[3]流入チャネル別顧客一覧_ユニーク!$H:$H,"others")</f>
        <v>0</v>
      </c>
      <c r="W53" s="2">
        <f>COUNTIFS([3]流入チャネル別顧客一覧_ユニーク!$C:$C,"&gt;="&amp;W$3,[3]流入チャネル別顧客一覧_ユニーク!$C:$C,"&lt;"&amp;EDATE(W$3,1),[3]流入チャネル別顧客一覧_ユニーク!$H:$H,"他のキャンペーン")+COUNTIFS([3]流入チャネル別顧客一覧_ユニーク!$C:$C,"&gt;="&amp;W$3,[3]流入チャネル別顧客一覧_ユニーク!$C:$C,"&lt;"&amp;EDATE(W$3,1),[3]流入チャネル別顧客一覧_ユニーク!$H:$H,"others")</f>
        <v>1</v>
      </c>
      <c r="X53" s="2">
        <f>COUNTIFS([3]流入チャネル別顧客一覧_ユニーク!$C:$C,"&gt;="&amp;X$3,[3]流入チャネル別顧客一覧_ユニーク!$C:$C,"&lt;"&amp;EDATE(X$3,1),[3]流入チャネル別顧客一覧_ユニーク!$H:$H,"他のキャンペーン")+COUNTIFS([3]流入チャネル別顧客一覧_ユニーク!$C:$C,"&gt;="&amp;X$3,[3]流入チャネル別顧客一覧_ユニーク!$C:$C,"&lt;"&amp;EDATE(X$3,1),[3]流入チャネル別顧客一覧_ユニーク!$H:$H,"others")</f>
        <v>0</v>
      </c>
      <c r="Y53" s="2">
        <f>COUNTIFS([3]流入チャネル別顧客一覧_ユニーク!$C:$C,"&gt;="&amp;Y$3,[3]流入チャネル別顧客一覧_ユニーク!$C:$C,"&lt;"&amp;EDATE(Y$3,1),[3]流入チャネル別顧客一覧_ユニーク!$H:$H,"他のキャンペーン")+COUNTIFS([3]流入チャネル別顧客一覧_ユニーク!$C:$C,"&gt;="&amp;Y$3,[3]流入チャネル別顧客一覧_ユニーク!$C:$C,"&lt;"&amp;EDATE(Y$3,1),[3]流入チャネル別顧客一覧_ユニーク!$H:$H,"others")</f>
        <v>0</v>
      </c>
      <c r="Z53" s="2">
        <f>COUNTIFS([3]流入チャネル別顧客一覧_ユニーク!$C:$C,"&gt;="&amp;Z$3,[3]流入チャネル別顧客一覧_ユニーク!$C:$C,"&lt;"&amp;EDATE(Z$3,1),[3]流入チャネル別顧客一覧_ユニーク!$H:$H,"他のキャンペーン")+COUNTIFS([3]流入チャネル別顧客一覧_ユニーク!$C:$C,"&gt;="&amp;Z$3,[3]流入チャネル別顧客一覧_ユニーク!$C:$C,"&lt;"&amp;EDATE(Z$3,1),[3]流入チャネル別顧客一覧_ユニーク!$H:$H,"others")</f>
        <v>2</v>
      </c>
      <c r="AA53" s="2">
        <f>COUNTIFS([3]流入チャネル別顧客一覧_ユニーク!$C:$C,"&gt;="&amp;AA$3,[3]流入チャネル別顧客一覧_ユニーク!$C:$C,"&lt;"&amp;EDATE(AA$3,1),[3]流入チャネル別顧客一覧_ユニーク!$H:$H,"他のキャンペーン")+COUNTIFS([3]流入チャネル別顧客一覧_ユニーク!$C:$C,"&gt;="&amp;AA$3,[3]流入チャネル別顧客一覧_ユニーク!$C:$C,"&lt;"&amp;EDATE(AA$3,1),[3]流入チャネル別顧客一覧_ユニーク!$H:$H,"others")</f>
        <v>1</v>
      </c>
      <c r="AB53" s="2">
        <f>COUNTIFS([3]流入チャネル別顧客一覧_ユニーク!$C:$C,"&gt;="&amp;AB$3,[3]流入チャネル別顧客一覧_ユニーク!$C:$C,"&lt;"&amp;EDATE(AB$3,1),[3]流入チャネル別顧客一覧_ユニーク!$H:$H,"他のキャンペーン")+COUNTIFS([3]流入チャネル別顧客一覧_ユニーク!$C:$C,"&gt;="&amp;AB$3,[3]流入チャネル別顧客一覧_ユニーク!$C:$C,"&lt;"&amp;EDATE(AB$3,1),[3]流入チャネル別顧客一覧_ユニーク!$H:$H,"others")</f>
        <v>1</v>
      </c>
      <c r="AC53" s="2">
        <f>COUNTIFS([3]流入チャネル別顧客一覧_ユニーク!$C:$C,"&gt;="&amp;AC$3,[3]流入チャネル別顧客一覧_ユニーク!$C:$C,"&lt;"&amp;EDATE(AC$3,1),[3]流入チャネル別顧客一覧_ユニーク!$H:$H,"他のキャンペーン")+COUNTIFS([3]流入チャネル別顧客一覧_ユニーク!$C:$C,"&gt;="&amp;AC$3,[3]流入チャネル別顧客一覧_ユニーク!$C:$C,"&lt;"&amp;EDATE(AC$3,1),[3]流入チャネル別顧客一覧_ユニーク!$H:$H,"others")</f>
        <v>1</v>
      </c>
      <c r="AD53" s="2">
        <f>COUNTIFS([3]流入チャネル別顧客一覧_ユニーク!$C:$C,"&gt;="&amp;AD$3,[3]流入チャネル別顧客一覧_ユニーク!$C:$C,"&lt;"&amp;EDATE(AD$3,1),[3]流入チャネル別顧客一覧_ユニーク!$H:$H,"他のキャンペーン")+COUNTIFS([3]流入チャネル別顧客一覧_ユニーク!$C:$C,"&gt;="&amp;AD$3,[3]流入チャネル別顧客一覧_ユニーク!$C:$C,"&lt;"&amp;EDATE(AD$3,1),[3]流入チャネル別顧客一覧_ユニーク!$H:$H,"others")</f>
        <v>0</v>
      </c>
      <c r="AE53" s="2">
        <f>COUNTIFS([3]流入チャネル別顧客一覧_ユニーク!$C:$C,"&gt;="&amp;AE$3,[3]流入チャネル別顧客一覧_ユニーク!$C:$C,"&lt;"&amp;EDATE(AE$3,1),[3]流入チャネル別顧客一覧_ユニーク!$H:$H,"他のキャンペーン")+COUNTIFS([3]流入チャネル別顧客一覧_ユニーク!$C:$C,"&gt;="&amp;AE$3,[3]流入チャネル別顧客一覧_ユニーク!$C:$C,"&lt;"&amp;EDATE(AE$3,1),[3]流入チャネル別顧客一覧_ユニーク!$H:$H,"others")</f>
        <v>0</v>
      </c>
      <c r="AF53" s="2">
        <f>COUNTIFS([3]流入チャネル別顧客一覧_ユニーク!$C:$C,"&gt;="&amp;AF$3,[3]流入チャネル別顧客一覧_ユニーク!$C:$C,"&lt;"&amp;EDATE(AF$3,1),[3]流入チャネル別顧客一覧_ユニーク!$H:$H,"他のキャンペーン")+COUNTIFS([3]流入チャネル別顧客一覧_ユニーク!$C:$C,"&gt;="&amp;AF$3,[3]流入チャネル別顧客一覧_ユニーク!$C:$C,"&lt;"&amp;EDATE(AF$3,1),[3]流入チャネル別顧客一覧_ユニーク!$H:$H,"others")</f>
        <v>0</v>
      </c>
      <c r="AG53" s="2">
        <f>COUNTIFS([3]流入チャネル別顧客一覧_ユニーク!$C:$C,"&gt;="&amp;AG$3,[3]流入チャネル別顧客一覧_ユニーク!$C:$C,"&lt;"&amp;EDATE(AG$3,1),[3]流入チャネル別顧客一覧_ユニーク!$H:$H,"他のキャンペーン")+COUNTIFS([3]流入チャネル別顧客一覧_ユニーク!$C:$C,"&gt;="&amp;AG$3,[3]流入チャネル別顧客一覧_ユニーク!$C:$C,"&lt;"&amp;EDATE(AG$3,1),[3]流入チャネル別顧客一覧_ユニーク!$H:$H,"others")</f>
        <v>0</v>
      </c>
      <c r="AH53" s="2">
        <f>COUNTIFS([3]流入チャネル別顧客一覧_ユニーク!$C:$C,"&gt;="&amp;AH$3,[3]流入チャネル別顧客一覧_ユニーク!$C:$C,"&lt;"&amp;EDATE(AH$3,1),[3]流入チャネル別顧客一覧_ユニーク!$H:$H,"他のキャンペーン")+COUNTIFS([3]流入チャネル別顧客一覧_ユニーク!$C:$C,"&gt;="&amp;AH$3,[3]流入チャネル別顧客一覧_ユニーク!$C:$C,"&lt;"&amp;EDATE(AH$3,1),[3]流入チャネル別顧客一覧_ユニーク!$H:$H,"others")</f>
        <v>0</v>
      </c>
      <c r="AI53" s="2">
        <f>COUNTIFS([3]流入チャネル別顧客一覧_ユニーク!$C:$C,"&gt;="&amp;AI$3,[3]流入チャネル別顧客一覧_ユニーク!$C:$C,"&lt;"&amp;EDATE(AI$3,1),[3]流入チャネル別顧客一覧_ユニーク!$H:$H,"他のキャンペーン")+COUNTIFS([3]流入チャネル別顧客一覧_ユニーク!$C:$C,"&gt;="&amp;AI$3,[3]流入チャネル別顧客一覧_ユニーク!$C:$C,"&lt;"&amp;EDATE(AI$3,1),[3]流入チャネル別顧客一覧_ユニーク!$H:$H,"others")</f>
        <v>0</v>
      </c>
      <c r="AJ53" s="2">
        <f>COUNTIFS([3]流入チャネル別顧客一覧_ユニーク!$C:$C,"&gt;="&amp;AJ$3,[3]流入チャネル別顧客一覧_ユニーク!$C:$C,"&lt;"&amp;EDATE(AJ$3,1),[3]流入チャネル別顧客一覧_ユニーク!$H:$H,"他のキャンペーン")+COUNTIFS([3]流入チャネル別顧客一覧_ユニーク!$C:$C,"&gt;="&amp;AJ$3,[3]流入チャネル別顧客一覧_ユニーク!$C:$C,"&lt;"&amp;EDATE(AJ$3,1),[3]流入チャネル別顧客一覧_ユニーク!$H:$H,"others")</f>
        <v>0</v>
      </c>
      <c r="AK53" s="2">
        <f>COUNTIFS([3]流入チャネル別顧客一覧_ユニーク!$C:$C,"&gt;="&amp;AK$3,[3]流入チャネル別顧客一覧_ユニーク!$C:$C,"&lt;"&amp;EDATE(AK$3,1),[3]流入チャネル別顧客一覧_ユニーク!$H:$H,"他のキャンペーン")+COUNTIFS([3]流入チャネル別顧客一覧_ユニーク!$C:$C,"&gt;="&amp;AK$3,[3]流入チャネル別顧客一覧_ユニーク!$C:$C,"&lt;"&amp;EDATE(AK$3,1),[3]流入チャネル別顧客一覧_ユニーク!$H:$H,"others")</f>
        <v>0</v>
      </c>
      <c r="AL53" s="2">
        <f>COUNTIFS([3]流入チャネル別顧客一覧_ユニーク!$C:$C,"&gt;="&amp;AL$3,[3]流入チャネル別顧客一覧_ユニーク!$C:$C,"&lt;"&amp;EDATE(AL$3,1),[3]流入チャネル別顧客一覧_ユニーク!$H:$H,"他のキャンペーン")+COUNTIFS([3]流入チャネル別顧客一覧_ユニーク!$C:$C,"&gt;="&amp;AL$3,[3]流入チャネル別顧客一覧_ユニーク!$C:$C,"&lt;"&amp;EDATE(AL$3,1),[3]流入チャネル別顧客一覧_ユニーク!$H:$H,"others")</f>
        <v>0</v>
      </c>
      <c r="AM53" s="2">
        <f t="shared" si="38"/>
        <v>7</v>
      </c>
      <c r="AN53" s="2">
        <f t="shared" si="39"/>
        <v>5</v>
      </c>
    </row>
    <row r="54" spans="1:50" ht="18">
      <c r="B54" s="2" t="s">
        <v>6</v>
      </c>
      <c r="C54" s="2" t="s">
        <v>7</v>
      </c>
      <c r="D54" s="2" t="s">
        <v>8</v>
      </c>
      <c r="E54" s="2" t="s">
        <v>9</v>
      </c>
      <c r="F54" s="2" t="s">
        <v>10</v>
      </c>
      <c r="G54" s="2" t="s">
        <v>11</v>
      </c>
      <c r="H54" s="2" t="s">
        <v>12</v>
      </c>
      <c r="I54" s="2" t="s">
        <v>13</v>
      </c>
      <c r="J54" s="2" t="s">
        <v>14</v>
      </c>
      <c r="K54" s="2" t="s">
        <v>15</v>
      </c>
      <c r="L54" s="2" t="s">
        <v>16</v>
      </c>
      <c r="M54" s="2" t="s">
        <v>17</v>
      </c>
      <c r="N54" s="118">
        <v>45717</v>
      </c>
      <c r="O54" s="118">
        <v>45748</v>
      </c>
      <c r="P54" s="118">
        <v>45778</v>
      </c>
      <c r="Q54" s="118">
        <v>45809</v>
      </c>
      <c r="R54" s="118">
        <v>45839</v>
      </c>
      <c r="S54" s="118">
        <v>45870</v>
      </c>
      <c r="T54" s="118">
        <v>45901</v>
      </c>
      <c r="U54" s="118">
        <v>45931</v>
      </c>
      <c r="V54" s="118">
        <v>45962</v>
      </c>
      <c r="W54" s="118">
        <v>45992</v>
      </c>
      <c r="X54" s="118">
        <v>46023</v>
      </c>
      <c r="Y54" s="118">
        <v>46054</v>
      </c>
      <c r="Z54" s="118">
        <v>46082</v>
      </c>
      <c r="AA54" s="118">
        <v>46113</v>
      </c>
      <c r="AB54" s="118">
        <v>46143</v>
      </c>
      <c r="AC54" s="118">
        <v>46174</v>
      </c>
      <c r="AD54" s="118">
        <v>46204</v>
      </c>
      <c r="AE54" s="118">
        <v>46235</v>
      </c>
      <c r="AF54" s="118">
        <v>46266</v>
      </c>
      <c r="AG54" s="118">
        <v>46296</v>
      </c>
      <c r="AH54" s="118">
        <v>46327</v>
      </c>
      <c r="AI54" s="118">
        <v>46357</v>
      </c>
      <c r="AJ54" s="118">
        <v>46388</v>
      </c>
      <c r="AK54" s="118">
        <v>46419</v>
      </c>
      <c r="AL54" s="8" t="s">
        <v>1</v>
      </c>
    </row>
    <row r="55" spans="1:50" ht="18">
      <c r="A55" s="1" t="s">
        <v>66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2</v>
      </c>
      <c r="H55" s="2">
        <v>2</v>
      </c>
      <c r="I55" s="2">
        <v>5</v>
      </c>
      <c r="J55" s="2">
        <v>4</v>
      </c>
      <c r="K55" s="2">
        <v>8</v>
      </c>
      <c r="L55" s="2">
        <v>1</v>
      </c>
      <c r="M55" s="2">
        <v>2</v>
      </c>
      <c r="N55" s="2">
        <v>6</v>
      </c>
      <c r="O55" s="2">
        <v>3</v>
      </c>
      <c r="P55" s="2">
        <v>6</v>
      </c>
      <c r="Q55" s="2">
        <v>17</v>
      </c>
      <c r="R55" s="2">
        <v>0</v>
      </c>
      <c r="S55" s="2">
        <v>1</v>
      </c>
      <c r="T55" s="2">
        <v>3</v>
      </c>
      <c r="U55" s="2">
        <v>0</v>
      </c>
      <c r="V55" s="2">
        <v>2</v>
      </c>
      <c r="W55" s="2">
        <v>2</v>
      </c>
      <c r="X55" s="2">
        <v>0</v>
      </c>
      <c r="Y55" s="2">
        <v>3</v>
      </c>
      <c r="Z55" s="2">
        <v>6</v>
      </c>
      <c r="AA55" s="2">
        <v>2</v>
      </c>
      <c r="AB55" s="2">
        <v>2</v>
      </c>
      <c r="AC55" s="2">
        <v>2</v>
      </c>
      <c r="AL55" s="8">
        <f t="shared" ref="AL55:AL59" si="42">SUM(B55:M55)</f>
        <v>24</v>
      </c>
    </row>
    <row r="56" spans="1:50" ht="18">
      <c r="A56" s="1" t="s">
        <v>67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2</v>
      </c>
      <c r="H56" s="2">
        <v>2</v>
      </c>
      <c r="I56" s="2">
        <v>4</v>
      </c>
      <c r="J56" s="2">
        <v>3</v>
      </c>
      <c r="K56" s="2">
        <v>1</v>
      </c>
      <c r="L56" s="2">
        <v>1</v>
      </c>
      <c r="M56" s="2">
        <v>2</v>
      </c>
      <c r="N56" s="2">
        <v>3</v>
      </c>
      <c r="O56" s="2">
        <v>1</v>
      </c>
      <c r="P56" s="2">
        <v>1</v>
      </c>
      <c r="Q56" s="2">
        <v>7</v>
      </c>
      <c r="R56" s="2">
        <v>0</v>
      </c>
      <c r="S56" s="2">
        <v>1</v>
      </c>
      <c r="T56" s="2">
        <v>0</v>
      </c>
      <c r="U56" s="2">
        <v>1</v>
      </c>
      <c r="V56" s="2">
        <v>0</v>
      </c>
      <c r="W56" s="2">
        <v>0</v>
      </c>
      <c r="X56" s="2">
        <v>2</v>
      </c>
      <c r="Y56" s="2">
        <v>0</v>
      </c>
      <c r="Z56" s="2">
        <v>0</v>
      </c>
      <c r="AA56" s="2">
        <v>0</v>
      </c>
      <c r="AB56" s="2">
        <v>1</v>
      </c>
      <c r="AC56" s="2">
        <v>1</v>
      </c>
      <c r="AL56" s="8">
        <f t="shared" si="42"/>
        <v>15</v>
      </c>
    </row>
    <row r="57" spans="1:50" ht="18">
      <c r="A57" s="1" t="s">
        <v>68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2</v>
      </c>
      <c r="H57" s="2">
        <v>2</v>
      </c>
      <c r="I57" s="2">
        <v>2</v>
      </c>
      <c r="J57" s="2">
        <v>1</v>
      </c>
      <c r="K57" s="2">
        <v>1</v>
      </c>
      <c r="L57" s="2">
        <v>2</v>
      </c>
      <c r="M57" s="2">
        <v>3</v>
      </c>
      <c r="N57" s="2">
        <v>1</v>
      </c>
      <c r="O57" s="2">
        <v>1</v>
      </c>
      <c r="P57" s="2">
        <v>1</v>
      </c>
      <c r="Q57" s="2">
        <v>6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2</v>
      </c>
      <c r="AA57" s="2">
        <v>1</v>
      </c>
      <c r="AB57" s="2">
        <v>1</v>
      </c>
      <c r="AC57" s="2">
        <v>0</v>
      </c>
      <c r="AL57" s="8">
        <f t="shared" si="42"/>
        <v>13</v>
      </c>
    </row>
    <row r="58" spans="1:50" s="5" customFormat="1" ht="18">
      <c r="A58" s="5" t="s">
        <v>69</v>
      </c>
      <c r="B58" s="6">
        <f>SUM(B55:B57)</f>
        <v>0</v>
      </c>
      <c r="C58" s="6">
        <f t="shared" ref="C58:N58" si="43">SUM(C55:C57)</f>
        <v>0</v>
      </c>
      <c r="D58" s="6">
        <f t="shared" si="43"/>
        <v>0</v>
      </c>
      <c r="E58" s="6">
        <f t="shared" si="43"/>
        <v>0</v>
      </c>
      <c r="F58" s="6">
        <f t="shared" si="43"/>
        <v>0</v>
      </c>
      <c r="G58" s="6">
        <f t="shared" si="43"/>
        <v>6</v>
      </c>
      <c r="H58" s="6">
        <f t="shared" si="43"/>
        <v>6</v>
      </c>
      <c r="I58" s="6">
        <f t="shared" si="43"/>
        <v>11</v>
      </c>
      <c r="J58" s="6">
        <f t="shared" si="43"/>
        <v>8</v>
      </c>
      <c r="K58" s="6">
        <f t="shared" si="43"/>
        <v>10</v>
      </c>
      <c r="L58" s="6">
        <f t="shared" si="43"/>
        <v>4</v>
      </c>
      <c r="M58" s="6">
        <f t="shared" si="43"/>
        <v>7</v>
      </c>
      <c r="N58" s="6">
        <f t="shared" si="43"/>
        <v>10</v>
      </c>
      <c r="O58" s="6">
        <f>SUM(O55:O57)</f>
        <v>5</v>
      </c>
      <c r="P58" s="6">
        <f t="shared" ref="P58:AK58" si="44">SUM(P55:P57)</f>
        <v>8</v>
      </c>
      <c r="Q58" s="6">
        <f t="shared" si="44"/>
        <v>30</v>
      </c>
      <c r="R58" s="6">
        <f t="shared" si="44"/>
        <v>0</v>
      </c>
      <c r="S58" s="6">
        <f t="shared" si="44"/>
        <v>2</v>
      </c>
      <c r="T58" s="6">
        <f t="shared" si="44"/>
        <v>3</v>
      </c>
      <c r="U58" s="6">
        <f t="shared" si="44"/>
        <v>1</v>
      </c>
      <c r="V58" s="6">
        <f t="shared" si="44"/>
        <v>2</v>
      </c>
      <c r="W58" s="6">
        <f t="shared" si="44"/>
        <v>2</v>
      </c>
      <c r="X58" s="6">
        <f>SUM(X55:X57)</f>
        <v>2</v>
      </c>
      <c r="Y58" s="6">
        <f t="shared" si="44"/>
        <v>3</v>
      </c>
      <c r="Z58" s="6">
        <f t="shared" si="44"/>
        <v>8</v>
      </c>
      <c r="AA58" s="6">
        <f t="shared" si="44"/>
        <v>3</v>
      </c>
      <c r="AB58" s="6">
        <f t="shared" si="44"/>
        <v>4</v>
      </c>
      <c r="AC58" s="6">
        <f t="shared" si="44"/>
        <v>3</v>
      </c>
      <c r="AD58" s="6">
        <f t="shared" si="44"/>
        <v>0</v>
      </c>
      <c r="AE58" s="6">
        <f t="shared" si="44"/>
        <v>0</v>
      </c>
      <c r="AF58" s="6">
        <f t="shared" si="44"/>
        <v>0</v>
      </c>
      <c r="AG58" s="6">
        <f t="shared" si="44"/>
        <v>0</v>
      </c>
      <c r="AH58" s="6">
        <f t="shared" si="44"/>
        <v>0</v>
      </c>
      <c r="AI58" s="6">
        <f t="shared" si="44"/>
        <v>0</v>
      </c>
      <c r="AJ58" s="6">
        <f t="shared" si="44"/>
        <v>0</v>
      </c>
      <c r="AK58" s="6">
        <f t="shared" si="44"/>
        <v>0</v>
      </c>
      <c r="AL58" s="8">
        <f t="shared" si="42"/>
        <v>52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 s="3" customFormat="1" ht="18" hidden="1">
      <c r="A59" s="3" t="s">
        <v>70</v>
      </c>
      <c r="B59" s="3">
        <v>4.5</v>
      </c>
      <c r="C59" s="3">
        <v>5.8</v>
      </c>
      <c r="D59" s="3">
        <v>6.8</v>
      </c>
      <c r="E59" s="4">
        <v>7.4</v>
      </c>
      <c r="F59" s="4">
        <v>8</v>
      </c>
      <c r="G59" s="4">
        <v>8.6999999999999993</v>
      </c>
      <c r="H59" s="4">
        <v>9.4</v>
      </c>
      <c r="I59" s="4">
        <v>9.8000000000000007</v>
      </c>
      <c r="J59" s="4">
        <v>10.6</v>
      </c>
      <c r="K59" s="4">
        <v>12.3</v>
      </c>
      <c r="L59" s="4">
        <v>13</v>
      </c>
      <c r="M59" s="4">
        <v>13</v>
      </c>
      <c r="N59" s="4">
        <v>11</v>
      </c>
      <c r="O59" s="4">
        <v>3.08</v>
      </c>
      <c r="P59" s="4">
        <v>3.08</v>
      </c>
      <c r="Q59" s="4">
        <v>3.08</v>
      </c>
      <c r="R59" s="4">
        <v>3.08</v>
      </c>
      <c r="S59" s="4">
        <v>3.08</v>
      </c>
      <c r="T59" s="4">
        <v>3.08</v>
      </c>
      <c r="U59" s="4">
        <v>3.08</v>
      </c>
      <c r="V59" s="4">
        <v>3.08</v>
      </c>
      <c r="W59" s="4">
        <v>3.08</v>
      </c>
      <c r="X59" s="4">
        <v>3.08</v>
      </c>
      <c r="Y59" s="4">
        <v>3.08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8">
        <f t="shared" si="42"/>
        <v>109.3</v>
      </c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</sheetData>
  <autoFilter ref="A3:AN40" xr:uid="{BC6F98E6-356E-4A84-BC8F-57D8DBDD5F57}"/>
  <phoneticPr fontId="1"/>
  <conditionalFormatting sqref="A7:A8">
    <cfRule type="cellIs" dxfId="100" priority="18" operator="equal">
      <formula>#DIV/0!</formula>
    </cfRule>
  </conditionalFormatting>
  <conditionalFormatting sqref="A17:A20">
    <cfRule type="cellIs" dxfId="99" priority="34" operator="equal">
      <formula>#DIV/0!</formula>
    </cfRule>
  </conditionalFormatting>
  <conditionalFormatting sqref="A24:A27">
    <cfRule type="cellIs" dxfId="98" priority="27" operator="equal">
      <formula>#DIV/0!</formula>
    </cfRule>
  </conditionalFormatting>
  <conditionalFormatting sqref="B18:M20">
    <cfRule type="cellIs" dxfId="97" priority="26" operator="equal">
      <formula>#DIV/0!</formula>
    </cfRule>
  </conditionalFormatting>
  <conditionalFormatting sqref="B25:M27">
    <cfRule type="cellIs" dxfId="96" priority="25" operator="equal">
      <formula>#DIV/0!</formula>
    </cfRule>
  </conditionalFormatting>
  <conditionalFormatting sqref="B29:M39">
    <cfRule type="cellIs" dxfId="95" priority="15" operator="equal">
      <formula>#DIV/0!</formula>
    </cfRule>
  </conditionalFormatting>
  <conditionalFormatting sqref="E8:AK8 N20:AK20 N27:AK27">
    <cfRule type="cellIs" dxfId="94" priority="12" operator="equal">
      <formula>#DIV/0!</formula>
    </cfRule>
  </conditionalFormatting>
  <conditionalFormatting sqref="AL29:AL37">
    <cfRule type="cellIs" dxfId="93" priority="14" operator="equal">
      <formula>#DIV/0!</formula>
    </cfRule>
  </conditionalFormatting>
  <conditionalFormatting sqref="AM24:AX24">
    <cfRule type="cellIs" dxfId="92" priority="10" operator="equal">
      <formula>#DIV/0!</formula>
    </cfRule>
  </conditionalFormatting>
  <conditionalFormatting sqref="AN8">
    <cfRule type="cellIs" dxfId="91" priority="1" operator="equal">
      <formula>#DIV/0!</formula>
    </cfRule>
  </conditionalFormatting>
  <conditionalFormatting sqref="AN20 AN27">
    <cfRule type="cellIs" dxfId="90" priority="11" operator="equal">
      <formula>#DIV/0!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EABB-2CE6-496E-B739-073FDDE8D797}">
  <sheetPr>
    <tabColor theme="7" tint="0.39997558519241921"/>
  </sheetPr>
  <dimension ref="A1:AX61"/>
  <sheetViews>
    <sheetView zoomScale="55" zoomScaleNormal="55" workbookViewId="0">
      <pane xSplit="13" ySplit="3" topLeftCell="T28" activePane="bottomRight" state="frozen"/>
      <selection pane="bottomRight" activeCell="AC23" sqref="AC23"/>
      <selection pane="bottomLeft" activeCell="A4" sqref="A4"/>
      <selection pane="topRight" activeCell="N1" sqref="N1"/>
    </sheetView>
  </sheetViews>
  <sheetFormatPr defaultColWidth="9" defaultRowHeight="15.75" customHeight="1"/>
  <cols>
    <col min="1" max="1" width="24.375" style="1" customWidth="1"/>
    <col min="2" max="4" width="8.875" style="1" hidden="1" customWidth="1"/>
    <col min="5" max="5" width="8.875" style="2" hidden="1" customWidth="1"/>
    <col min="6" max="7" width="0" style="2" hidden="1" customWidth="1"/>
    <col min="8" max="8" width="9.875" style="2" hidden="1" customWidth="1"/>
    <col min="9" max="9" width="10" style="2" hidden="1" customWidth="1"/>
    <col min="10" max="13" width="0" style="2" hidden="1" customWidth="1"/>
    <col min="14" max="25" width="10.625" style="2" customWidth="1"/>
    <col min="26" max="37" width="11.125" style="2" customWidth="1"/>
    <col min="38" max="38" width="10.25" style="8" hidden="1" customWidth="1"/>
    <col min="39" max="39" width="12.125" style="2" bestFit="1" customWidth="1"/>
    <col min="40" max="40" width="12.75" style="2" customWidth="1"/>
    <col min="41" max="41" width="11.375" style="2" customWidth="1"/>
    <col min="42" max="50" width="9" style="2"/>
    <col min="51" max="16384" width="9" style="1"/>
  </cols>
  <sheetData>
    <row r="1" spans="1:50" ht="18"/>
    <row r="2" spans="1:50" ht="18">
      <c r="A2" s="49" t="s">
        <v>77</v>
      </c>
      <c r="B2" s="2" t="s">
        <v>1</v>
      </c>
      <c r="N2" s="2" t="s">
        <v>2</v>
      </c>
      <c r="Z2" s="2" t="s">
        <v>3</v>
      </c>
      <c r="AC2" s="2" t="s">
        <v>4</v>
      </c>
      <c r="AL2" s="101" t="s">
        <v>5</v>
      </c>
      <c r="AM2" s="128" t="s">
        <v>5</v>
      </c>
      <c r="AN2" s="128" t="s">
        <v>5</v>
      </c>
      <c r="AO2" s="15"/>
      <c r="AQ2" s="15"/>
      <c r="AS2" s="20"/>
    </row>
    <row r="3" spans="1:50" ht="18">
      <c r="A3" s="49"/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118">
        <v>45717</v>
      </c>
      <c r="O3" s="118">
        <v>45748</v>
      </c>
      <c r="P3" s="118">
        <v>45778</v>
      </c>
      <c r="Q3" s="118">
        <v>45809</v>
      </c>
      <c r="R3" s="118">
        <v>45839</v>
      </c>
      <c r="S3" s="118">
        <v>45870</v>
      </c>
      <c r="T3" s="118">
        <v>45901</v>
      </c>
      <c r="U3" s="118">
        <v>45931</v>
      </c>
      <c r="V3" s="118">
        <v>45962</v>
      </c>
      <c r="W3" s="118">
        <v>45992</v>
      </c>
      <c r="X3" s="118">
        <v>46023</v>
      </c>
      <c r="Y3" s="118">
        <v>46054</v>
      </c>
      <c r="Z3" s="118">
        <v>46082</v>
      </c>
      <c r="AA3" s="118">
        <v>46113</v>
      </c>
      <c r="AB3" s="118">
        <v>46143</v>
      </c>
      <c r="AC3" s="118">
        <v>46174</v>
      </c>
      <c r="AD3" s="118">
        <v>46204</v>
      </c>
      <c r="AE3" s="118">
        <v>46235</v>
      </c>
      <c r="AF3" s="118">
        <v>46266</v>
      </c>
      <c r="AG3" s="118">
        <v>46296</v>
      </c>
      <c r="AH3" s="118">
        <v>46327</v>
      </c>
      <c r="AI3" s="118">
        <v>46357</v>
      </c>
      <c r="AJ3" s="118">
        <v>46388</v>
      </c>
      <c r="AK3" s="118">
        <v>46419</v>
      </c>
      <c r="AL3" s="8" t="s">
        <v>1</v>
      </c>
      <c r="AM3" s="2" t="s">
        <v>2</v>
      </c>
      <c r="AN3" s="2" t="s">
        <v>3</v>
      </c>
    </row>
    <row r="4" spans="1:50" ht="18">
      <c r="A4" s="1" t="s">
        <v>18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>
        <v>1175</v>
      </c>
      <c r="H4" s="2">
        <v>1635</v>
      </c>
      <c r="I4" s="2">
        <v>2788</v>
      </c>
      <c r="J4" s="2">
        <v>2811</v>
      </c>
      <c r="K4" s="2">
        <v>2712</v>
      </c>
      <c r="L4" s="2">
        <v>2292</v>
      </c>
      <c r="M4" s="2">
        <v>2167</v>
      </c>
      <c r="N4" s="2">
        <v>2279</v>
      </c>
      <c r="O4" s="2">
        <v>2674</v>
      </c>
      <c r="P4" s="2">
        <v>3250</v>
      </c>
      <c r="Q4" s="2">
        <v>3298</v>
      </c>
      <c r="R4" s="2">
        <v>3258</v>
      </c>
      <c r="S4" s="2">
        <v>2471</v>
      </c>
      <c r="T4" s="2">
        <v>2992</v>
      </c>
      <c r="U4" s="2">
        <v>3183</v>
      </c>
      <c r="V4" s="2">
        <v>2833</v>
      </c>
      <c r="W4" s="2">
        <v>3119</v>
      </c>
      <c r="X4" s="2">
        <v>2764</v>
      </c>
      <c r="Y4" s="2">
        <v>3472</v>
      </c>
      <c r="Z4" s="2">
        <v>2188</v>
      </c>
      <c r="AA4" s="2">
        <v>2398</v>
      </c>
      <c r="AB4" s="2">
        <v>2455</v>
      </c>
      <c r="AC4" s="2">
        <v>2648</v>
      </c>
      <c r="AL4" s="8">
        <f>SUM(E4:M4)</f>
        <v>15580</v>
      </c>
      <c r="AM4" s="2">
        <f>SUM(N4:Y4)</f>
        <v>35593</v>
      </c>
      <c r="AN4" s="2">
        <f>SUM(Z4:AK4)</f>
        <v>9689</v>
      </c>
    </row>
    <row r="5" spans="1:50" ht="18">
      <c r="A5" s="1" t="s">
        <v>20</v>
      </c>
      <c r="B5" s="2" t="s">
        <v>19</v>
      </c>
      <c r="C5" s="2" t="s">
        <v>19</v>
      </c>
      <c r="D5" s="2">
        <v>1</v>
      </c>
      <c r="E5" s="2">
        <v>2</v>
      </c>
      <c r="F5" s="2">
        <v>1</v>
      </c>
      <c r="G5" s="2">
        <v>27</v>
      </c>
      <c r="H5" s="2">
        <v>20</v>
      </c>
      <c r="I5" s="2">
        <v>19</v>
      </c>
      <c r="J5" s="2">
        <v>26</v>
      </c>
      <c r="K5" s="2">
        <v>17</v>
      </c>
      <c r="L5" s="2">
        <v>18</v>
      </c>
      <c r="M5" s="2">
        <v>6</v>
      </c>
      <c r="N5" s="2">
        <f>COUNTIFS(
[4]流入チャネル別顧客一覧_ユニーク!$C:$C,"&gt;="&amp;DATE(2025,3,1),
[4]流入チャネル別顧客一覧_ユニーク!$C:$C,"&lt;"&amp;DATE(2026,3,1),
[4]流入チャネル別顧客一覧_ユニーク!$C:$C,"&gt;="&amp;N$3,
[4]流入チャネル別顧客一覧_ユニーク!$C:$C,"&lt;"&amp;EDATE(N$3,1)
)</f>
        <v>20</v>
      </c>
      <c r="O5" s="2">
        <f>COUNTIFS(
[4]流入チャネル別顧客一覧_ユニーク!$C:$C,"&gt;="&amp;DATE(2025,3,1),
[4]流入チャネル別顧客一覧_ユニーク!$C:$C,"&lt;"&amp;DATE(2026,3,1),
[4]流入チャネル別顧客一覧_ユニーク!$C:$C,"&gt;="&amp;O$3,
[4]流入チャネル別顧客一覧_ユニーク!$C:$C,"&lt;"&amp;EDATE(O$3,1)
)</f>
        <v>26</v>
      </c>
      <c r="P5" s="122">
        <v>27</v>
      </c>
      <c r="Q5" s="2">
        <f>COUNTIFS(
[4]流入チャネル別顧客一覧_ユニーク!$C:$C,"&gt;="&amp;DATE(2025,3,1),
[4]流入チャネル別顧客一覧_ユニーク!$C:$C,"&lt;"&amp;DATE(2026,3,1),
[4]流入チャネル別顧客一覧_ユニーク!$C:$C,"&gt;="&amp;Q$3,
[4]流入チャネル別顧客一覧_ユニーク!$C:$C,"&lt;"&amp;EDATE(Q$3,1)
)</f>
        <v>18</v>
      </c>
      <c r="R5" s="122">
        <v>45</v>
      </c>
      <c r="S5" s="2">
        <f>COUNTIFS(
[4]流入チャネル別顧客一覧_ユニーク!$C:$C,"&gt;="&amp;DATE(2025,3,1),
[4]流入チャネル別顧客一覧_ユニーク!$C:$C,"&lt;"&amp;DATE(2026,3,1),
[4]流入チャネル別顧客一覧_ユニーク!$C:$C,"&gt;="&amp;S$3,
[4]流入チャネル別顧客一覧_ユニーク!$C:$C,"&lt;"&amp;EDATE(S$3,1)
)</f>
        <v>22</v>
      </c>
      <c r="T5" s="2">
        <f>COUNTIFS(
[4]流入チャネル別顧客一覧_ユニーク!$C:$C,"&gt;="&amp;DATE(2025,3,1),
[4]流入チャネル別顧客一覧_ユニーク!$C:$C,"&lt;"&amp;DATE(2026,3,1),
[4]流入チャネル別顧客一覧_ユニーク!$C:$C,"&gt;="&amp;T$3,
[4]流入チャネル別顧客一覧_ユニーク!$C:$C,"&lt;"&amp;EDATE(T$3,1)
)</f>
        <v>30</v>
      </c>
      <c r="U5" s="2">
        <f>COUNTIFS(
[4]流入チャネル別顧客一覧_ユニーク!$C:$C,"&gt;="&amp;DATE(2025,3,1),
[4]流入チャネル別顧客一覧_ユニーク!$C:$C,"&lt;"&amp;DATE(2026,3,1),
[4]流入チャネル別顧客一覧_ユニーク!$C:$C,"&gt;="&amp;U$3,
[4]流入チャネル別顧客一覧_ユニーク!$C:$C,"&lt;"&amp;EDATE(U$3,1)
)</f>
        <v>32</v>
      </c>
      <c r="V5" s="2">
        <f>COUNTIFS(
[4]流入チャネル別顧客一覧_ユニーク!$C:$C,"&gt;="&amp;DATE(2025,3,1),
[4]流入チャネル別顧客一覧_ユニーク!$C:$C,"&lt;"&amp;DATE(2026,3,1),
[4]流入チャネル別顧客一覧_ユニーク!$C:$C,"&gt;="&amp;V$3,
[4]流入チャネル別顧客一覧_ユニーク!$C:$C,"&lt;"&amp;EDATE(V$3,1)
)</f>
        <v>8</v>
      </c>
      <c r="W5" s="2">
        <f>COUNTIFS(
[4]流入チャネル別顧客一覧_ユニーク!$C:$C,"&gt;="&amp;DATE(2025,3,1),
[4]流入チャネル別顧客一覧_ユニーク!$C:$C,"&lt;"&amp;DATE(2026,3,1),
[4]流入チャネル別顧客一覧_ユニーク!$C:$C,"&gt;="&amp;W$3,
[4]流入チャネル別顧客一覧_ユニーク!$C:$C,"&lt;"&amp;EDATE(W$3,1)
)</f>
        <v>18</v>
      </c>
      <c r="X5" s="2">
        <f>COUNTIFS(
[4]流入チャネル別顧客一覧_ユニーク!$C:$C,"&gt;="&amp;DATE(2025,3,1),
[4]流入チャネル別顧客一覧_ユニーク!$C:$C,"&lt;"&amp;DATE(2026,3,1),
[4]流入チャネル別顧客一覧_ユニーク!$C:$C,"&gt;="&amp;X$3,
[4]流入チャネル別顧客一覧_ユニーク!$C:$C,"&lt;"&amp;EDATE(X$3,1)
)</f>
        <v>44</v>
      </c>
      <c r="Y5" s="2">
        <f>COUNTIFS(
[4]流入チャネル別顧客一覧_ユニーク!$C:$C,"&gt;="&amp;DATE(2025,3,1),
[4]流入チャネル別顧客一覧_ユニーク!$C:$C,"&lt;"&amp;DATE(2026,3,1),
[4]流入チャネル別顧客一覧_ユニーク!$C:$C,"&gt;="&amp;Y$3,
[4]流入チャネル別顧客一覧_ユニーク!$C:$C,"&lt;"&amp;EDATE(Y$3,1)
)</f>
        <v>52</v>
      </c>
      <c r="Z5" s="2">
        <f>COUNTIFS(
[4]流入チャネル別顧客一覧_ユニーク!$C:$C,"&gt;="&amp;DATE(2026,3,1),
[4]流入チャネル別顧客一覧_ユニーク!$C:$C,"&lt;"&amp;DATE(2027,3,1),
[4]流入チャネル別顧客一覧_ユニーク!$C:$C,"&gt;="&amp;Z$3,
[4]流入チャネル別顧客一覧_ユニーク!$C:$C,"&lt;"&amp;EDATE(Z$3,1)
)</f>
        <v>13</v>
      </c>
      <c r="AA5" s="2">
        <f>COUNTIFS(
[4]流入チャネル別顧客一覧_ユニーク!$C:$C,"&gt;="&amp;DATE(2026,3,1),
[4]流入チャネル別顧客一覧_ユニーク!$C:$C,"&lt;"&amp;DATE(2027,3,1),
[4]流入チャネル別顧客一覧_ユニーク!$C:$C,"&gt;="&amp;AA$3,
[4]流入チャネル別顧客一覧_ユニーク!$C:$C,"&lt;"&amp;EDATE(AA$3,1)
)</f>
        <v>31</v>
      </c>
      <c r="AB5" s="2">
        <f>COUNTIFS(
[4]流入チャネル別顧客一覧_ユニーク!$C:$C,"&gt;="&amp;DATE(2026,3,1),
[4]流入チャネル別顧客一覧_ユニーク!$C:$C,"&lt;"&amp;DATE(2027,3,1),
[4]流入チャネル別顧客一覧_ユニーク!$C:$C,"&gt;="&amp;AB$3,
[4]流入チャネル別顧客一覧_ユニーク!$C:$C,"&lt;"&amp;EDATE(AB$3,1)
)</f>
        <v>34</v>
      </c>
      <c r="AC5" s="2">
        <f>COUNTIFS(
[4]流入チャネル別顧客一覧_ユニーク!$C:$C,"&gt;="&amp;DATE(2026,3,1),
[4]流入チャネル別顧客一覧_ユニーク!$C:$C,"&lt;"&amp;DATE(2027,3,1),
[4]流入チャネル別顧客一覧_ユニーク!$C:$C,"&gt;="&amp;AC$3,
[4]流入チャネル別顧客一覧_ユニーク!$C:$C,"&lt;"&amp;EDATE(AC$3,1)
)</f>
        <v>27</v>
      </c>
      <c r="AD5" s="2">
        <f>COUNTIFS(
[4]流入チャネル別顧客一覧_ユニーク!$C:$C,"&gt;="&amp;DATE(2026,3,1),
[4]流入チャネル別顧客一覧_ユニーク!$C:$C,"&lt;"&amp;DATE(2027,3,1),
[4]流入チャネル別顧客一覧_ユニーク!$C:$C,"&gt;="&amp;AD$3,
[4]流入チャネル別顧客一覧_ユニーク!$C:$C,"&lt;"&amp;EDATE(AD$3,1)
)</f>
        <v>0</v>
      </c>
      <c r="AE5" s="2">
        <f>COUNTIFS(
[4]流入チャネル別顧客一覧_ユニーク!$C:$C,"&gt;="&amp;DATE(2026,3,1),
[4]流入チャネル別顧客一覧_ユニーク!$C:$C,"&lt;"&amp;DATE(2027,3,1),
[4]流入チャネル別顧客一覧_ユニーク!$C:$C,"&gt;="&amp;AE$3,
[4]流入チャネル別顧客一覧_ユニーク!$C:$C,"&lt;"&amp;EDATE(AE$3,1)
)</f>
        <v>0</v>
      </c>
      <c r="AF5" s="2">
        <f>COUNTIFS(
[4]流入チャネル別顧客一覧_ユニーク!$C:$C,"&gt;="&amp;DATE(2026,3,1),
[4]流入チャネル別顧客一覧_ユニーク!$C:$C,"&lt;"&amp;DATE(2027,3,1),
[4]流入チャネル別顧客一覧_ユニーク!$C:$C,"&gt;="&amp;AF$3,
[4]流入チャネル別顧客一覧_ユニーク!$C:$C,"&lt;"&amp;EDATE(AF$3,1)
)</f>
        <v>0</v>
      </c>
      <c r="AG5" s="2">
        <f>COUNTIFS(
[4]流入チャネル別顧客一覧_ユニーク!$C:$C,"&gt;="&amp;DATE(2026,3,1),
[4]流入チャネル別顧客一覧_ユニーク!$C:$C,"&lt;"&amp;DATE(2027,3,1),
[4]流入チャネル別顧客一覧_ユニーク!$C:$C,"&gt;="&amp;AG$3,
[4]流入チャネル別顧客一覧_ユニーク!$C:$C,"&lt;"&amp;EDATE(AG$3,1)
)</f>
        <v>0</v>
      </c>
      <c r="AH5" s="2">
        <f>COUNTIFS(
[4]流入チャネル別顧客一覧_ユニーク!$C:$C,"&gt;="&amp;DATE(2026,3,1),
[4]流入チャネル別顧客一覧_ユニーク!$C:$C,"&lt;"&amp;DATE(2027,3,1),
[4]流入チャネル別顧客一覧_ユニーク!$C:$C,"&gt;="&amp;AH$3,
[4]流入チャネル別顧客一覧_ユニーク!$C:$C,"&lt;"&amp;EDATE(AH$3,1)
)</f>
        <v>0</v>
      </c>
      <c r="AI5" s="2">
        <f>COUNTIFS(
[4]流入チャネル別顧客一覧_ユニーク!$C:$C,"&gt;="&amp;DATE(2026,3,1),
[4]流入チャネル別顧客一覧_ユニーク!$C:$C,"&lt;"&amp;DATE(2027,3,1),
[4]流入チャネル別顧客一覧_ユニーク!$C:$C,"&gt;="&amp;AI$3,
[4]流入チャネル別顧客一覧_ユニーク!$C:$C,"&lt;"&amp;EDATE(AI$3,1)
)</f>
        <v>0</v>
      </c>
      <c r="AJ5" s="2">
        <f>COUNTIFS(
[4]流入チャネル別顧客一覧_ユニーク!$C:$C,"&gt;="&amp;DATE(2026,3,1),
[4]流入チャネル別顧客一覧_ユニーク!$C:$C,"&lt;"&amp;DATE(2027,3,1),
[4]流入チャネル別顧客一覧_ユニーク!$C:$C,"&gt;="&amp;AJ$3,
[4]流入チャネル別顧客一覧_ユニーク!$C:$C,"&lt;"&amp;EDATE(AJ$3,1)
)</f>
        <v>0</v>
      </c>
      <c r="AK5" s="2">
        <f>COUNTIFS(
[4]流入チャネル別顧客一覧_ユニーク!$C:$C,"&gt;="&amp;DATE(2026,3,1),
[4]流入チャネル別顧客一覧_ユニーク!$C:$C,"&lt;"&amp;DATE(2027,3,1),
[4]流入チャネル別顧客一覧_ユニーク!$C:$C,"&gt;="&amp;AK$3,
[4]流入チャネル別顧客一覧_ユニーク!$C:$C,"&lt;"&amp;EDATE(AK$3,1)
)</f>
        <v>0</v>
      </c>
      <c r="AL5" s="8">
        <f t="shared" ref="AL5:AL11" si="0">SUM(E5:M5)</f>
        <v>136</v>
      </c>
      <c r="AM5" s="2">
        <f>SUM(N5:Y5)</f>
        <v>342</v>
      </c>
      <c r="AN5" s="2">
        <f t="shared" ref="AN5:AN11" si="1">SUM(Z5:AK5)</f>
        <v>105</v>
      </c>
    </row>
    <row r="6" spans="1:50" s="10" customFormat="1" ht="18">
      <c r="A6" s="10" t="s">
        <v>21</v>
      </c>
      <c r="B6" s="11"/>
      <c r="C6" s="11"/>
      <c r="D6" s="11"/>
      <c r="E6" s="11"/>
      <c r="F6" s="11"/>
      <c r="G6" s="145"/>
      <c r="H6" s="11"/>
      <c r="I6" s="11"/>
      <c r="J6" s="11"/>
      <c r="K6" s="11"/>
      <c r="L6" s="11"/>
      <c r="M6" s="11"/>
      <c r="N6" s="146">
        <f>N5/N4</f>
        <v>8.7757788503729714E-3</v>
      </c>
      <c r="O6" s="146">
        <f t="shared" ref="O6:AN6" si="2">O5/O4</f>
        <v>9.7232610321615551E-3</v>
      </c>
      <c r="P6" s="146">
        <f t="shared" si="2"/>
        <v>8.3076923076923076E-3</v>
      </c>
      <c r="Q6" s="146">
        <f t="shared" si="2"/>
        <v>5.4578532443905394E-3</v>
      </c>
      <c r="R6" s="146">
        <f t="shared" si="2"/>
        <v>1.3812154696132596E-2</v>
      </c>
      <c r="S6" s="146">
        <f t="shared" si="2"/>
        <v>8.9032780250910565E-3</v>
      </c>
      <c r="T6" s="146">
        <f t="shared" si="2"/>
        <v>1.0026737967914439E-2</v>
      </c>
      <c r="U6" s="146">
        <f t="shared" si="2"/>
        <v>1.0053408733898837E-2</v>
      </c>
      <c r="V6" s="146">
        <f t="shared" si="2"/>
        <v>2.8238616307800918E-3</v>
      </c>
      <c r="W6" s="146">
        <f t="shared" si="2"/>
        <v>5.7710804745110611E-3</v>
      </c>
      <c r="X6" s="146">
        <f t="shared" si="2"/>
        <v>1.5918958031837915E-2</v>
      </c>
      <c r="Y6" s="146">
        <f t="shared" si="2"/>
        <v>1.4976958525345621E-2</v>
      </c>
      <c r="Z6" s="146">
        <f t="shared" si="2"/>
        <v>5.9414990859232176E-3</v>
      </c>
      <c r="AA6" s="146">
        <f t="shared" si="2"/>
        <v>1.292743953294412E-2</v>
      </c>
      <c r="AB6" s="146">
        <f t="shared" si="2"/>
        <v>1.3849287169042769E-2</v>
      </c>
      <c r="AC6" s="146">
        <f t="shared" si="2"/>
        <v>1.0196374622356496E-2</v>
      </c>
      <c r="AD6" s="146" t="e">
        <f t="shared" si="2"/>
        <v>#DIV/0!</v>
      </c>
      <c r="AE6" s="146" t="e">
        <f t="shared" si="2"/>
        <v>#DIV/0!</v>
      </c>
      <c r="AF6" s="146" t="e">
        <f t="shared" si="2"/>
        <v>#DIV/0!</v>
      </c>
      <c r="AG6" s="146" t="e">
        <f t="shared" si="2"/>
        <v>#DIV/0!</v>
      </c>
      <c r="AH6" s="146" t="e">
        <f t="shared" si="2"/>
        <v>#DIV/0!</v>
      </c>
      <c r="AI6" s="146" t="e">
        <f t="shared" si="2"/>
        <v>#DIV/0!</v>
      </c>
      <c r="AJ6" s="146" t="e">
        <f t="shared" si="2"/>
        <v>#DIV/0!</v>
      </c>
      <c r="AK6" s="146" t="e">
        <f t="shared" si="2"/>
        <v>#DIV/0!</v>
      </c>
      <c r="AL6" s="146">
        <f t="shared" si="2"/>
        <v>8.7291399229781769E-3</v>
      </c>
      <c r="AM6" s="146">
        <f>AM5/AM4</f>
        <v>9.6086309105723033E-3</v>
      </c>
      <c r="AN6" s="146">
        <f t="shared" si="2"/>
        <v>1.0837031685416451E-2</v>
      </c>
      <c r="AO6" s="11"/>
      <c r="AP6" s="11"/>
      <c r="AQ6" s="11"/>
      <c r="AR6" s="11"/>
      <c r="AS6" s="11"/>
      <c r="AT6" s="11"/>
      <c r="AU6" s="11"/>
      <c r="AV6" s="11"/>
      <c r="AW6" s="11"/>
    </row>
    <row r="7" spans="1:50" ht="18">
      <c r="A7" s="1" t="s">
        <v>22</v>
      </c>
      <c r="B7" s="2"/>
      <c r="C7" s="2"/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2</v>
      </c>
      <c r="L7" s="2">
        <v>1</v>
      </c>
      <c r="M7" s="2">
        <v>1</v>
      </c>
      <c r="N7" s="2">
        <f>COUNTIFS(
[4]流入チャネル別顧客一覧_ユニーク!$C:$C,"&gt;="&amp;DATE(2025,3,1),
[4]流入チャネル別顧客一覧_ユニーク!$C:$C,"&lt;"&amp;DATE(2026,3,1),
[4]流入チャネル別顧客一覧_ユニーク!$R:$R,"&gt;="&amp;EOMONTH(N$3,-1)+1,
[4]流入チャネル別顧客一覧_ユニーク!$R:$R,"&lt;"&amp;EOMONTH(N$3,0)+1
)</f>
        <v>0</v>
      </c>
      <c r="O7" s="2">
        <f>COUNTIFS(
[4]流入チャネル別顧客一覧_ユニーク!$C:$C,"&gt;="&amp;DATE(2025,3,1),
[4]流入チャネル別顧客一覧_ユニーク!$C:$C,"&lt;"&amp;DATE(2026,3,1),
[4]流入チャネル別顧客一覧_ユニーク!$R:$R,"&gt;="&amp;EOMONTH(O$3,-1)+1,
[4]流入チャネル別顧客一覧_ユニーク!$R:$R,"&lt;"&amp;EOMONTH(O$3,0)+1
)</f>
        <v>6</v>
      </c>
      <c r="P7" s="2">
        <f>COUNTIFS(
[4]流入チャネル別顧客一覧_ユニーク!$C:$C,"&gt;="&amp;DATE(2025,3,1),
[4]流入チャネル別顧客一覧_ユニーク!$C:$C,"&lt;"&amp;DATE(2026,3,1),
[4]流入チャネル別顧客一覧_ユニーク!$R:$R,"&gt;="&amp;EOMONTH(P$3,-1)+1,
[4]流入チャネル別顧客一覧_ユニーク!$R:$R,"&lt;"&amp;EOMONTH(P$3,0)+1
)</f>
        <v>5</v>
      </c>
      <c r="Q7" s="2">
        <f>COUNTIFS(
[4]流入チャネル別顧客一覧_ユニーク!$C:$C,"&gt;="&amp;DATE(2025,3,1),
[4]流入チャネル別顧客一覧_ユニーク!$C:$C,"&lt;"&amp;DATE(2026,3,1),
[4]流入チャネル別顧客一覧_ユニーク!$R:$R,"&gt;="&amp;EOMONTH(Q$3,-1)+1,
[4]流入チャネル別顧客一覧_ユニーク!$R:$R,"&lt;"&amp;EOMONTH(Q$3,0)+1
)</f>
        <v>4</v>
      </c>
      <c r="R7" s="2">
        <f>COUNTIFS(
[4]流入チャネル別顧客一覧_ユニーク!$C:$C,"&gt;="&amp;DATE(2025,3,1),
[4]流入チャネル別顧客一覧_ユニーク!$C:$C,"&lt;"&amp;DATE(2026,3,1),
[4]流入チャネル別顧客一覧_ユニーク!$R:$R,"&gt;="&amp;EOMONTH(R$3,-1)+1,
[4]流入チャネル別顧客一覧_ユニーク!$R:$R,"&lt;"&amp;EOMONTH(R$3,0)+1
)</f>
        <v>9</v>
      </c>
      <c r="S7" s="2">
        <f>COUNTIFS(
[4]流入チャネル別顧客一覧_ユニーク!$C:$C,"&gt;="&amp;DATE(2025,3,1),
[4]流入チャネル別顧客一覧_ユニーク!$C:$C,"&lt;"&amp;DATE(2026,3,1),
[4]流入チャネル別顧客一覧_ユニーク!$R:$R,"&gt;="&amp;EOMONTH(S$3,-1)+1,
[4]流入チャネル別顧客一覧_ユニーク!$R:$R,"&lt;"&amp;EOMONTH(S$3,0)+1
)</f>
        <v>3</v>
      </c>
      <c r="T7" s="2">
        <f>COUNTIFS(
[4]流入チャネル別顧客一覧_ユニーク!$C:$C,"&gt;="&amp;DATE(2025,3,1),
[4]流入チャネル別顧客一覧_ユニーク!$C:$C,"&lt;"&amp;DATE(2026,3,1),
[4]流入チャネル別顧客一覧_ユニーク!$R:$R,"&gt;="&amp;EOMONTH(T$3,-1)+1,
[4]流入チャネル別顧客一覧_ユニーク!$R:$R,"&lt;"&amp;EOMONTH(T$3,0)+1
)</f>
        <v>7</v>
      </c>
      <c r="U7" s="2">
        <f>COUNTIFS(
[4]流入チャネル別顧客一覧_ユニーク!$C:$C,"&gt;="&amp;DATE(2025,3,1),
[4]流入チャネル別顧客一覧_ユニーク!$C:$C,"&lt;"&amp;DATE(2026,3,1),
[4]流入チャネル別顧客一覧_ユニーク!$R:$R,"&gt;="&amp;EOMONTH(U$3,-1)+1,
[4]流入チャネル別顧客一覧_ユニーク!$R:$R,"&lt;"&amp;EOMONTH(U$3,0)+1
)</f>
        <v>3</v>
      </c>
      <c r="V7" s="2">
        <f>COUNTIFS(
[4]流入チャネル別顧客一覧_ユニーク!$C:$C,"&gt;="&amp;DATE(2025,3,1),
[4]流入チャネル別顧客一覧_ユニーク!$C:$C,"&lt;"&amp;DATE(2026,3,1),
[4]流入チャネル別顧客一覧_ユニーク!$R:$R,"&gt;="&amp;EOMONTH(V$3,-1)+1,
[4]流入チャネル別顧客一覧_ユニーク!$R:$R,"&lt;"&amp;EOMONTH(V$3,0)+1
)</f>
        <v>2</v>
      </c>
      <c r="W7" s="2">
        <f>COUNTIFS(
[4]流入チャネル別顧客一覧_ユニーク!$C:$C,"&gt;="&amp;DATE(2025,3,1),
[4]流入チャネル別顧客一覧_ユニーク!$C:$C,"&lt;"&amp;DATE(2026,3,1),
[4]流入チャネル別顧客一覧_ユニーク!$R:$R,"&gt;="&amp;EOMONTH(W$3,-1)+1,
[4]流入チャネル別顧客一覧_ユニーク!$R:$R,"&lt;"&amp;EOMONTH(W$3,0)+1
)</f>
        <v>3</v>
      </c>
      <c r="X7" s="2">
        <f>COUNTIFS(
[4]流入チャネル別顧客一覧_ユニーク!$C:$C,"&gt;="&amp;DATE(2025,3,1),
[4]流入チャネル別顧客一覧_ユニーク!$C:$C,"&lt;"&amp;DATE(2026,3,1),
[4]流入チャネル別顧客一覧_ユニーク!$R:$R,"&gt;="&amp;EOMONTH(X$3,-1)+1,
[4]流入チャネル別顧客一覧_ユニーク!$R:$R,"&lt;"&amp;EOMONTH(X$3,0)+1
)</f>
        <v>7</v>
      </c>
      <c r="Y7" s="2">
        <f>COUNTIFS(
[4]流入チャネル別顧客一覧_ユニーク!$C:$C,"&gt;="&amp;DATE(2025,3,1),
[4]流入チャネル別顧客一覧_ユニーク!$C:$C,"&lt;"&amp;DATE(2026,3,1),
[4]流入チャネル別顧客一覧_ユニーク!$R:$R,"&gt;="&amp;EOMONTH(Y$3,-1)+1,
[4]流入チャネル別顧客一覧_ユニーク!$R:$R,"&lt;"&amp;EOMONTH(Y$3,0)+1
)</f>
        <v>20</v>
      </c>
      <c r="Z7" s="2">
        <f>COUNTIFS(
[4]流入チャネル別顧客一覧_ユニーク!$C:$C,"&gt;="&amp;DATE(2026,3,1),
[4]流入チャネル別顧客一覧_ユニーク!$C:$C,"&lt;"&amp;DATE(2027,3,1),
[4]流入チャネル別顧客一覧_ユニーク!$R:$R,"&gt;="&amp;EOMONTH(Z$3,-1)+1,
[4]流入チャネル別顧客一覧_ユニーク!$R:$R,"&lt;"&amp;EOMONTH(Z$3,0)+1
)</f>
        <v>4</v>
      </c>
      <c r="AA7" s="2">
        <f>COUNTIFS(
[4]流入チャネル別顧客一覧_ユニーク!$C:$C,"&gt;="&amp;DATE(2026,3,1),
[4]流入チャネル別顧客一覧_ユニーク!$C:$C,"&lt;"&amp;DATE(2027,3,1),
[4]流入チャネル別顧客一覧_ユニーク!$R:$R,"&gt;="&amp;EOMONTH(AA$3,-1)+1,
[4]流入チャネル別顧客一覧_ユニーク!$R:$R,"&lt;"&amp;EOMONTH(AA$3,0)+1
)</f>
        <v>3</v>
      </c>
      <c r="AB7" s="2">
        <f>COUNTIFS(
[4]流入チャネル別顧客一覧_ユニーク!$C:$C,"&gt;="&amp;DATE(2026,3,1),
[4]流入チャネル別顧客一覧_ユニーク!$C:$C,"&lt;"&amp;DATE(2027,3,1),
[4]流入チャネル別顧客一覧_ユニーク!$R:$R,"&gt;="&amp;EOMONTH(AB$3,-1)+1,
[4]流入チャネル別顧客一覧_ユニーク!$R:$R,"&lt;"&amp;EOMONTH(AB$3,0)+1
)</f>
        <v>3</v>
      </c>
      <c r="AC7" s="2">
        <f>COUNTIFS(
[4]流入チャネル別顧客一覧_ユニーク!$C:$C,"&gt;="&amp;DATE(2026,3,1),
[4]流入チャネル別顧客一覧_ユニーク!$C:$C,"&lt;"&amp;DATE(2027,3,1),
[4]流入チャネル別顧客一覧_ユニーク!$R:$R,"&gt;="&amp;EOMONTH(AC$3,-1)+1,
[4]流入チャネル別顧客一覧_ユニーク!$R:$R,"&lt;"&amp;EOMONTH(AC$3,0)+1
)</f>
        <v>1</v>
      </c>
      <c r="AD7" s="2">
        <f>COUNTIFS(
[4]流入チャネル別顧客一覧_ユニーク!$C:$C,"&gt;="&amp;DATE(2026,3,1),
[4]流入チャネル別顧客一覧_ユニーク!$C:$C,"&lt;"&amp;DATE(2027,3,1),
[4]流入チャネル別顧客一覧_ユニーク!$R:$R,"&gt;="&amp;EOMONTH(AD$3,-1)+1,
[4]流入チャネル別顧客一覧_ユニーク!$R:$R,"&lt;"&amp;EOMONTH(AD$3,0)+1
)</f>
        <v>0</v>
      </c>
      <c r="AE7" s="2">
        <f>COUNTIFS(
[4]流入チャネル別顧客一覧_ユニーク!$C:$C,"&gt;="&amp;DATE(2026,3,1),
[4]流入チャネル別顧客一覧_ユニーク!$C:$C,"&lt;"&amp;DATE(2027,3,1),
[4]流入チャネル別顧客一覧_ユニーク!$R:$R,"&gt;="&amp;EOMONTH(AE$3,-1)+1,
[4]流入チャネル別顧客一覧_ユニーク!$R:$R,"&lt;"&amp;EOMONTH(AE$3,0)+1
)</f>
        <v>0</v>
      </c>
      <c r="AF7" s="2">
        <f>COUNTIFS(
[4]流入チャネル別顧客一覧_ユニーク!$C:$C,"&gt;="&amp;DATE(2026,3,1),
[4]流入チャネル別顧客一覧_ユニーク!$C:$C,"&lt;"&amp;DATE(2027,3,1),
[4]流入チャネル別顧客一覧_ユニーク!$R:$R,"&gt;="&amp;EOMONTH(AF$3,-1)+1,
[4]流入チャネル別顧客一覧_ユニーク!$R:$R,"&lt;"&amp;EOMONTH(AF$3,0)+1
)</f>
        <v>0</v>
      </c>
      <c r="AG7" s="2">
        <f>COUNTIFS(
[4]流入チャネル別顧客一覧_ユニーク!$C:$C,"&gt;="&amp;DATE(2026,3,1),
[4]流入チャネル別顧客一覧_ユニーク!$C:$C,"&lt;"&amp;DATE(2027,3,1),
[4]流入チャネル別顧客一覧_ユニーク!$R:$R,"&gt;="&amp;EOMONTH(AG$3,-1)+1,
[4]流入チャネル別顧客一覧_ユニーク!$R:$R,"&lt;"&amp;EOMONTH(AG$3,0)+1
)</f>
        <v>0</v>
      </c>
      <c r="AH7" s="2">
        <f>COUNTIFS(
[4]流入チャネル別顧客一覧_ユニーク!$C:$C,"&gt;="&amp;DATE(2026,3,1),
[4]流入チャネル別顧客一覧_ユニーク!$C:$C,"&lt;"&amp;DATE(2027,3,1),
[4]流入チャネル別顧客一覧_ユニーク!$R:$R,"&gt;="&amp;EOMONTH(AH$3,-1)+1,
[4]流入チャネル別顧客一覧_ユニーク!$R:$R,"&lt;"&amp;EOMONTH(AH$3,0)+1
)</f>
        <v>0</v>
      </c>
      <c r="AI7" s="2">
        <f>COUNTIFS(
[4]流入チャネル別顧客一覧_ユニーク!$C:$C,"&gt;="&amp;DATE(2026,3,1),
[4]流入チャネル別顧客一覧_ユニーク!$C:$C,"&lt;"&amp;DATE(2027,3,1),
[4]流入チャネル別顧客一覧_ユニーク!$R:$R,"&gt;="&amp;EOMONTH(AI$3,-1)+1,
[4]流入チャネル別顧客一覧_ユニーク!$R:$R,"&lt;"&amp;EOMONTH(AI$3,0)+1
)</f>
        <v>0</v>
      </c>
      <c r="AJ7" s="2">
        <f>COUNTIFS(
[4]流入チャネル別顧客一覧_ユニーク!$C:$C,"&gt;="&amp;DATE(2026,3,1),
[4]流入チャネル別顧客一覧_ユニーク!$C:$C,"&lt;"&amp;DATE(2027,3,1),
[4]流入チャネル別顧客一覧_ユニーク!$R:$R,"&gt;="&amp;EOMONTH(AJ$3,-1)+1,
[4]流入チャネル別顧客一覧_ユニーク!$R:$R,"&lt;"&amp;EOMONTH(AJ$3,0)+1
)</f>
        <v>0</v>
      </c>
      <c r="AK7" s="2">
        <f>COUNTIFS(
[4]流入チャネル別顧客一覧_ユニーク!$C:$C,"&gt;="&amp;DATE(2026,3,1),
[4]流入チャネル別顧客一覧_ユニーク!$C:$C,"&lt;"&amp;DATE(2027,3,1),
[4]流入チャネル別顧客一覧_ユニーク!$R:$R,"&gt;="&amp;EOMONTH(AK$3,-1)+1,
[4]流入チャネル別顧客一覧_ユニーク!$R:$R,"&lt;"&amp;EOMONTH(AK$3,0)+1
)</f>
        <v>0</v>
      </c>
      <c r="AM7" s="2">
        <f>SUM(N7:Y7)</f>
        <v>69</v>
      </c>
      <c r="AN7" s="2">
        <f t="shared" si="1"/>
        <v>11</v>
      </c>
    </row>
    <row r="8" spans="1:50" s="10" customFormat="1" ht="18">
      <c r="A8" s="10" t="s">
        <v>23</v>
      </c>
      <c r="B8" s="11"/>
      <c r="C8" s="11"/>
      <c r="D8" s="12">
        <f>IF(D7=0,"0%",D7/D5)</f>
        <v>1</v>
      </c>
      <c r="E8" s="12" t="str">
        <f t="shared" ref="E8:N8" si="3">IF(E7=0,"0%",E7/E5)</f>
        <v>0%</v>
      </c>
      <c r="F8" s="12" t="str">
        <f t="shared" si="3"/>
        <v>0%</v>
      </c>
      <c r="G8" s="12" t="str">
        <f t="shared" si="3"/>
        <v>0%</v>
      </c>
      <c r="H8" s="12">
        <f t="shared" si="3"/>
        <v>0.05</v>
      </c>
      <c r="I8" s="12" t="str">
        <f t="shared" si="3"/>
        <v>0%</v>
      </c>
      <c r="J8" s="12" t="str">
        <f t="shared" si="3"/>
        <v>0%</v>
      </c>
      <c r="K8" s="12">
        <f t="shared" si="3"/>
        <v>0.11764705882352941</v>
      </c>
      <c r="L8" s="12">
        <f t="shared" si="3"/>
        <v>5.5555555555555552E-2</v>
      </c>
      <c r="M8" s="12">
        <f t="shared" si="3"/>
        <v>0.16666666666666666</v>
      </c>
      <c r="N8" s="12" t="str">
        <f t="shared" si="3"/>
        <v>0%</v>
      </c>
      <c r="O8" s="12">
        <f t="shared" ref="O8:Y8" si="4">IF(O7=0,"0%",O7/O5)</f>
        <v>0.23076923076923078</v>
      </c>
      <c r="P8" s="12">
        <f t="shared" si="4"/>
        <v>0.18518518518518517</v>
      </c>
      <c r="Q8" s="12">
        <f t="shared" si="4"/>
        <v>0.22222222222222221</v>
      </c>
      <c r="R8" s="12">
        <f t="shared" si="4"/>
        <v>0.2</v>
      </c>
      <c r="S8" s="12">
        <f t="shared" si="4"/>
        <v>0.13636363636363635</v>
      </c>
      <c r="T8" s="12">
        <f t="shared" si="4"/>
        <v>0.23333333333333334</v>
      </c>
      <c r="U8" s="12">
        <f t="shared" si="4"/>
        <v>9.375E-2</v>
      </c>
      <c r="V8" s="12">
        <f t="shared" si="4"/>
        <v>0.25</v>
      </c>
      <c r="W8" s="12">
        <f>IF(W7=0,"0%",W7/W5)</f>
        <v>0.16666666666666666</v>
      </c>
      <c r="X8" s="12">
        <f t="shared" si="4"/>
        <v>0.15909090909090909</v>
      </c>
      <c r="Y8" s="12">
        <f t="shared" si="4"/>
        <v>0.38461538461538464</v>
      </c>
      <c r="Z8" s="12">
        <f t="shared" ref="Z8" si="5">IF(Z7=0,"0%",Z7/Z5)</f>
        <v>0.30769230769230771</v>
      </c>
      <c r="AA8" s="12">
        <f t="shared" ref="AA8:AK8" si="6">IF(AA7=0,"0%",AA7/AA5)</f>
        <v>9.6774193548387094E-2</v>
      </c>
      <c r="AB8" s="12">
        <f t="shared" si="6"/>
        <v>8.8235294117647065E-2</v>
      </c>
      <c r="AC8" s="12">
        <f t="shared" si="6"/>
        <v>3.7037037037037035E-2</v>
      </c>
      <c r="AD8" s="12" t="str">
        <f t="shared" si="6"/>
        <v>0%</v>
      </c>
      <c r="AE8" s="12" t="str">
        <f t="shared" si="6"/>
        <v>0%</v>
      </c>
      <c r="AF8" s="12" t="str">
        <f t="shared" si="6"/>
        <v>0%</v>
      </c>
      <c r="AG8" s="12" t="str">
        <f t="shared" si="6"/>
        <v>0%</v>
      </c>
      <c r="AH8" s="12" t="str">
        <f t="shared" si="6"/>
        <v>0%</v>
      </c>
      <c r="AI8" s="12" t="str">
        <f t="shared" si="6"/>
        <v>0%</v>
      </c>
      <c r="AJ8" s="12" t="str">
        <f t="shared" si="6"/>
        <v>0%</v>
      </c>
      <c r="AK8" s="12" t="str">
        <f t="shared" si="6"/>
        <v>0%</v>
      </c>
      <c r="AL8" s="8"/>
      <c r="AM8" s="11"/>
      <c r="AN8" s="12">
        <f t="shared" ref="AN8" si="7">IF(AN7=0,"0%",AN7/AN5)</f>
        <v>0.10476190476190476</v>
      </c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ht="18">
      <c r="A9" s="1" t="s">
        <v>24</v>
      </c>
      <c r="B9" s="2" t="s">
        <v>19</v>
      </c>
      <c r="C9" s="2" t="s">
        <v>19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2</v>
      </c>
      <c r="L9" s="2">
        <v>0</v>
      </c>
      <c r="M9" s="2">
        <v>0</v>
      </c>
      <c r="N9" s="2">
        <f>COUNTIFS(
[4]流入チャネル別顧客一覧_ユニーク!$C:$C,"&gt;="&amp;DATE(2025,3,1),
[4]流入チャネル別顧客一覧_ユニーク!$C:$C,"&lt;"&amp;DATE(2026,3,1),
[4]流入チャネル別顧客一覧_ユニーク!$S:$S,"&gt;="&amp;EOMONTH(N$3,-1)+1,
[4]流入チャネル別顧客一覧_ユニーク!$S:$S,"&lt;"&amp;EOMONTH(N$3,0)+1
)</f>
        <v>0</v>
      </c>
      <c r="O9" s="2">
        <f>COUNTIFS(
[4]流入チャネル別顧客一覧_ユニーク!$C:$C,"&gt;="&amp;DATE(2025,3,1),
[4]流入チャネル別顧客一覧_ユニーク!$C:$C,"&lt;"&amp;DATE(2026,3,1),
[4]流入チャネル別顧客一覧_ユニーク!$S:$S,"&gt;="&amp;EOMONTH(O$3,-1)+1,
[4]流入チャネル別顧客一覧_ユニーク!$S:$S,"&lt;"&amp;EOMONTH(O$3,0)+1
)</f>
        <v>4</v>
      </c>
      <c r="P9" s="2">
        <f>COUNTIFS(
[4]流入チャネル別顧客一覧_ユニーク!$C:$C,"&gt;="&amp;DATE(2025,3,1),
[4]流入チャネル別顧客一覧_ユニーク!$C:$C,"&lt;"&amp;DATE(2026,3,1),
[4]流入チャネル別顧客一覧_ユニーク!$S:$S,"&gt;="&amp;EOMONTH(P$3,-1)+1,
[4]流入チャネル別顧客一覧_ユニーク!$S:$S,"&lt;"&amp;EOMONTH(P$3,0)+1
)</f>
        <v>3</v>
      </c>
      <c r="Q9" s="2">
        <f>COUNTIFS(
[4]流入チャネル別顧客一覧_ユニーク!$C:$C,"&gt;="&amp;DATE(2025,3,1),
[4]流入チャネル別顧客一覧_ユニーク!$C:$C,"&lt;"&amp;DATE(2026,3,1),
[4]流入チャネル別顧客一覧_ユニーク!$S:$S,"&gt;="&amp;EOMONTH(Q$3,-1)+1,
[4]流入チャネル別顧客一覧_ユニーク!$S:$S,"&lt;"&amp;EOMONTH(Q$3,0)+1
)</f>
        <v>3</v>
      </c>
      <c r="R9" s="2">
        <f>COUNTIFS(
[4]流入チャネル別顧客一覧_ユニーク!$C:$C,"&gt;="&amp;DATE(2025,3,1),
[4]流入チャネル別顧客一覧_ユニーク!$C:$C,"&lt;"&amp;DATE(2026,3,1),
[4]流入チャネル別顧客一覧_ユニーク!$S:$S,"&gt;="&amp;EOMONTH(R$3,-1)+1,
[4]流入チャネル別顧客一覧_ユニーク!$S:$S,"&lt;"&amp;EOMONTH(R$3,0)+1
)</f>
        <v>1</v>
      </c>
      <c r="S9" s="2">
        <f>COUNTIFS(
[4]流入チャネル別顧客一覧_ユニーク!$C:$C,"&gt;="&amp;DATE(2025,3,1),
[4]流入チャネル別顧客一覧_ユニーク!$C:$C,"&lt;"&amp;DATE(2026,3,1),
[4]流入チャネル別顧客一覧_ユニーク!$S:$S,"&gt;="&amp;EOMONTH(S$3,-1)+1,
[4]流入チャネル別顧客一覧_ユニーク!$S:$S,"&lt;"&amp;EOMONTH(S$3,0)+1
)</f>
        <v>2</v>
      </c>
      <c r="T9" s="2">
        <f>COUNTIFS(
[4]流入チャネル別顧客一覧_ユニーク!$C:$C,"&gt;="&amp;DATE(2025,3,1),
[4]流入チャネル別顧客一覧_ユニーク!$C:$C,"&lt;"&amp;DATE(2026,3,1),
[4]流入チャネル別顧客一覧_ユニーク!$S:$S,"&gt;="&amp;EOMONTH(T$3,-1)+1,
[4]流入チャネル別顧客一覧_ユニーク!$S:$S,"&lt;"&amp;EOMONTH(T$3,0)+1
)</f>
        <v>0</v>
      </c>
      <c r="U9" s="2">
        <f>COUNTIFS(
[4]流入チャネル別顧客一覧_ユニーク!$C:$C,"&gt;="&amp;DATE(2025,3,1),
[4]流入チャネル別顧客一覧_ユニーク!$C:$C,"&lt;"&amp;DATE(2026,3,1),
[4]流入チャネル別顧客一覧_ユニーク!$S:$S,"&gt;="&amp;EOMONTH(U$3,-1)+1,
[4]流入チャネル別顧客一覧_ユニーク!$S:$S,"&lt;"&amp;EOMONTH(U$3,0)+1
)</f>
        <v>0</v>
      </c>
      <c r="V9" s="2">
        <f>COUNTIFS(
[4]流入チャネル別顧客一覧_ユニーク!$C:$C,"&gt;="&amp;DATE(2025,3,1),
[4]流入チャネル別顧客一覧_ユニーク!$C:$C,"&lt;"&amp;DATE(2026,3,1),
[4]流入チャネル別顧客一覧_ユニーク!$S:$S,"&gt;="&amp;EOMONTH(V$3,-1)+1,
[4]流入チャネル別顧客一覧_ユニーク!$S:$S,"&lt;"&amp;EOMONTH(V$3,0)+1
)</f>
        <v>0</v>
      </c>
      <c r="W9" s="2">
        <f>COUNTIFS(
[4]流入チャネル別顧客一覧_ユニーク!$C:$C,"&gt;="&amp;DATE(2025,3,1),
[4]流入チャネル別顧客一覧_ユニーク!$C:$C,"&lt;"&amp;DATE(2026,3,1),
[4]流入チャネル別顧客一覧_ユニーク!$S:$S,"&gt;="&amp;EOMONTH(W$3,-1)+1,
[4]流入チャネル別顧客一覧_ユニーク!$S:$S,"&lt;"&amp;EOMONTH(W$3,0)+1
)</f>
        <v>0</v>
      </c>
      <c r="X9" s="2">
        <f>COUNTIFS(
[4]流入チャネル別顧客一覧_ユニーク!$C:$C,"&gt;="&amp;DATE(2025,3,1),
[4]流入チャネル別顧客一覧_ユニーク!$C:$C,"&lt;"&amp;DATE(2026,3,1),
[4]流入チャネル別顧客一覧_ユニーク!$S:$S,"&gt;="&amp;EOMONTH(X$3,-1)+1,
[4]流入チャネル別顧客一覧_ユニーク!$S:$S,"&lt;"&amp;EOMONTH(X$3,0)+1
)</f>
        <v>0</v>
      </c>
      <c r="Y9" s="2">
        <f>COUNTIFS(
[4]流入チャネル別顧客一覧_ユニーク!$C:$C,"&gt;="&amp;DATE(2025,3,1),
[4]流入チャネル別顧客一覧_ユニーク!$C:$C,"&lt;"&amp;DATE(2026,3,1),
[4]流入チャネル別顧客一覧_ユニーク!$S:$S,"&gt;="&amp;EOMONTH(Y$3,-1)+1,
[4]流入チャネル別顧客一覧_ユニーク!$S:$S,"&lt;"&amp;EOMONTH(Y$3,0)+1
)</f>
        <v>2</v>
      </c>
      <c r="Z9" s="2">
        <f>COUNTIFS(
[4]流入チャネル別顧客一覧_ユニーク!$C:$C,"&gt;="&amp;DATE(2026,3,1),
[4]流入チャネル別顧客一覧_ユニーク!$C:$C,"&lt;"&amp;DATE(2027,3,1),
[4]流入チャネル別顧客一覧_ユニーク!$S:$S,"&gt;="&amp;EOMONTH(Z$3,-1)+1,
[4]流入チャネル別顧客一覧_ユニーク!$S:$S,"&lt;"&amp;EOMONTH(Z$3,0)+1
)</f>
        <v>1</v>
      </c>
      <c r="AA9" s="2">
        <f>COUNTIFS(
[4]流入チャネル別顧客一覧_ユニーク!$C:$C,"&gt;="&amp;DATE(2026,3,1),
[4]流入チャネル別顧客一覧_ユニーク!$C:$C,"&lt;"&amp;DATE(2027,3,1),
[4]流入チャネル別顧客一覧_ユニーク!$S:$S,"&gt;="&amp;EOMONTH(AA$3,-1)+1,
[4]流入チャネル別顧客一覧_ユニーク!$S:$S,"&lt;"&amp;EOMONTH(AA$3,0)+1
)</f>
        <v>2</v>
      </c>
      <c r="AB9" s="2">
        <f>COUNTIFS(
[4]流入チャネル別顧客一覧_ユニーク!$C:$C,"&gt;="&amp;DATE(2026,3,1),
[4]流入チャネル別顧客一覧_ユニーク!$C:$C,"&lt;"&amp;DATE(2027,3,1),
[4]流入チャネル別顧客一覧_ユニーク!$S:$S,"&gt;="&amp;EOMONTH(AB$3,-1)+1,
[4]流入チャネル別顧客一覧_ユニーク!$S:$S,"&lt;"&amp;EOMONTH(AB$3,0)+1
)</f>
        <v>0</v>
      </c>
      <c r="AC9" s="2">
        <f>COUNTIFS(
[4]流入チャネル別顧客一覧_ユニーク!$C:$C,"&gt;="&amp;DATE(2026,3,1),
[4]流入チャネル別顧客一覧_ユニーク!$C:$C,"&lt;"&amp;DATE(2027,3,1),
[4]流入チャネル別顧客一覧_ユニーク!$S:$S,"&gt;="&amp;EOMONTH(AC$3,-1)+1,
[4]流入チャネル別顧客一覧_ユニーク!$S:$S,"&lt;"&amp;EOMONTH(AC$3,0)+1
)</f>
        <v>2</v>
      </c>
      <c r="AD9" s="2">
        <f>COUNTIFS(
[4]流入チャネル別顧客一覧_ユニーク!$C:$C,"&gt;="&amp;DATE(2026,3,1),
[4]流入チャネル別顧客一覧_ユニーク!$C:$C,"&lt;"&amp;DATE(2027,3,1),
[4]流入チャネル別顧客一覧_ユニーク!$S:$S,"&gt;="&amp;EOMONTH(AD$3,-1)+1,
[4]流入チャネル別顧客一覧_ユニーク!$S:$S,"&lt;"&amp;EOMONTH(AD$3,0)+1
)</f>
        <v>0</v>
      </c>
      <c r="AE9" s="2">
        <f>COUNTIFS(
[4]流入チャネル別顧客一覧_ユニーク!$C:$C,"&gt;="&amp;DATE(2026,3,1),
[4]流入チャネル別顧客一覧_ユニーク!$C:$C,"&lt;"&amp;DATE(2027,3,1),
[4]流入チャネル別顧客一覧_ユニーク!$S:$S,"&gt;="&amp;EOMONTH(AE$3,-1)+1,
[4]流入チャネル別顧客一覧_ユニーク!$S:$S,"&lt;"&amp;EOMONTH(AE$3,0)+1
)</f>
        <v>0</v>
      </c>
      <c r="AF9" s="2">
        <f>COUNTIFS(
[4]流入チャネル別顧客一覧_ユニーク!$C:$C,"&gt;="&amp;DATE(2026,3,1),
[4]流入チャネル別顧客一覧_ユニーク!$C:$C,"&lt;"&amp;DATE(2027,3,1),
[4]流入チャネル別顧客一覧_ユニーク!$S:$S,"&gt;="&amp;EOMONTH(AF$3,-1)+1,
[4]流入チャネル別顧客一覧_ユニーク!$S:$S,"&lt;"&amp;EOMONTH(AF$3,0)+1
)</f>
        <v>0</v>
      </c>
      <c r="AG9" s="2">
        <f>COUNTIFS(
[4]流入チャネル別顧客一覧_ユニーク!$C:$C,"&gt;="&amp;DATE(2026,3,1),
[4]流入チャネル別顧客一覧_ユニーク!$C:$C,"&lt;"&amp;DATE(2027,3,1),
[4]流入チャネル別顧客一覧_ユニーク!$S:$S,"&gt;="&amp;EOMONTH(AG$3,-1)+1,
[4]流入チャネル別顧客一覧_ユニーク!$S:$S,"&lt;"&amp;EOMONTH(AG$3,0)+1
)</f>
        <v>0</v>
      </c>
      <c r="AH9" s="2">
        <f>COUNTIFS(
[4]流入チャネル別顧客一覧_ユニーク!$C:$C,"&gt;="&amp;DATE(2026,3,1),
[4]流入チャネル別顧客一覧_ユニーク!$C:$C,"&lt;"&amp;DATE(2027,3,1),
[4]流入チャネル別顧客一覧_ユニーク!$S:$S,"&gt;="&amp;EOMONTH(AH$3,-1)+1,
[4]流入チャネル別顧客一覧_ユニーク!$S:$S,"&lt;"&amp;EOMONTH(AH$3,0)+1
)</f>
        <v>0</v>
      </c>
      <c r="AI9" s="2">
        <f>COUNTIFS(
[4]流入チャネル別顧客一覧_ユニーク!$C:$C,"&gt;="&amp;DATE(2026,3,1),
[4]流入チャネル別顧客一覧_ユニーク!$C:$C,"&lt;"&amp;DATE(2027,3,1),
[4]流入チャネル別顧客一覧_ユニーク!$S:$S,"&gt;="&amp;EOMONTH(AI$3,-1)+1,
[4]流入チャネル別顧客一覧_ユニーク!$S:$S,"&lt;"&amp;EOMONTH(AI$3,0)+1
)</f>
        <v>0</v>
      </c>
      <c r="AJ9" s="2">
        <f>COUNTIFS(
[4]流入チャネル別顧客一覧_ユニーク!$C:$C,"&gt;="&amp;DATE(2026,3,1),
[4]流入チャネル別顧客一覧_ユニーク!$C:$C,"&lt;"&amp;DATE(2027,3,1),
[4]流入チャネル別顧客一覧_ユニーク!$S:$S,"&gt;="&amp;EOMONTH(AJ$3,-1)+1,
[4]流入チャネル別顧客一覧_ユニーク!$S:$S,"&lt;"&amp;EOMONTH(AJ$3,0)+1
)</f>
        <v>0</v>
      </c>
      <c r="AK9" s="2">
        <f>COUNTIFS(
[4]流入チャネル別顧客一覧_ユニーク!$C:$C,"&gt;="&amp;DATE(2026,3,1),
[4]流入チャネル別顧客一覧_ユニーク!$C:$C,"&lt;"&amp;DATE(2027,3,1),
[4]流入チャネル別顧客一覧_ユニーク!$S:$S,"&gt;="&amp;EOMONTH(AK$3,-1)+1,
[4]流入チャネル別顧客一覧_ユニーク!$S:$S,"&lt;"&amp;EOMONTH(AK$3,0)+1
)</f>
        <v>0</v>
      </c>
      <c r="AL9" s="8">
        <f t="shared" si="0"/>
        <v>2</v>
      </c>
      <c r="AM9" s="2">
        <f>SUM(N9:Y9)</f>
        <v>15</v>
      </c>
      <c r="AN9" s="2">
        <f t="shared" si="1"/>
        <v>5</v>
      </c>
    </row>
    <row r="10" spans="1:50" s="10" customFormat="1" ht="18">
      <c r="A10" s="10" t="s">
        <v>25</v>
      </c>
      <c r="B10" s="11" t="s">
        <v>19</v>
      </c>
      <c r="C10" s="11" t="s">
        <v>19</v>
      </c>
      <c r="D10" s="12">
        <f t="shared" ref="D10:G10" si="8">IF(D9=0,"0%",D9/D5)</f>
        <v>1</v>
      </c>
      <c r="E10" s="12" t="str">
        <f t="shared" si="8"/>
        <v>0%</v>
      </c>
      <c r="F10" s="12" t="str">
        <f t="shared" si="8"/>
        <v>0%</v>
      </c>
      <c r="G10" s="12" t="str">
        <f t="shared" si="8"/>
        <v>0%</v>
      </c>
      <c r="H10" s="12" t="str">
        <f t="shared" ref="H10:N10" si="9">IF(H9=0,"0%",H9/H5)</f>
        <v>0%</v>
      </c>
      <c r="I10" s="12" t="str">
        <f t="shared" si="9"/>
        <v>0%</v>
      </c>
      <c r="J10" s="12" t="str">
        <f t="shared" si="9"/>
        <v>0%</v>
      </c>
      <c r="K10" s="12">
        <f t="shared" si="9"/>
        <v>0.11764705882352941</v>
      </c>
      <c r="L10" s="12" t="str">
        <f t="shared" si="9"/>
        <v>0%</v>
      </c>
      <c r="M10" s="12" t="str">
        <f t="shared" si="9"/>
        <v>0%</v>
      </c>
      <c r="N10" s="12" t="str">
        <f t="shared" si="9"/>
        <v>0%</v>
      </c>
      <c r="O10" s="12">
        <f t="shared" ref="O10:Y10" si="10">IF(O9=0,"0%",O9/O5)</f>
        <v>0.15384615384615385</v>
      </c>
      <c r="P10" s="12">
        <f t="shared" si="10"/>
        <v>0.1111111111111111</v>
      </c>
      <c r="Q10" s="12">
        <f t="shared" si="10"/>
        <v>0.16666666666666666</v>
      </c>
      <c r="R10" s="12">
        <f t="shared" si="10"/>
        <v>2.2222222222222223E-2</v>
      </c>
      <c r="S10" s="12">
        <f t="shared" si="10"/>
        <v>9.0909090909090912E-2</v>
      </c>
      <c r="T10" s="12" t="str">
        <f t="shared" si="10"/>
        <v>0%</v>
      </c>
      <c r="U10" s="12" t="str">
        <f t="shared" si="10"/>
        <v>0%</v>
      </c>
      <c r="V10" s="12" t="str">
        <f t="shared" si="10"/>
        <v>0%</v>
      </c>
      <c r="W10" s="12" t="str">
        <f>IF(W9=0,"0%",W9/W5)</f>
        <v>0%</v>
      </c>
      <c r="X10" s="12" t="str">
        <f t="shared" si="10"/>
        <v>0%</v>
      </c>
      <c r="Y10" s="12">
        <f t="shared" si="10"/>
        <v>3.8461538461538464E-2</v>
      </c>
      <c r="Z10" s="12">
        <f t="shared" ref="Z10:AK10" si="11">IF(Z9=0,"0%",Z9/Z5)</f>
        <v>7.6923076923076927E-2</v>
      </c>
      <c r="AA10" s="12">
        <f t="shared" si="11"/>
        <v>6.4516129032258063E-2</v>
      </c>
      <c r="AB10" s="12" t="str">
        <f t="shared" si="11"/>
        <v>0%</v>
      </c>
      <c r="AC10" s="12">
        <f t="shared" si="11"/>
        <v>7.407407407407407E-2</v>
      </c>
      <c r="AD10" s="12" t="str">
        <f t="shared" si="11"/>
        <v>0%</v>
      </c>
      <c r="AE10" s="12" t="str">
        <f t="shared" si="11"/>
        <v>0%</v>
      </c>
      <c r="AF10" s="12" t="str">
        <f t="shared" si="11"/>
        <v>0%</v>
      </c>
      <c r="AG10" s="12" t="str">
        <f t="shared" si="11"/>
        <v>0%</v>
      </c>
      <c r="AH10" s="12" t="str">
        <f t="shared" si="11"/>
        <v>0%</v>
      </c>
      <c r="AI10" s="12" t="str">
        <f t="shared" si="11"/>
        <v>0%</v>
      </c>
      <c r="AJ10" s="12" t="str">
        <f t="shared" si="11"/>
        <v>0%</v>
      </c>
      <c r="AK10" s="12" t="str">
        <f t="shared" si="11"/>
        <v>0%</v>
      </c>
      <c r="AL10" s="8"/>
      <c r="AM10" s="11"/>
      <c r="AN10" s="12">
        <f t="shared" ref="AN10" si="12">IF(AN9=0,"0%",AN9/AN5)</f>
        <v>4.7619047619047616E-2</v>
      </c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ht="18">
      <c r="A11" s="1" t="s">
        <v>26</v>
      </c>
      <c r="B11" s="2" t="s">
        <v>19</v>
      </c>
      <c r="C11" s="2" t="s">
        <v>19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f>COUNTIFS(
[4]流入チャネル別顧客一覧_ユニーク!$T:$T,"&gt;="&amp;EOMONTH(N$3,-1)+1,
[4]流入チャネル別顧客一覧_ユニーク!$T:$T,"&lt;"&amp;EOMONTH(N$3,0)+1
)</f>
        <v>0</v>
      </c>
      <c r="O11" s="2">
        <f>COUNTIFS(
[4]流入チャネル別顧客一覧_ユニーク!$T:$T,"&gt;="&amp;EOMONTH(O$3,-1)+1,
[4]流入チャネル別顧客一覧_ユニーク!$T:$T,"&lt;"&amp;EOMONTH(O$3,0)+1
)</f>
        <v>0</v>
      </c>
      <c r="P11" s="2">
        <f>COUNTIFS(
[4]流入チャネル別顧客一覧_ユニーク!$T:$T,"&gt;="&amp;EOMONTH(P$3,-1)+1,
[4]流入チャネル別顧客一覧_ユニーク!$T:$T,"&lt;"&amp;EOMONTH(P$3,0)+1
)</f>
        <v>0</v>
      </c>
      <c r="Q11" s="2">
        <f>COUNTIFS(
[4]流入チャネル別顧客一覧_ユニーク!$T:$T,"&gt;="&amp;EOMONTH(Q$3,-1)+1,
[4]流入チャネル別顧客一覧_ユニーク!$T:$T,"&lt;"&amp;EOMONTH(Q$3,0)+1
)</f>
        <v>0</v>
      </c>
      <c r="R11" s="2">
        <f>COUNTIFS(
[4]流入チャネル別顧客一覧_ユニーク!$T:$T,"&gt;="&amp;EOMONTH(R$3,-1)+1,
[4]流入チャネル別顧客一覧_ユニーク!$T:$T,"&lt;"&amp;EOMONTH(R$3,0)+1
)</f>
        <v>0</v>
      </c>
      <c r="S11" s="2">
        <f>COUNTIFS(
[4]流入チャネル別顧客一覧_ユニーク!$T:$T,"&gt;="&amp;EOMONTH(S$3,-1)+1,
[4]流入チャネル別顧客一覧_ユニーク!$T:$T,"&lt;"&amp;EOMONTH(S$3,0)+1
)</f>
        <v>1</v>
      </c>
      <c r="T11" s="2">
        <f>COUNTIFS(
[4]流入チャネル別顧客一覧_ユニーク!$T:$T,"&gt;="&amp;EOMONTH(T$3,-1)+1,
[4]流入チャネル別顧客一覧_ユニーク!$T:$T,"&lt;"&amp;EOMONTH(T$3,0)+1
)</f>
        <v>0</v>
      </c>
      <c r="U11" s="2">
        <f>COUNTIFS(
[4]流入チャネル別顧客一覧_ユニーク!$T:$T,"&gt;="&amp;EOMONTH(U$3,-1)+1,
[4]流入チャネル別顧客一覧_ユニーク!$T:$T,"&lt;"&amp;EOMONTH(U$3,0)+1
)</f>
        <v>1</v>
      </c>
      <c r="V11" s="2">
        <f>COUNTIFS(
[4]流入チャネル別顧客一覧_ユニーク!$T:$T,"&gt;="&amp;EOMONTH(V$3,-1)+1,
[4]流入チャネル別顧客一覧_ユニーク!$T:$T,"&lt;"&amp;EOMONTH(V$3,0)+1
)</f>
        <v>1</v>
      </c>
      <c r="W11" s="2">
        <f>COUNTIFS(
[4]流入チャネル別顧客一覧_ユニーク!$T:$T,"&gt;="&amp;EOMONTH(W$3,-1)+1,
[4]流入チャネル別顧客一覧_ユニーク!$T:$T,"&lt;"&amp;EOMONTH(W$3,0)+1
)</f>
        <v>0</v>
      </c>
      <c r="X11" s="2">
        <f>COUNTIFS(
[4]流入チャネル別顧客一覧_ユニーク!$T:$T,"&gt;="&amp;EOMONTH(X$3,-1)+1,
[4]流入チャネル別顧客一覧_ユニーク!$T:$T,"&lt;"&amp;EOMONTH(X$3,0)+1
)</f>
        <v>0</v>
      </c>
      <c r="Y11" s="2">
        <f>COUNTIFS(
[4]流入チャネル別顧客一覧_ユニーク!$T:$T,"&gt;="&amp;EOMONTH(Y$3,-1)+1,
[4]流入チャネル別顧客一覧_ユニーク!$T:$T,"&lt;"&amp;EOMONTH(Y$3,0)+1
)</f>
        <v>0</v>
      </c>
      <c r="Z11" s="2">
        <f>COUNTIFS(
[4]流入チャネル別顧客一覧_ユニーク!$T:$T,"&gt;="&amp;EOMONTH(Z$3,-1)+1,
[4]流入チャネル別顧客一覧_ユニーク!$T:$T,"&lt;"&amp;EOMONTH(Z$3,0)+1
)</f>
        <v>0</v>
      </c>
      <c r="AA11" s="2">
        <f>COUNTIFS(
[4]流入チャネル別顧客一覧_ユニーク!$T:$T,"&gt;="&amp;EOMONTH(AA$3,-1)+1,
[4]流入チャネル別顧客一覧_ユニーク!$T:$T,"&lt;"&amp;EOMONTH(AA$3,0)+1
)</f>
        <v>0</v>
      </c>
      <c r="AB11" s="2">
        <f>COUNTIFS(
[4]流入チャネル別顧客一覧_ユニーク!$T:$T,"&gt;="&amp;EOMONTH(AB$3,-1)+1,
[4]流入チャネル別顧客一覧_ユニーク!$T:$T,"&lt;"&amp;EOMONTH(AB$3,0)+1
)</f>
        <v>0</v>
      </c>
      <c r="AC11" s="2">
        <f>COUNTIFS(
[4]流入チャネル別顧客一覧_ユニーク!$T:$T,"&gt;="&amp;EOMONTH(AC$3,-1)+1,
[4]流入チャネル別顧客一覧_ユニーク!$T:$T,"&lt;"&amp;EOMONTH(AC$3,0)+1
)</f>
        <v>0</v>
      </c>
      <c r="AD11" s="2">
        <f>COUNTIFS(
[4]流入チャネル別顧客一覧_ユニーク!$T:$T,"&gt;="&amp;EOMONTH(AD$3,-1)+1,
[4]流入チャネル別顧客一覧_ユニーク!$T:$T,"&lt;"&amp;EOMONTH(AD$3,0)+1
)</f>
        <v>0</v>
      </c>
      <c r="AE11" s="2">
        <f>COUNTIFS(
[4]流入チャネル別顧客一覧_ユニーク!$T:$T,"&gt;="&amp;EOMONTH(AE$3,-1)+1,
[4]流入チャネル別顧客一覧_ユニーク!$T:$T,"&lt;"&amp;EOMONTH(AE$3,0)+1
)</f>
        <v>0</v>
      </c>
      <c r="AF11" s="2">
        <f>COUNTIFS(
[4]流入チャネル別顧客一覧_ユニーク!$T:$T,"&gt;="&amp;EOMONTH(AF$3,-1)+1,
[4]流入チャネル別顧客一覧_ユニーク!$T:$T,"&lt;"&amp;EOMONTH(AF$3,0)+1
)</f>
        <v>0</v>
      </c>
      <c r="AG11" s="2">
        <f>COUNTIFS(
[4]流入チャネル別顧客一覧_ユニーク!$T:$T,"&gt;="&amp;EOMONTH(AG$3,-1)+1,
[4]流入チャネル別顧客一覧_ユニーク!$T:$T,"&lt;"&amp;EOMONTH(AG$3,0)+1
)</f>
        <v>0</v>
      </c>
      <c r="AH11" s="2">
        <f>COUNTIFS(
[4]流入チャネル別顧客一覧_ユニーク!$T:$T,"&gt;="&amp;EOMONTH(AH$3,-1)+1,
[4]流入チャネル別顧客一覧_ユニーク!$T:$T,"&lt;"&amp;EOMONTH(AH$3,0)+1
)</f>
        <v>0</v>
      </c>
      <c r="AI11" s="2">
        <f>COUNTIFS(
[4]流入チャネル別顧客一覧_ユニーク!$T:$T,"&gt;="&amp;EOMONTH(AI$3,-1)+1,
[4]流入チャネル別顧客一覧_ユニーク!$T:$T,"&lt;"&amp;EOMONTH(AI$3,0)+1
)</f>
        <v>0</v>
      </c>
      <c r="AJ11" s="2">
        <f>COUNTIFS(
[4]流入チャネル別顧客一覧_ユニーク!$T:$T,"&gt;="&amp;EOMONTH(AJ$3,-1)+1,
[4]流入チャネル別顧客一覧_ユニーク!$T:$T,"&lt;"&amp;EOMONTH(AJ$3,0)+1
)</f>
        <v>0</v>
      </c>
      <c r="AK11" s="2">
        <f>COUNTIFS(
[4]流入チャネル別顧客一覧_ユニーク!$T:$T,"&gt;="&amp;EOMONTH(AK$3,-1)+1,
[4]流入チャネル別顧客一覧_ユニーク!$T:$T,"&lt;"&amp;EOMONTH(AK$3,0)+1
)</f>
        <v>0</v>
      </c>
      <c r="AL11" s="8">
        <f t="shared" si="0"/>
        <v>0</v>
      </c>
      <c r="AM11" s="2">
        <f>SUM(N11:Y11)</f>
        <v>3</v>
      </c>
      <c r="AN11" s="2">
        <f t="shared" si="1"/>
        <v>0</v>
      </c>
    </row>
    <row r="12" spans="1:50" s="10" customFormat="1" ht="18">
      <c r="A12" s="10" t="s">
        <v>27</v>
      </c>
      <c r="B12" s="11" t="s">
        <v>19</v>
      </c>
      <c r="C12" s="11" t="s">
        <v>19</v>
      </c>
      <c r="D12" s="12" t="str">
        <f t="shared" ref="D12:G12" si="13">IF(D11=0,"0%",D11/D5)</f>
        <v>0%</v>
      </c>
      <c r="E12" s="12" t="str">
        <f t="shared" si="13"/>
        <v>0%</v>
      </c>
      <c r="F12" s="12" t="str">
        <f t="shared" si="13"/>
        <v>0%</v>
      </c>
      <c r="G12" s="12" t="str">
        <f t="shared" si="13"/>
        <v>0%</v>
      </c>
      <c r="H12" s="12" t="str">
        <f t="shared" ref="H12:V12" si="14">IF(H11=0,"0%",H11/H5)</f>
        <v>0%</v>
      </c>
      <c r="I12" s="12" t="str">
        <f t="shared" si="14"/>
        <v>0%</v>
      </c>
      <c r="J12" s="12" t="str">
        <f t="shared" si="14"/>
        <v>0%</v>
      </c>
      <c r="K12" s="12" t="str">
        <f t="shared" si="14"/>
        <v>0%</v>
      </c>
      <c r="L12" s="12" t="str">
        <f t="shared" si="14"/>
        <v>0%</v>
      </c>
      <c r="M12" s="12" t="str">
        <f t="shared" si="14"/>
        <v>0%</v>
      </c>
      <c r="N12" s="12" t="str">
        <f t="shared" si="14"/>
        <v>0%</v>
      </c>
      <c r="O12" s="12" t="str">
        <f t="shared" si="14"/>
        <v>0%</v>
      </c>
      <c r="P12" s="12" t="str">
        <f t="shared" si="14"/>
        <v>0%</v>
      </c>
      <c r="Q12" s="12" t="str">
        <f t="shared" si="14"/>
        <v>0%</v>
      </c>
      <c r="R12" s="12" t="str">
        <f t="shared" si="14"/>
        <v>0%</v>
      </c>
      <c r="S12" s="12">
        <f t="shared" si="14"/>
        <v>4.5454545454545456E-2</v>
      </c>
      <c r="T12" s="12" t="str">
        <f t="shared" si="14"/>
        <v>0%</v>
      </c>
      <c r="U12" s="12">
        <f t="shared" si="14"/>
        <v>3.125E-2</v>
      </c>
      <c r="V12" s="12">
        <f t="shared" si="14"/>
        <v>0.125</v>
      </c>
      <c r="W12" s="12" t="str">
        <f>IF(W11=0,"0%",W11/W5)</f>
        <v>0%</v>
      </c>
      <c r="X12" s="12" t="str">
        <f t="shared" ref="X12:AK12" si="15">IF(X11=0,"0%",X11/X5)</f>
        <v>0%</v>
      </c>
      <c r="Y12" s="12" t="str">
        <f t="shared" si="15"/>
        <v>0%</v>
      </c>
      <c r="Z12" s="12" t="str">
        <f t="shared" si="15"/>
        <v>0%</v>
      </c>
      <c r="AA12" s="12" t="str">
        <f t="shared" si="15"/>
        <v>0%</v>
      </c>
      <c r="AB12" s="12" t="str">
        <f t="shared" si="15"/>
        <v>0%</v>
      </c>
      <c r="AC12" s="12" t="str">
        <f t="shared" si="15"/>
        <v>0%</v>
      </c>
      <c r="AD12" s="12" t="str">
        <f t="shared" si="15"/>
        <v>0%</v>
      </c>
      <c r="AE12" s="12" t="str">
        <f t="shared" si="15"/>
        <v>0%</v>
      </c>
      <c r="AF12" s="12" t="str">
        <f t="shared" si="15"/>
        <v>0%</v>
      </c>
      <c r="AG12" s="12" t="str">
        <f t="shared" si="15"/>
        <v>0%</v>
      </c>
      <c r="AH12" s="12" t="str">
        <f t="shared" si="15"/>
        <v>0%</v>
      </c>
      <c r="AI12" s="12" t="str">
        <f t="shared" si="15"/>
        <v>0%</v>
      </c>
      <c r="AJ12" s="12" t="str">
        <f t="shared" si="15"/>
        <v>0%</v>
      </c>
      <c r="AK12" s="12" t="str">
        <f t="shared" si="15"/>
        <v>0%</v>
      </c>
      <c r="AL12" s="8"/>
      <c r="AM12" s="11"/>
      <c r="AN12" s="12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s="3" customFormat="1" ht="18">
      <c r="A13" s="3" t="s">
        <v>28</v>
      </c>
      <c r="B13" s="3">
        <v>269</v>
      </c>
      <c r="C13" s="3">
        <v>349</v>
      </c>
      <c r="D13" s="3">
        <v>404</v>
      </c>
      <c r="E13" s="4">
        <v>454</v>
      </c>
      <c r="F13" s="4">
        <v>504</v>
      </c>
      <c r="G13" s="4">
        <v>564</v>
      </c>
      <c r="H13" s="4">
        <v>614</v>
      </c>
      <c r="I13" s="4">
        <v>664</v>
      </c>
      <c r="J13" s="4">
        <v>724</v>
      </c>
      <c r="K13" s="4">
        <v>874</v>
      </c>
      <c r="L13" s="4">
        <v>924</v>
      </c>
      <c r="M13" s="4">
        <v>924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27">
        <f t="shared" ref="Z13:AK13" si="16">$AN13/12</f>
        <v>3902.75</v>
      </c>
      <c r="AA13" s="127">
        <f t="shared" si="16"/>
        <v>3902.75</v>
      </c>
      <c r="AB13" s="127">
        <f t="shared" si="16"/>
        <v>3902.75</v>
      </c>
      <c r="AC13" s="127">
        <f t="shared" si="16"/>
        <v>3902.75</v>
      </c>
      <c r="AD13" s="127">
        <f t="shared" si="16"/>
        <v>3902.75</v>
      </c>
      <c r="AE13" s="127">
        <f t="shared" si="16"/>
        <v>3902.75</v>
      </c>
      <c r="AF13" s="127">
        <f t="shared" si="16"/>
        <v>3902.75</v>
      </c>
      <c r="AG13" s="127">
        <f t="shared" si="16"/>
        <v>3902.75</v>
      </c>
      <c r="AH13" s="127">
        <f t="shared" si="16"/>
        <v>3902.75</v>
      </c>
      <c r="AI13" s="127">
        <f t="shared" si="16"/>
        <v>3902.75</v>
      </c>
      <c r="AJ13" s="127">
        <f t="shared" si="16"/>
        <v>3902.75</v>
      </c>
      <c r="AK13" s="127">
        <f t="shared" si="16"/>
        <v>3902.75</v>
      </c>
      <c r="AL13" s="4"/>
      <c r="AM13" s="4"/>
      <c r="AN13" s="4">
        <v>46833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s="34" customFormat="1" ht="18">
      <c r="A14" s="34" t="s">
        <v>29</v>
      </c>
      <c r="E14" s="129"/>
      <c r="F14" s="129"/>
      <c r="G14" s="129"/>
      <c r="H14" s="130">
        <f>IF(H13=0,"0%",H4/H13)</f>
        <v>2.6628664495114007</v>
      </c>
      <c r="I14" s="130">
        <f t="shared" ref="I14:AN14" si="17">IF(I13=0,"0%",I4/I13)</f>
        <v>4.1987951807228914</v>
      </c>
      <c r="J14" s="130">
        <f t="shared" si="17"/>
        <v>3.882596685082873</v>
      </c>
      <c r="K14" s="130">
        <f t="shared" si="17"/>
        <v>3.1029748283752858</v>
      </c>
      <c r="L14" s="130">
        <f t="shared" si="17"/>
        <v>2.4805194805194803</v>
      </c>
      <c r="M14" s="130">
        <f t="shared" si="17"/>
        <v>2.3452380952380953</v>
      </c>
      <c r="N14" s="130" t="str">
        <f t="shared" si="17"/>
        <v>0%</v>
      </c>
      <c r="O14" s="130" t="str">
        <f t="shared" si="17"/>
        <v>0%</v>
      </c>
      <c r="P14" s="130" t="str">
        <f t="shared" si="17"/>
        <v>0%</v>
      </c>
      <c r="Q14" s="130" t="str">
        <f t="shared" si="17"/>
        <v>0%</v>
      </c>
      <c r="R14" s="130" t="str">
        <f t="shared" si="17"/>
        <v>0%</v>
      </c>
      <c r="S14" s="130" t="str">
        <f t="shared" si="17"/>
        <v>0%</v>
      </c>
      <c r="T14" s="130" t="str">
        <f t="shared" si="17"/>
        <v>0%</v>
      </c>
      <c r="U14" s="130" t="str">
        <f t="shared" si="17"/>
        <v>0%</v>
      </c>
      <c r="V14" s="130" t="str">
        <f t="shared" si="17"/>
        <v>0%</v>
      </c>
      <c r="W14" s="130" t="str">
        <f t="shared" si="17"/>
        <v>0%</v>
      </c>
      <c r="X14" s="130" t="str">
        <f t="shared" si="17"/>
        <v>0%</v>
      </c>
      <c r="Y14" s="130" t="str">
        <f t="shared" si="17"/>
        <v>0%</v>
      </c>
      <c r="Z14" s="130">
        <f>SUM($Z4:Z4)/SUM($Z13:Z13)</f>
        <v>0.56063032477099484</v>
      </c>
      <c r="AA14" s="130">
        <f>SUM($Z4:AA4)/SUM($Z13:AA13)</f>
        <v>0.58753443085004164</v>
      </c>
      <c r="AB14" s="130">
        <f>SUM($Z4:AB4)/SUM($Z13:AB13)</f>
        <v>0.60137082826212285</v>
      </c>
      <c r="AC14" s="130">
        <f>SUM($Z4:AC4)/SUM($Z13:AC13)</f>
        <v>0.62065210428543971</v>
      </c>
      <c r="AD14" s="130">
        <f>SUM($Z4:AD4)/SUM($Z13:AD13)</f>
        <v>0.49652168342835179</v>
      </c>
      <c r="AE14" s="130">
        <f>SUM($Z4:AE4)/SUM($Z13:AE13)</f>
        <v>0.41376806952362649</v>
      </c>
      <c r="AF14" s="130">
        <f>SUM($Z4:AF4)/SUM($Z13:AF13)</f>
        <v>0.35465834530596557</v>
      </c>
      <c r="AG14" s="130">
        <f>SUM($Z4:AG4)/SUM($Z13:AG13)</f>
        <v>0.31032605214271985</v>
      </c>
      <c r="AH14" s="130">
        <f>SUM($Z4:AH4)/SUM($Z13:AH13)</f>
        <v>0.27584537968241768</v>
      </c>
      <c r="AI14" s="130">
        <f>SUM($Z4:AI4)/SUM($Z13:AI13)</f>
        <v>0.24826084171417589</v>
      </c>
      <c r="AJ14" s="130">
        <f>SUM($Z4:AJ4)/SUM($Z13:AJ13)</f>
        <v>0.22569167428561446</v>
      </c>
      <c r="AK14" s="130">
        <f>SUM($Z4:AK4)/SUM($Z13:AK13)</f>
        <v>0.20688403476181325</v>
      </c>
      <c r="AL14" s="130" t="str">
        <f t="shared" si="17"/>
        <v>0%</v>
      </c>
      <c r="AM14" s="130" t="str">
        <f t="shared" si="17"/>
        <v>0%</v>
      </c>
      <c r="AN14" s="130">
        <f t="shared" si="17"/>
        <v>0.20688403476181325</v>
      </c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</row>
    <row r="15" spans="1:50" s="3" customFormat="1" ht="18">
      <c r="A15" s="117" t="s">
        <v>78</v>
      </c>
      <c r="B15" s="41">
        <v>3</v>
      </c>
      <c r="C15" s="41">
        <v>4</v>
      </c>
      <c r="D15" s="41">
        <v>4</v>
      </c>
      <c r="E15" s="14">
        <v>4</v>
      </c>
      <c r="F15" s="14">
        <v>4</v>
      </c>
      <c r="G15" s="14">
        <v>4</v>
      </c>
      <c r="H15" s="14">
        <v>5</v>
      </c>
      <c r="I15" s="14">
        <v>5</v>
      </c>
      <c r="J15" s="14">
        <v>5</v>
      </c>
      <c r="K15" s="14">
        <v>6</v>
      </c>
      <c r="L15" s="14">
        <v>7</v>
      </c>
      <c r="M15" s="14">
        <v>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126">
        <f t="shared" ref="Z15:AK15" si="18">$AN15/12</f>
        <v>37.5</v>
      </c>
      <c r="AA15" s="126">
        <f t="shared" si="18"/>
        <v>37.5</v>
      </c>
      <c r="AB15" s="126">
        <f t="shared" si="18"/>
        <v>37.5</v>
      </c>
      <c r="AC15" s="126">
        <f t="shared" si="18"/>
        <v>37.5</v>
      </c>
      <c r="AD15" s="126">
        <f t="shared" si="18"/>
        <v>37.5</v>
      </c>
      <c r="AE15" s="126">
        <f t="shared" si="18"/>
        <v>37.5</v>
      </c>
      <c r="AF15" s="126">
        <f t="shared" si="18"/>
        <v>37.5</v>
      </c>
      <c r="AG15" s="126">
        <f t="shared" si="18"/>
        <v>37.5</v>
      </c>
      <c r="AH15" s="126">
        <f t="shared" si="18"/>
        <v>37.5</v>
      </c>
      <c r="AI15" s="126">
        <f t="shared" si="18"/>
        <v>37.5</v>
      </c>
      <c r="AJ15" s="126">
        <f t="shared" si="18"/>
        <v>37.5</v>
      </c>
      <c r="AK15" s="126">
        <f t="shared" si="18"/>
        <v>37.5</v>
      </c>
      <c r="AL15" s="7"/>
      <c r="AM15" s="4"/>
      <c r="AN15" s="4">
        <v>450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s="34" customFormat="1" ht="18">
      <c r="A16" s="34" t="s">
        <v>31</v>
      </c>
      <c r="E16" s="129"/>
      <c r="F16" s="129"/>
      <c r="G16" s="129"/>
      <c r="H16" s="130">
        <f>IF(H15=0,"0%",H5/H15)</f>
        <v>4</v>
      </c>
      <c r="I16" s="130">
        <f t="shared" ref="I16:AN16" si="19">IF(I15=0,"0%",I5/I15)</f>
        <v>3.8</v>
      </c>
      <c r="J16" s="130">
        <f t="shared" si="19"/>
        <v>5.2</v>
      </c>
      <c r="K16" s="130">
        <f t="shared" si="19"/>
        <v>2.8333333333333335</v>
      </c>
      <c r="L16" s="130">
        <f t="shared" si="19"/>
        <v>2.5714285714285716</v>
      </c>
      <c r="M16" s="130">
        <f t="shared" si="19"/>
        <v>0.8571428571428571</v>
      </c>
      <c r="N16" s="130" t="str">
        <f t="shared" si="19"/>
        <v>0%</v>
      </c>
      <c r="O16" s="130" t="str">
        <f t="shared" si="19"/>
        <v>0%</v>
      </c>
      <c r="P16" s="130" t="str">
        <f t="shared" si="19"/>
        <v>0%</v>
      </c>
      <c r="Q16" s="130" t="str">
        <f t="shared" si="19"/>
        <v>0%</v>
      </c>
      <c r="R16" s="130" t="str">
        <f t="shared" si="19"/>
        <v>0%</v>
      </c>
      <c r="S16" s="130" t="str">
        <f t="shared" si="19"/>
        <v>0%</v>
      </c>
      <c r="T16" s="130" t="str">
        <f t="shared" si="19"/>
        <v>0%</v>
      </c>
      <c r="U16" s="130" t="str">
        <f t="shared" si="19"/>
        <v>0%</v>
      </c>
      <c r="V16" s="130" t="str">
        <f t="shared" si="19"/>
        <v>0%</v>
      </c>
      <c r="W16" s="130" t="str">
        <f t="shared" si="19"/>
        <v>0%</v>
      </c>
      <c r="X16" s="130" t="str">
        <f t="shared" si="19"/>
        <v>0%</v>
      </c>
      <c r="Y16" s="130" t="str">
        <f t="shared" si="19"/>
        <v>0%</v>
      </c>
      <c r="Z16" s="130">
        <f>SUM($Z5:Z5)/SUM($Z15:Z15)</f>
        <v>0.34666666666666668</v>
      </c>
      <c r="AA16" s="130">
        <f>SUM($Z5:AA5)/SUM($Z15:AA15)</f>
        <v>0.58666666666666667</v>
      </c>
      <c r="AB16" s="130">
        <f>SUM($Z5:AB5)/SUM($Z15:AB15)</f>
        <v>0.69333333333333336</v>
      </c>
      <c r="AC16" s="130">
        <f>SUM($Z5:AC5)/SUM($Z15:AC15)</f>
        <v>0.7</v>
      </c>
      <c r="AD16" s="130">
        <f>SUM($Z5:AD5)/SUM($Z15:AD15)</f>
        <v>0.56000000000000005</v>
      </c>
      <c r="AE16" s="130">
        <f>SUM($Z5:AE5)/SUM($Z15:AE15)</f>
        <v>0.46666666666666667</v>
      </c>
      <c r="AF16" s="130">
        <f>SUM($Z5:AF5)/SUM($Z15:AF15)</f>
        <v>0.4</v>
      </c>
      <c r="AG16" s="130">
        <f>SUM($Z5:AG5)/SUM($Z15:AG15)</f>
        <v>0.35</v>
      </c>
      <c r="AH16" s="130">
        <f>SUM($Z5:AH5)/SUM($Z15:AH15)</f>
        <v>0.31111111111111112</v>
      </c>
      <c r="AI16" s="130">
        <f>SUM($Z5:AI5)/SUM($Z15:AI15)</f>
        <v>0.28000000000000003</v>
      </c>
      <c r="AJ16" s="130">
        <f>SUM($Z5:AJ5)/SUM($Z15:AJ15)</f>
        <v>0.25454545454545452</v>
      </c>
      <c r="AK16" s="130">
        <f>SUM($Z5:AK5)/SUM($Z15:AK15)</f>
        <v>0.23333333333333334</v>
      </c>
      <c r="AL16" s="130" t="str">
        <f t="shared" si="19"/>
        <v>0%</v>
      </c>
      <c r="AM16" s="130" t="str">
        <f t="shared" si="19"/>
        <v>0%</v>
      </c>
      <c r="AN16" s="130">
        <f t="shared" si="19"/>
        <v>0.23333333333333334</v>
      </c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</row>
    <row r="17" spans="1:50" s="3" customFormat="1" ht="18" hidden="1">
      <c r="A17" s="3" t="s">
        <v>32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4" cm="1">
        <f t="array" ref="N17">ROUNDUP(SUM(($D$5:$M$5)*1.2)/12,0)</f>
        <v>14</v>
      </c>
      <c r="O17" s="4" cm="1">
        <f t="array" ref="O17">ROUNDUP(SUM(($D$5:$M$5)*1.2)/12,0)</f>
        <v>14</v>
      </c>
      <c r="P17" s="4" cm="1">
        <f t="array" ref="P17">ROUNDUP(SUM(($D$5:$M$5)*1.2)/12,0)</f>
        <v>14</v>
      </c>
      <c r="Q17" s="4" cm="1">
        <f t="array" ref="Q17">ROUNDUP(SUM(($D$5:$M$5)*1.2)/12,0)</f>
        <v>14</v>
      </c>
      <c r="R17" s="4" cm="1">
        <f t="array" ref="R17">ROUNDUP(SUM(($D$5:$M$5)*1.2)/12,0)</f>
        <v>14</v>
      </c>
      <c r="S17" s="4" cm="1">
        <f t="array" ref="S17">ROUNDUP(SUM(($D$5:$M$5)*1.2)/12,0)</f>
        <v>14</v>
      </c>
      <c r="T17" s="4" cm="1">
        <f t="array" ref="T17">ROUNDUP(SUM(($D$5:$M$5)*1.2)/12,0)</f>
        <v>14</v>
      </c>
      <c r="U17" s="4" cm="1">
        <f t="array" ref="U17">ROUNDUP(SUM(($D$5:$M$5)*1.2)/12,0)</f>
        <v>14</v>
      </c>
      <c r="V17" s="4" cm="1">
        <f t="array" ref="V17">ROUNDUP(SUM(($D$5:$M$5)*1.2)/12,0)</f>
        <v>14</v>
      </c>
      <c r="W17" s="4" cm="1">
        <f t="array" ref="W17">ROUNDUP(SUM(($D$5:$M$5)*1.2)/12,0)</f>
        <v>14</v>
      </c>
      <c r="X17" s="4" cm="1">
        <f t="array" ref="X17">ROUNDUP(SUM(($D$5:$M$5)*1.2)/12,0)</f>
        <v>14</v>
      </c>
      <c r="Y17" s="4" cm="1">
        <f t="array" ref="Y17">ROUNDUP(SUM(($D$5:$M$5)*1.2)/12,0)</f>
        <v>14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8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s="3" customFormat="1" ht="18" hidden="1">
      <c r="A18" s="3" t="s">
        <v>33</v>
      </c>
      <c r="B18" s="7"/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4">
        <f>27.89/12</f>
        <v>2.3241666666666667</v>
      </c>
      <c r="O18" s="4">
        <f t="shared" ref="O18:Y18" si="20">27.89/12</f>
        <v>2.3241666666666667</v>
      </c>
      <c r="P18" s="4">
        <f t="shared" si="20"/>
        <v>2.3241666666666667</v>
      </c>
      <c r="Q18" s="4">
        <f t="shared" si="20"/>
        <v>2.3241666666666667</v>
      </c>
      <c r="R18" s="4">
        <f t="shared" si="20"/>
        <v>2.3241666666666667</v>
      </c>
      <c r="S18" s="4">
        <f t="shared" si="20"/>
        <v>2.3241666666666667</v>
      </c>
      <c r="T18" s="4">
        <f t="shared" si="20"/>
        <v>2.3241666666666667</v>
      </c>
      <c r="U18" s="4">
        <f t="shared" si="20"/>
        <v>2.3241666666666667</v>
      </c>
      <c r="V18" s="4">
        <f t="shared" si="20"/>
        <v>2.3241666666666667</v>
      </c>
      <c r="W18" s="4">
        <f t="shared" si="20"/>
        <v>2.3241666666666667</v>
      </c>
      <c r="X18" s="4">
        <f t="shared" si="20"/>
        <v>2.3241666666666667</v>
      </c>
      <c r="Y18" s="4">
        <f t="shared" si="20"/>
        <v>2.3241666666666667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8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s="3" customFormat="1" ht="18" hidden="1">
      <c r="A19" s="3" t="s">
        <v>34</v>
      </c>
      <c r="B19" s="7"/>
      <c r="C19" s="7"/>
      <c r="D19" s="7"/>
      <c r="E19" s="8"/>
      <c r="F19" s="8"/>
      <c r="G19" s="8"/>
      <c r="H19" s="8"/>
      <c r="I19" s="8"/>
      <c r="J19" s="8"/>
      <c r="K19" s="8"/>
      <c r="L19" s="8"/>
      <c r="M19" s="8"/>
      <c r="N19" s="4">
        <f>ROUNDUP(248/12,0)</f>
        <v>21</v>
      </c>
      <c r="O19" s="4">
        <f t="shared" ref="O19:Y19" si="21">ROUNDUP(248/12,0)</f>
        <v>21</v>
      </c>
      <c r="P19" s="4">
        <f t="shared" si="21"/>
        <v>21</v>
      </c>
      <c r="Q19" s="4">
        <f t="shared" si="21"/>
        <v>21</v>
      </c>
      <c r="R19" s="4">
        <f t="shared" si="21"/>
        <v>21</v>
      </c>
      <c r="S19" s="4">
        <f t="shared" si="21"/>
        <v>21</v>
      </c>
      <c r="T19" s="4">
        <f t="shared" si="21"/>
        <v>21</v>
      </c>
      <c r="U19" s="4">
        <f t="shared" si="21"/>
        <v>21</v>
      </c>
      <c r="V19" s="4">
        <f t="shared" si="21"/>
        <v>21</v>
      </c>
      <c r="W19" s="4">
        <f t="shared" si="21"/>
        <v>21</v>
      </c>
      <c r="X19" s="4">
        <f t="shared" si="21"/>
        <v>21</v>
      </c>
      <c r="Y19" s="4">
        <f t="shared" si="21"/>
        <v>21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8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s="3" customFormat="1" ht="18" hidden="1">
      <c r="A20" s="3" t="s">
        <v>35</v>
      </c>
      <c r="B20" s="7"/>
      <c r="C20" s="7"/>
      <c r="D20" s="7"/>
      <c r="E20" s="8"/>
      <c r="F20" s="8"/>
      <c r="G20" s="8"/>
      <c r="H20" s="8"/>
      <c r="I20" s="8"/>
      <c r="J20" s="8"/>
      <c r="K20" s="8"/>
      <c r="L20" s="8"/>
      <c r="M20" s="8"/>
      <c r="N20" s="4">
        <f>AVERAGE(N17:N19)</f>
        <v>12.441388888888889</v>
      </c>
      <c r="O20" s="4">
        <f t="shared" ref="O20:Y20" si="22">AVERAGE(O17:O19)</f>
        <v>12.441388888888889</v>
      </c>
      <c r="P20" s="4">
        <f t="shared" si="22"/>
        <v>12.441388888888889</v>
      </c>
      <c r="Q20" s="4">
        <f t="shared" si="22"/>
        <v>12.441388888888889</v>
      </c>
      <c r="R20" s="4">
        <f t="shared" si="22"/>
        <v>12.441388888888889</v>
      </c>
      <c r="S20" s="4">
        <f t="shared" si="22"/>
        <v>12.441388888888889</v>
      </c>
      <c r="T20" s="4">
        <f t="shared" si="22"/>
        <v>12.441388888888889</v>
      </c>
      <c r="U20" s="4">
        <f t="shared" si="22"/>
        <v>12.441388888888889</v>
      </c>
      <c r="V20" s="4">
        <f t="shared" si="22"/>
        <v>12.441388888888889</v>
      </c>
      <c r="W20" s="4">
        <f>AVERAGE(W17:W19)</f>
        <v>12.441388888888889</v>
      </c>
      <c r="X20" s="4">
        <f t="shared" si="22"/>
        <v>12.441388888888889</v>
      </c>
      <c r="Y20" s="4">
        <f t="shared" si="22"/>
        <v>12.441388888888889</v>
      </c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8"/>
      <c r="AM20" s="4"/>
      <c r="AN20" s="39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s="7" customFormat="1" ht="18" hidden="1">
      <c r="A21" s="7" t="s">
        <v>36</v>
      </c>
      <c r="B21" s="7">
        <v>1.3</v>
      </c>
      <c r="C21" s="7">
        <v>2.2999999999999998</v>
      </c>
      <c r="D21" s="7">
        <v>3</v>
      </c>
      <c r="E21" s="8">
        <v>3.4</v>
      </c>
      <c r="F21" s="8">
        <v>3.9</v>
      </c>
      <c r="G21" s="8">
        <v>4.3</v>
      </c>
      <c r="H21" s="8">
        <v>4.5999999999999996</v>
      </c>
      <c r="I21" s="8">
        <v>4.9000000000000004</v>
      </c>
      <c r="J21" s="8">
        <v>5.2</v>
      </c>
      <c r="K21" s="8">
        <v>6.2</v>
      </c>
      <c r="L21" s="8">
        <v>6.2</v>
      </c>
      <c r="M21" s="8">
        <v>6.2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s="3" customFormat="1" ht="18">
      <c r="A22" s="117" t="s">
        <v>37</v>
      </c>
      <c r="B22" s="41">
        <v>0.5</v>
      </c>
      <c r="C22" s="41">
        <v>0.8</v>
      </c>
      <c r="D22" s="41">
        <v>0.9</v>
      </c>
      <c r="E22" s="14">
        <v>1.1000000000000001</v>
      </c>
      <c r="F22" s="14">
        <v>1.2</v>
      </c>
      <c r="G22" s="14">
        <v>1.3</v>
      </c>
      <c r="H22" s="14">
        <v>1.4</v>
      </c>
      <c r="I22" s="14">
        <v>1.5</v>
      </c>
      <c r="J22" s="14">
        <v>1.6</v>
      </c>
      <c r="K22" s="14">
        <v>1.9</v>
      </c>
      <c r="L22" s="14">
        <v>1.9</v>
      </c>
      <c r="M22" s="14">
        <v>1.9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126">
        <f t="shared" ref="Z22:AK22" si="23">$AN22/12</f>
        <v>2.5</v>
      </c>
      <c r="AA22" s="126">
        <f t="shared" si="23"/>
        <v>2.5</v>
      </c>
      <c r="AB22" s="126">
        <f t="shared" si="23"/>
        <v>2.5</v>
      </c>
      <c r="AC22" s="126">
        <f t="shared" si="23"/>
        <v>2.5</v>
      </c>
      <c r="AD22" s="126">
        <f t="shared" si="23"/>
        <v>2.5</v>
      </c>
      <c r="AE22" s="126">
        <f t="shared" si="23"/>
        <v>2.5</v>
      </c>
      <c r="AF22" s="126">
        <f t="shared" si="23"/>
        <v>2.5</v>
      </c>
      <c r="AG22" s="126">
        <f t="shared" si="23"/>
        <v>2.5</v>
      </c>
      <c r="AH22" s="126">
        <f t="shared" si="23"/>
        <v>2.5</v>
      </c>
      <c r="AI22" s="126">
        <f t="shared" si="23"/>
        <v>2.5</v>
      </c>
      <c r="AJ22" s="126">
        <f t="shared" si="23"/>
        <v>2.5</v>
      </c>
      <c r="AK22" s="126">
        <f t="shared" si="23"/>
        <v>2.5</v>
      </c>
      <c r="AL22" s="8"/>
      <c r="AM22" s="4"/>
      <c r="AN22" s="4">
        <v>30</v>
      </c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s="34" customFormat="1" ht="18">
      <c r="A23" s="34" t="s">
        <v>38</v>
      </c>
      <c r="E23" s="129"/>
      <c r="F23" s="129"/>
      <c r="G23" s="129"/>
      <c r="H23" s="130">
        <f>IF(H15=0,"0%",H9/H22)</f>
        <v>0</v>
      </c>
      <c r="I23" s="130">
        <f t="shared" ref="I23:AN23" si="24">IF(I15=0,"0%",I9/I22)</f>
        <v>0</v>
      </c>
      <c r="J23" s="130">
        <f t="shared" si="24"/>
        <v>0</v>
      </c>
      <c r="K23" s="130">
        <f t="shared" si="24"/>
        <v>1.0526315789473684</v>
      </c>
      <c r="L23" s="130">
        <f t="shared" si="24"/>
        <v>0</v>
      </c>
      <c r="M23" s="130">
        <f t="shared" si="24"/>
        <v>0</v>
      </c>
      <c r="N23" s="130" t="str">
        <f t="shared" si="24"/>
        <v>0%</v>
      </c>
      <c r="O23" s="130" t="str">
        <f t="shared" si="24"/>
        <v>0%</v>
      </c>
      <c r="P23" s="130" t="str">
        <f t="shared" si="24"/>
        <v>0%</v>
      </c>
      <c r="Q23" s="130" t="str">
        <f t="shared" si="24"/>
        <v>0%</v>
      </c>
      <c r="R23" s="130" t="str">
        <f t="shared" si="24"/>
        <v>0%</v>
      </c>
      <c r="S23" s="130" t="str">
        <f t="shared" si="24"/>
        <v>0%</v>
      </c>
      <c r="T23" s="130" t="str">
        <f t="shared" si="24"/>
        <v>0%</v>
      </c>
      <c r="U23" s="130" t="str">
        <f t="shared" si="24"/>
        <v>0%</v>
      </c>
      <c r="V23" s="130" t="str">
        <f t="shared" si="24"/>
        <v>0%</v>
      </c>
      <c r="W23" s="130" t="str">
        <f t="shared" si="24"/>
        <v>0%</v>
      </c>
      <c r="X23" s="130" t="str">
        <f t="shared" si="24"/>
        <v>0%</v>
      </c>
      <c r="Y23" s="130" t="str">
        <f t="shared" si="24"/>
        <v>0%</v>
      </c>
      <c r="Z23" s="130">
        <f>SUM($Z9:Z9)/SUM($Z22:Z22)</f>
        <v>0.4</v>
      </c>
      <c r="AA23" s="130">
        <f>SUM($Z9:AA9)/SUM($Z22:AA22)</f>
        <v>0.6</v>
      </c>
      <c r="AB23" s="130">
        <f>SUM($Z9:AB9)/SUM($Z22:AB22)</f>
        <v>0.4</v>
      </c>
      <c r="AC23" s="130">
        <f>SUM($Z9:AC9)/SUM($Z22:AC22)</f>
        <v>0.5</v>
      </c>
      <c r="AD23" s="130">
        <f>SUM($Z9:AD9)/SUM($Z22:AD22)</f>
        <v>0.4</v>
      </c>
      <c r="AE23" s="130">
        <f>SUM($Z9:AE9)/SUM($Z22:AE22)</f>
        <v>0.33333333333333331</v>
      </c>
      <c r="AF23" s="130">
        <f>SUM($Z9:AF9)/SUM($Z22:AF22)</f>
        <v>0.2857142857142857</v>
      </c>
      <c r="AG23" s="130">
        <f>SUM($Z9:AG9)/SUM($Z22:AG22)</f>
        <v>0.25</v>
      </c>
      <c r="AH23" s="130">
        <f>SUM($Z9:AH9)/SUM($Z22:AH22)</f>
        <v>0.22222222222222221</v>
      </c>
      <c r="AI23" s="130">
        <f>SUM($Z9:AI9)/SUM($Z22:AI22)</f>
        <v>0.2</v>
      </c>
      <c r="AJ23" s="130">
        <f>SUM($Z9:AJ9)/SUM($Z22:AJ22)</f>
        <v>0.18181818181818182</v>
      </c>
      <c r="AK23" s="130">
        <f>SUM($Z9:AK9)/SUM($Z22:AK22)</f>
        <v>0.16666666666666666</v>
      </c>
      <c r="AL23" s="130" t="str">
        <f t="shared" si="24"/>
        <v>0%</v>
      </c>
      <c r="AM23" s="130" t="str">
        <f t="shared" si="24"/>
        <v>0%</v>
      </c>
      <c r="AN23" s="130">
        <f t="shared" si="24"/>
        <v>0.16666666666666666</v>
      </c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</row>
    <row r="24" spans="1:50" s="3" customFormat="1" ht="18" hidden="1">
      <c r="A24" s="3" t="s">
        <v>39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4" cm="1">
        <f t="array" ref="N24">ROUNDUP(SUM(($D$9:$M$9)*1.2)/12,0)</f>
        <v>1</v>
      </c>
      <c r="O24" s="4" cm="1">
        <f t="array" ref="O24">ROUNDUP(SUM(($D$9:$M$9)*1.2)/12,0)</f>
        <v>1</v>
      </c>
      <c r="P24" s="4" cm="1">
        <f t="array" ref="P24">ROUNDUP(SUM(($D$9:$M$9)*1.2)/12,0)</f>
        <v>1</v>
      </c>
      <c r="Q24" s="4" cm="1">
        <f t="array" ref="Q24">ROUNDUP(SUM(($D$9:$M$9)*1.2)/12,0)</f>
        <v>1</v>
      </c>
      <c r="R24" s="4" cm="1">
        <f t="array" ref="R24">ROUNDUP(SUM(($D$9:$M$9)*1.2)/12,0)</f>
        <v>1</v>
      </c>
      <c r="S24" s="4" cm="1">
        <f t="array" ref="S24">ROUNDUP(SUM(($D$9:$M$9)*1.2)/12,0)</f>
        <v>1</v>
      </c>
      <c r="T24" s="4" cm="1">
        <f t="array" ref="T24">ROUNDUP(SUM(($D$9:$M$9)*1.2)/12,0)</f>
        <v>1</v>
      </c>
      <c r="U24" s="4" cm="1">
        <f t="array" ref="U24">ROUNDUP(SUM(($D$9:$M$9)*1.2)/12,0)</f>
        <v>1</v>
      </c>
      <c r="V24" s="4" cm="1">
        <f t="array" ref="V24">ROUNDUP(SUM(($D$9:$M$9)*1.2)/12,0)</f>
        <v>1</v>
      </c>
      <c r="W24" s="4" cm="1">
        <f t="array" ref="W24">ROUNDUP(SUM(($D$9:$M$9)*1.2)/12,0)</f>
        <v>1</v>
      </c>
      <c r="X24" s="4" cm="1">
        <f t="array" ref="X24">ROUNDUP(SUM(($D$9:$M$9)*1.2)/12,0)</f>
        <v>1</v>
      </c>
      <c r="Y24" s="4" cm="1">
        <f t="array" ref="Y24">ROUNDUP(SUM(($D$9:$M$9)*1.2)/12,0)</f>
        <v>1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7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s="3" customFormat="1" ht="18" hidden="1">
      <c r="A25" s="3" t="s">
        <v>40</v>
      </c>
      <c r="B25" s="7"/>
      <c r="C25" s="7"/>
      <c r="D25" s="7"/>
      <c r="E25" s="8"/>
      <c r="F25" s="8"/>
      <c r="G25" s="8"/>
      <c r="H25" s="8"/>
      <c r="I25" s="8"/>
      <c r="J25" s="8"/>
      <c r="K25" s="8"/>
      <c r="L25" s="8"/>
      <c r="M25" s="8"/>
      <c r="N25" s="4">
        <f>N18*0*1.2</f>
        <v>0</v>
      </c>
      <c r="O25" s="4">
        <f t="shared" ref="O25:Y25" si="25">O18*0*1.2</f>
        <v>0</v>
      </c>
      <c r="P25" s="4">
        <f t="shared" si="25"/>
        <v>0</v>
      </c>
      <c r="Q25" s="4">
        <f t="shared" si="25"/>
        <v>0</v>
      </c>
      <c r="R25" s="4">
        <f t="shared" si="25"/>
        <v>0</v>
      </c>
      <c r="S25" s="4">
        <f t="shared" si="25"/>
        <v>0</v>
      </c>
      <c r="T25" s="4">
        <f t="shared" si="25"/>
        <v>0</v>
      </c>
      <c r="U25" s="4">
        <f t="shared" si="25"/>
        <v>0</v>
      </c>
      <c r="V25" s="4">
        <f t="shared" si="25"/>
        <v>0</v>
      </c>
      <c r="W25" s="4">
        <f>W18*0*1.2</f>
        <v>0</v>
      </c>
      <c r="X25" s="4">
        <f t="shared" si="25"/>
        <v>0</v>
      </c>
      <c r="Y25" s="4">
        <f t="shared" si="25"/>
        <v>0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8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s="3" customFormat="1" ht="18" hidden="1">
      <c r="A26" s="3" t="s">
        <v>41</v>
      </c>
      <c r="B26" s="7"/>
      <c r="C26" s="7"/>
      <c r="D26" s="7"/>
      <c r="E26" s="8"/>
      <c r="F26" s="8"/>
      <c r="G26" s="8"/>
      <c r="H26" s="8"/>
      <c r="I26" s="8"/>
      <c r="J26" s="8"/>
      <c r="K26" s="8"/>
      <c r="L26" s="8"/>
      <c r="M26" s="8"/>
      <c r="N26" s="4">
        <f>ROUNDUP(13/12,0)</f>
        <v>2</v>
      </c>
      <c r="O26" s="4">
        <f t="shared" ref="O26:Y26" si="26">ROUNDUP(13/12,0)</f>
        <v>2</v>
      </c>
      <c r="P26" s="4">
        <f t="shared" si="26"/>
        <v>2</v>
      </c>
      <c r="Q26" s="4">
        <f t="shared" si="26"/>
        <v>2</v>
      </c>
      <c r="R26" s="4">
        <f t="shared" si="26"/>
        <v>2</v>
      </c>
      <c r="S26" s="4">
        <f t="shared" si="26"/>
        <v>2</v>
      </c>
      <c r="T26" s="4">
        <f t="shared" si="26"/>
        <v>2</v>
      </c>
      <c r="U26" s="4">
        <f t="shared" si="26"/>
        <v>2</v>
      </c>
      <c r="V26" s="4">
        <f t="shared" si="26"/>
        <v>2</v>
      </c>
      <c r="W26" s="4">
        <f t="shared" si="26"/>
        <v>2</v>
      </c>
      <c r="X26" s="4">
        <f t="shared" si="26"/>
        <v>2</v>
      </c>
      <c r="Y26" s="4">
        <f t="shared" si="26"/>
        <v>2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8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s="3" customFormat="1" ht="18" hidden="1">
      <c r="A27" s="3" t="s">
        <v>42</v>
      </c>
      <c r="B27" s="7"/>
      <c r="C27" s="7"/>
      <c r="D27" s="7"/>
      <c r="E27" s="8"/>
      <c r="F27" s="8"/>
      <c r="G27" s="8"/>
      <c r="H27" s="8"/>
      <c r="I27" s="8"/>
      <c r="J27" s="8"/>
      <c r="K27" s="8"/>
      <c r="L27" s="8"/>
      <c r="M27" s="8"/>
      <c r="N27" s="4">
        <f>AVERAGE(N22:N26)</f>
        <v>1</v>
      </c>
      <c r="O27" s="4">
        <f t="shared" ref="O27:Y27" si="27">AVERAGE(O22:O26)</f>
        <v>1</v>
      </c>
      <c r="P27" s="4">
        <f t="shared" si="27"/>
        <v>1</v>
      </c>
      <c r="Q27" s="4">
        <f t="shared" si="27"/>
        <v>1</v>
      </c>
      <c r="R27" s="4">
        <f t="shared" si="27"/>
        <v>1</v>
      </c>
      <c r="S27" s="4">
        <f t="shared" si="27"/>
        <v>1</v>
      </c>
      <c r="T27" s="4">
        <f t="shared" si="27"/>
        <v>1</v>
      </c>
      <c r="U27" s="4">
        <f t="shared" si="27"/>
        <v>1</v>
      </c>
      <c r="V27" s="4">
        <f t="shared" si="27"/>
        <v>1</v>
      </c>
      <c r="W27" s="4">
        <f>AVERAGE(W22:W26)</f>
        <v>1</v>
      </c>
      <c r="X27" s="4">
        <f t="shared" si="27"/>
        <v>1</v>
      </c>
      <c r="Y27" s="4">
        <f t="shared" si="27"/>
        <v>1</v>
      </c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8"/>
      <c r="AM27" s="4"/>
      <c r="AN27" s="39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s="3" customFormat="1" ht="18">
      <c r="A28" s="3" t="s">
        <v>72</v>
      </c>
      <c r="E28" s="4"/>
      <c r="F28" s="4"/>
      <c r="G28" s="4"/>
      <c r="H28" s="4"/>
      <c r="I28" s="4"/>
      <c r="J28" s="4"/>
      <c r="K28" s="4"/>
      <c r="L28" s="4"/>
      <c r="M28" s="4"/>
      <c r="N28" s="86">
        <v>1287500</v>
      </c>
      <c r="O28" s="86">
        <v>1287500</v>
      </c>
      <c r="P28" s="86">
        <v>1175000</v>
      </c>
      <c r="Q28" s="86">
        <v>1175000</v>
      </c>
      <c r="R28" s="86">
        <v>1175000</v>
      </c>
      <c r="S28" s="86">
        <v>1175000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8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s="95" customFormat="1" ht="18">
      <c r="A29" s="95" t="s">
        <v>73</v>
      </c>
      <c r="B29" s="96" t="e">
        <f>SUM(#REF!,#REF!,#REF!)</f>
        <v>#REF!</v>
      </c>
      <c r="C29" s="96" t="e">
        <f>SUM(#REF!,#REF!,#REF!)</f>
        <v>#REF!</v>
      </c>
      <c r="D29" s="96" t="e">
        <f>SUM(#REF!,#REF!,#REF!)</f>
        <v>#REF!</v>
      </c>
      <c r="E29" s="96" t="e">
        <f>SUM(#REF!,#REF!,#REF!)</f>
        <v>#REF!</v>
      </c>
      <c r="F29" s="96" t="e">
        <f>SUM(#REF!,#REF!,#REF!)</f>
        <v>#REF!</v>
      </c>
      <c r="G29" s="96" t="e">
        <f>SUM(#REF!,#REF!,#REF!)</f>
        <v>#REF!</v>
      </c>
      <c r="H29" s="96" t="e">
        <f>SUM(#REF!,#REF!,#REF!)</f>
        <v>#REF!</v>
      </c>
      <c r="I29" s="96" t="e">
        <f>SUM(#REF!,#REF!,#REF!)</f>
        <v>#REF!</v>
      </c>
      <c r="J29" s="96" t="e">
        <f>SUM(#REF!,#REF!,#REF!)</f>
        <v>#REF!</v>
      </c>
      <c r="K29" s="96" t="e">
        <f>SUM(#REF!,#REF!,#REF!)</f>
        <v>#REF!</v>
      </c>
      <c r="L29" s="96" t="e">
        <f>SUM(#REF!,#REF!,#REF!)</f>
        <v>#REF!</v>
      </c>
      <c r="M29" s="96" t="e">
        <f>SUM(#REF!,#REF!,#REF!)</f>
        <v>#REF!</v>
      </c>
      <c r="N29" s="98">
        <f>SUM(N30:N37)</f>
        <v>878684</v>
      </c>
      <c r="O29" s="98">
        <f>SUM(O30:O37)</f>
        <v>887857</v>
      </c>
      <c r="P29" s="98">
        <f t="shared" ref="P29:Y29" si="28">SUM(P30:P37)</f>
        <v>576813</v>
      </c>
      <c r="Q29" s="98">
        <f t="shared" si="28"/>
        <v>532550</v>
      </c>
      <c r="R29" s="98">
        <f t="shared" si="28"/>
        <v>583628</v>
      </c>
      <c r="S29" s="98">
        <f t="shared" si="28"/>
        <v>567854</v>
      </c>
      <c r="T29" s="98">
        <f t="shared" si="28"/>
        <v>1319185</v>
      </c>
      <c r="U29" s="98">
        <f t="shared" si="28"/>
        <v>504760</v>
      </c>
      <c r="V29" s="98">
        <f t="shared" si="28"/>
        <v>475838</v>
      </c>
      <c r="W29" s="98">
        <f>SUM(W30:W37)</f>
        <v>721733</v>
      </c>
      <c r="X29" s="98">
        <f t="shared" si="28"/>
        <v>645539</v>
      </c>
      <c r="Y29" s="98">
        <f t="shared" si="28"/>
        <v>573303</v>
      </c>
      <c r="Z29" s="98">
        <f t="shared" ref="Z29:AK29" si="29">SUM(Z30:Z37)</f>
        <v>635990</v>
      </c>
      <c r="AA29" s="98">
        <f t="shared" si="29"/>
        <v>551077</v>
      </c>
      <c r="AB29" s="98">
        <f t="shared" si="29"/>
        <v>552213</v>
      </c>
      <c r="AC29" s="98">
        <f t="shared" si="29"/>
        <v>403195</v>
      </c>
      <c r="AD29" s="98">
        <f t="shared" si="29"/>
        <v>255000</v>
      </c>
      <c r="AE29" s="98">
        <f t="shared" si="29"/>
        <v>255000</v>
      </c>
      <c r="AF29" s="98">
        <f t="shared" si="29"/>
        <v>255000</v>
      </c>
      <c r="AG29" s="98">
        <f t="shared" si="29"/>
        <v>255000</v>
      </c>
      <c r="AH29" s="98">
        <f t="shared" si="29"/>
        <v>255000</v>
      </c>
      <c r="AI29" s="98">
        <f t="shared" si="29"/>
        <v>255000</v>
      </c>
      <c r="AJ29" s="98">
        <f t="shared" si="29"/>
        <v>255000</v>
      </c>
      <c r="AK29" s="98">
        <f t="shared" si="29"/>
        <v>255000</v>
      </c>
      <c r="AL29" s="102" t="e">
        <f>SUM(B29:M29)</f>
        <v>#REF!</v>
      </c>
      <c r="AM29" s="98">
        <f>SUM(N29:Y29)</f>
        <v>8267744</v>
      </c>
      <c r="AN29" s="98">
        <f>SUM(Z29:AK29)</f>
        <v>4182475</v>
      </c>
      <c r="AO29" s="97"/>
      <c r="AP29" s="97"/>
      <c r="AQ29" s="97"/>
      <c r="AR29" s="97"/>
      <c r="AS29" s="97"/>
      <c r="AT29" s="97"/>
      <c r="AU29" s="97"/>
      <c r="AV29" s="97"/>
      <c r="AW29" s="97"/>
      <c r="AX29" s="97"/>
    </row>
    <row r="30" spans="1:50" ht="18">
      <c r="A30" s="91" t="s">
        <v>45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9">
        <f>'[2]2025'!Z$71</f>
        <v>220000</v>
      </c>
      <c r="O30" s="99">
        <f>'[2]2025'!AA$71</f>
        <v>220000</v>
      </c>
      <c r="P30" s="99">
        <f>'[2]2025'!AB$71</f>
        <v>0</v>
      </c>
      <c r="Q30" s="99">
        <f>'[2]2025'!AC$71</f>
        <v>0</v>
      </c>
      <c r="R30" s="99">
        <f>'[2]2025'!AD$71</f>
        <v>0</v>
      </c>
      <c r="S30" s="99">
        <f>'[2]2025'!AE$71</f>
        <v>55000</v>
      </c>
      <c r="T30" s="99">
        <f>'[2]2025'!AF$71</f>
        <v>55000</v>
      </c>
      <c r="U30" s="99">
        <f>'[2]2025'!AG$71</f>
        <v>0</v>
      </c>
      <c r="V30" s="99">
        <f>'[2]2025'!AH$71</f>
        <v>0</v>
      </c>
      <c r="W30" s="99">
        <f>'[2]2025'!AI$71</f>
        <v>220000</v>
      </c>
      <c r="X30" s="99">
        <f>'[2]2025'!AJ$71</f>
        <v>110000</v>
      </c>
      <c r="Y30" s="99">
        <f>'[2]2025'!AK$71</f>
        <v>0</v>
      </c>
      <c r="Z30" s="99">
        <f>'[2]2026'!F$8</f>
        <v>246000</v>
      </c>
      <c r="AA30" s="99">
        <f>'[2]2026'!G$8</f>
        <v>78000</v>
      </c>
      <c r="AB30" s="99">
        <f>'[2]2026'!H$8</f>
        <v>78000</v>
      </c>
      <c r="AC30" s="99">
        <f>'[2]2026'!I$8</f>
        <v>0</v>
      </c>
      <c r="AD30" s="99">
        <f>'[2]2026'!J$8</f>
        <v>0</v>
      </c>
      <c r="AE30" s="99">
        <f>'[2]2026'!K$8</f>
        <v>0</v>
      </c>
      <c r="AF30" s="99">
        <f>'[2]2026'!L$8</f>
        <v>0</v>
      </c>
      <c r="AG30" s="99">
        <f>'[2]2026'!M$8</f>
        <v>0</v>
      </c>
      <c r="AH30" s="99">
        <f>'[2]2026'!N$8</f>
        <v>0</v>
      </c>
      <c r="AI30" s="99">
        <f>'[2]2026'!O$8</f>
        <v>0</v>
      </c>
      <c r="AJ30" s="99">
        <f>'[2]2026'!P$8</f>
        <v>0</v>
      </c>
      <c r="AK30" s="99">
        <f>'[2]2026'!Q$8</f>
        <v>0</v>
      </c>
      <c r="AL30" s="103"/>
      <c r="AM30" s="98">
        <f t="shared" ref="AM30:AM37" si="30">SUM(N30:Y30)</f>
        <v>880000</v>
      </c>
      <c r="AN30" s="98">
        <f t="shared" ref="AN30:AN37" si="31">SUM(Z30:AK30)</f>
        <v>402000</v>
      </c>
      <c r="AO30" s="93"/>
      <c r="AP30" s="93"/>
      <c r="AQ30" s="93"/>
      <c r="AR30" s="93"/>
      <c r="AS30" s="93"/>
      <c r="AT30" s="93"/>
      <c r="AU30" s="93"/>
      <c r="AV30" s="93"/>
      <c r="AW30" s="93"/>
      <c r="AX30" s="93"/>
    </row>
    <row r="31" spans="1:50" ht="18">
      <c r="A31" s="91" t="s">
        <v>46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9">
        <f>'[2]2025'!Z$126</f>
        <v>30000</v>
      </c>
      <c r="O31" s="99">
        <f>'[2]2025'!AA$126</f>
        <v>60000</v>
      </c>
      <c r="P31" s="99">
        <f>'[2]2025'!AB$126</f>
        <v>60000</v>
      </c>
      <c r="Q31" s="99">
        <f>'[2]2025'!AC$126</f>
        <v>0</v>
      </c>
      <c r="R31" s="99">
        <f>'[2]2025'!AD$126</f>
        <v>60000</v>
      </c>
      <c r="S31" s="99">
        <f>'[2]2025'!AE$126</f>
        <v>0</v>
      </c>
      <c r="T31" s="99">
        <f>'[2]2025'!AF$126</f>
        <v>30000</v>
      </c>
      <c r="U31" s="99">
        <f>'[2]2025'!AG$126</f>
        <v>30000</v>
      </c>
      <c r="V31" s="99">
        <f>'[2]2025'!AH$126</f>
        <v>0</v>
      </c>
      <c r="W31" s="99">
        <f>'[2]2025'!AI$126</f>
        <v>45000</v>
      </c>
      <c r="X31" s="99">
        <f>'[2]2025'!AJ$126</f>
        <v>75000</v>
      </c>
      <c r="Y31" s="99">
        <f>'[2]2025'!AK$126</f>
        <v>90000</v>
      </c>
      <c r="Z31" s="99">
        <f>'[2]2026'!F$75</f>
        <v>0</v>
      </c>
      <c r="AA31" s="99">
        <f>'[2]2026'!G$75</f>
        <v>88000</v>
      </c>
      <c r="AB31" s="99">
        <f>'[2]2026'!H$75</f>
        <v>86000</v>
      </c>
      <c r="AC31" s="99">
        <f>'[2]2026'!I$75</f>
        <v>0</v>
      </c>
      <c r="AD31" s="99">
        <f>'[2]2026'!J$75</f>
        <v>0</v>
      </c>
      <c r="AE31" s="99">
        <f>'[2]2026'!K$75</f>
        <v>0</v>
      </c>
      <c r="AF31" s="99">
        <f>'[2]2026'!L$75</f>
        <v>0</v>
      </c>
      <c r="AG31" s="99">
        <f>'[2]2026'!M$75</f>
        <v>0</v>
      </c>
      <c r="AH31" s="99">
        <f>'[2]2026'!N$75</f>
        <v>0</v>
      </c>
      <c r="AI31" s="99">
        <f>'[2]2026'!O$75</f>
        <v>0</v>
      </c>
      <c r="AJ31" s="99">
        <f>'[2]2026'!P$75</f>
        <v>0</v>
      </c>
      <c r="AK31" s="99">
        <f>'[2]2026'!Q$75</f>
        <v>0</v>
      </c>
      <c r="AL31" s="103"/>
      <c r="AM31" s="98">
        <f t="shared" si="30"/>
        <v>480000</v>
      </c>
      <c r="AN31" s="98">
        <f t="shared" si="31"/>
        <v>174000</v>
      </c>
      <c r="AO31" s="93"/>
      <c r="AP31" s="93"/>
      <c r="AQ31" s="93"/>
      <c r="AR31" s="93"/>
      <c r="AS31" s="93"/>
      <c r="AT31" s="93"/>
      <c r="AU31" s="93"/>
      <c r="AV31" s="93"/>
      <c r="AW31" s="93"/>
      <c r="AX31" s="93"/>
    </row>
    <row r="32" spans="1:50" ht="18">
      <c r="A32" s="91" t="s">
        <v>47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9">
        <f>'[2]2025'!Z$98</f>
        <v>0</v>
      </c>
      <c r="O32" s="99">
        <f>'[2]2025'!AA$98</f>
        <v>0</v>
      </c>
      <c r="P32" s="99">
        <f>'[2]2025'!AB$98</f>
        <v>0</v>
      </c>
      <c r="Q32" s="99">
        <f>'[2]2025'!AC$98</f>
        <v>0</v>
      </c>
      <c r="R32" s="99">
        <f>'[2]2025'!AD$98</f>
        <v>0</v>
      </c>
      <c r="S32" s="99">
        <f>'[2]2025'!AE$98</f>
        <v>0</v>
      </c>
      <c r="T32" s="99">
        <f>'[2]2025'!AF$98</f>
        <v>0</v>
      </c>
      <c r="U32" s="99">
        <f>'[2]2025'!AG$98</f>
        <v>0</v>
      </c>
      <c r="V32" s="99">
        <f>'[2]2025'!AH$98</f>
        <v>0</v>
      </c>
      <c r="W32" s="99">
        <f>'[2]2025'!AI$98</f>
        <v>0</v>
      </c>
      <c r="X32" s="99">
        <f>'[2]2025'!AJ$98</f>
        <v>0</v>
      </c>
      <c r="Y32" s="99">
        <f>'[2]2025'!AK$98</f>
        <v>0</v>
      </c>
      <c r="Z32" s="99">
        <f>'[2]2026'!AL$98</f>
        <v>0</v>
      </c>
      <c r="AA32" s="99">
        <f>'[2]2026'!AM$98</f>
        <v>0</v>
      </c>
      <c r="AB32" s="99">
        <f>'[2]2026'!AN$98</f>
        <v>0</v>
      </c>
      <c r="AC32" s="99">
        <f>'[2]2026'!AO$98</f>
        <v>0</v>
      </c>
      <c r="AD32" s="99">
        <f>'[2]2026'!AP$98</f>
        <v>0</v>
      </c>
      <c r="AE32" s="99">
        <f>'[2]2026'!AQ$98</f>
        <v>0</v>
      </c>
      <c r="AF32" s="99">
        <f>'[2]2026'!AR$98</f>
        <v>0</v>
      </c>
      <c r="AG32" s="99">
        <f>'[2]2026'!AS$98</f>
        <v>0</v>
      </c>
      <c r="AH32" s="99">
        <f>'[2]2026'!AT$98</f>
        <v>0</v>
      </c>
      <c r="AI32" s="99">
        <f>'[2]2026'!AU$98</f>
        <v>0</v>
      </c>
      <c r="AJ32" s="99">
        <f>'[2]2026'!AV$98</f>
        <v>0</v>
      </c>
      <c r="AK32" s="99">
        <f>'[2]2026'!AW$98</f>
        <v>0</v>
      </c>
      <c r="AL32" s="103"/>
      <c r="AM32" s="98">
        <f t="shared" si="30"/>
        <v>0</v>
      </c>
      <c r="AN32" s="98">
        <f t="shared" si="31"/>
        <v>0</v>
      </c>
      <c r="AO32" s="93"/>
      <c r="AP32" s="93"/>
      <c r="AQ32" s="93"/>
      <c r="AR32" s="93"/>
      <c r="AS32" s="93"/>
      <c r="AT32" s="93"/>
      <c r="AU32" s="93"/>
      <c r="AV32" s="93"/>
      <c r="AW32" s="93"/>
      <c r="AX32" s="93"/>
    </row>
    <row r="33" spans="1:50" ht="18">
      <c r="A33" s="91" t="s">
        <v>48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9">
        <f>'[2]2025'!Z$151</f>
        <v>0</v>
      </c>
      <c r="O33" s="99">
        <f>'[2]2025'!AA$151</f>
        <v>0</v>
      </c>
      <c r="P33" s="99">
        <f>'[2]2025'!AB$151</f>
        <v>0</v>
      </c>
      <c r="Q33" s="99">
        <f>'[2]2025'!AC$151</f>
        <v>0</v>
      </c>
      <c r="R33" s="99">
        <f>'[2]2025'!AD$151</f>
        <v>0</v>
      </c>
      <c r="S33" s="99">
        <f>'[2]2025'!AE$151</f>
        <v>0</v>
      </c>
      <c r="T33" s="99">
        <f>'[2]2025'!AF$151</f>
        <v>0</v>
      </c>
      <c r="U33" s="99">
        <f>'[2]2025'!AG$151</f>
        <v>0</v>
      </c>
      <c r="V33" s="99">
        <f>'[2]2025'!AH$151</f>
        <v>0</v>
      </c>
      <c r="W33" s="99">
        <f>'[2]2025'!AI$151</f>
        <v>0</v>
      </c>
      <c r="X33" s="99">
        <f>'[2]2025'!AJ$151</f>
        <v>0</v>
      </c>
      <c r="Y33" s="99">
        <f>'[2]2025'!AK$151</f>
        <v>10000</v>
      </c>
      <c r="Z33" s="99">
        <f>'[2]2026'!F$103</f>
        <v>0</v>
      </c>
      <c r="AA33" s="99">
        <f>'[2]2026'!G$103</f>
        <v>0</v>
      </c>
      <c r="AB33" s="99">
        <f>'[2]2026'!H$103</f>
        <v>0</v>
      </c>
      <c r="AC33" s="99">
        <f>'[2]2026'!I$103</f>
        <v>0</v>
      </c>
      <c r="AD33" s="99">
        <f>'[2]2026'!J$103</f>
        <v>0</v>
      </c>
      <c r="AE33" s="99">
        <f>'[2]2026'!K$103</f>
        <v>0</v>
      </c>
      <c r="AF33" s="99">
        <f>'[2]2026'!L$103</f>
        <v>0</v>
      </c>
      <c r="AG33" s="99">
        <f>'[2]2026'!M$103</f>
        <v>0</v>
      </c>
      <c r="AH33" s="99">
        <f>'[2]2026'!N$103</f>
        <v>0</v>
      </c>
      <c r="AI33" s="99">
        <f>'[2]2026'!O$103</f>
        <v>0</v>
      </c>
      <c r="AJ33" s="99">
        <f>'[2]2026'!P$103</f>
        <v>0</v>
      </c>
      <c r="AK33" s="99">
        <f>'[2]2026'!Q$103</f>
        <v>0</v>
      </c>
      <c r="AL33" s="103"/>
      <c r="AM33" s="98">
        <f t="shared" si="30"/>
        <v>10000</v>
      </c>
      <c r="AN33" s="98">
        <f t="shared" si="31"/>
        <v>0</v>
      </c>
      <c r="AO33" s="93"/>
      <c r="AP33" s="93"/>
      <c r="AQ33" s="93"/>
      <c r="AR33" s="93"/>
      <c r="AS33" s="93"/>
      <c r="AT33" s="93"/>
      <c r="AU33" s="93"/>
      <c r="AV33" s="93"/>
      <c r="AW33" s="93"/>
      <c r="AX33" s="93"/>
    </row>
    <row r="34" spans="1:50" ht="18">
      <c r="A34" s="91" t="s">
        <v>49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9">
        <v>141184</v>
      </c>
      <c r="O34" s="99">
        <v>120357</v>
      </c>
      <c r="P34" s="99">
        <v>141813</v>
      </c>
      <c r="Q34" s="99">
        <v>157550</v>
      </c>
      <c r="R34" s="99">
        <v>148628</v>
      </c>
      <c r="S34" s="99">
        <v>137854</v>
      </c>
      <c r="T34" s="99">
        <v>229185</v>
      </c>
      <c r="U34" s="99">
        <v>219760</v>
      </c>
      <c r="V34" s="99">
        <v>220838</v>
      </c>
      <c r="W34" s="99">
        <v>201733</v>
      </c>
      <c r="X34" s="99">
        <v>205539</v>
      </c>
      <c r="Y34" s="99">
        <v>218303</v>
      </c>
      <c r="Z34" s="99">
        <v>134990</v>
      </c>
      <c r="AA34" s="99">
        <v>130077</v>
      </c>
      <c r="AB34" s="99">
        <v>133213</v>
      </c>
      <c r="AC34" s="99">
        <v>148195</v>
      </c>
      <c r="AD34" s="99"/>
      <c r="AE34" s="99"/>
      <c r="AF34" s="99"/>
      <c r="AG34" s="99"/>
      <c r="AH34" s="99"/>
      <c r="AI34" s="99"/>
      <c r="AJ34" s="99"/>
      <c r="AK34" s="99"/>
      <c r="AL34" s="103"/>
      <c r="AM34" s="98">
        <f>SUM(N34:Z34)</f>
        <v>2277734</v>
      </c>
      <c r="AN34" s="98">
        <f t="shared" si="31"/>
        <v>546475</v>
      </c>
      <c r="AO34" s="93"/>
      <c r="AP34" s="93"/>
      <c r="AQ34" s="93"/>
      <c r="AR34" s="93"/>
      <c r="AS34" s="93"/>
      <c r="AT34" s="93"/>
      <c r="AU34" s="93"/>
      <c r="AV34" s="93"/>
      <c r="AW34" s="93"/>
      <c r="AX34" s="93"/>
    </row>
    <row r="35" spans="1:50" ht="18">
      <c r="A35" s="91" t="s">
        <v>50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9">
        <v>0</v>
      </c>
      <c r="O35" s="99">
        <v>0</v>
      </c>
      <c r="P35" s="99">
        <v>0</v>
      </c>
      <c r="Q35" s="99">
        <v>0</v>
      </c>
      <c r="R35" s="99">
        <v>0</v>
      </c>
      <c r="S35" s="99">
        <v>0</v>
      </c>
      <c r="T35" s="99">
        <v>55000</v>
      </c>
      <c r="U35" s="99">
        <v>55000</v>
      </c>
      <c r="V35" s="99">
        <v>55000</v>
      </c>
      <c r="W35" s="99">
        <v>55000</v>
      </c>
      <c r="X35" s="99">
        <v>55000</v>
      </c>
      <c r="Y35" s="99">
        <v>55000</v>
      </c>
      <c r="Z35" s="99">
        <v>55000</v>
      </c>
      <c r="AA35" s="99">
        <v>55000</v>
      </c>
      <c r="AB35" s="99">
        <v>55000</v>
      </c>
      <c r="AC35" s="99">
        <v>55000</v>
      </c>
      <c r="AD35" s="99">
        <v>55000</v>
      </c>
      <c r="AE35" s="99">
        <v>55000</v>
      </c>
      <c r="AF35" s="99">
        <v>55000</v>
      </c>
      <c r="AG35" s="99">
        <v>55000</v>
      </c>
      <c r="AH35" s="99">
        <v>55000</v>
      </c>
      <c r="AI35" s="99">
        <v>55000</v>
      </c>
      <c r="AJ35" s="99">
        <v>55000</v>
      </c>
      <c r="AK35" s="99">
        <v>55000</v>
      </c>
      <c r="AL35" s="103"/>
      <c r="AM35" s="98">
        <f t="shared" si="30"/>
        <v>330000</v>
      </c>
      <c r="AN35" s="98">
        <f t="shared" si="31"/>
        <v>660000</v>
      </c>
      <c r="AO35" s="93"/>
      <c r="AP35" s="93"/>
      <c r="AQ35" s="93"/>
      <c r="AR35" s="93"/>
      <c r="AS35" s="93"/>
      <c r="AT35" s="93"/>
      <c r="AU35" s="93"/>
      <c r="AV35" s="93"/>
      <c r="AW35" s="93"/>
      <c r="AX35" s="93"/>
    </row>
    <row r="36" spans="1:50" ht="18">
      <c r="A36" s="91" t="s">
        <v>51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9">
        <v>487500</v>
      </c>
      <c r="O36" s="99">
        <v>487500</v>
      </c>
      <c r="P36" s="99">
        <v>375000</v>
      </c>
      <c r="Q36" s="99">
        <v>375000</v>
      </c>
      <c r="R36" s="99">
        <v>375000</v>
      </c>
      <c r="S36" s="99">
        <v>375000</v>
      </c>
      <c r="T36" s="99">
        <v>200000</v>
      </c>
      <c r="U36" s="99">
        <v>200000</v>
      </c>
      <c r="V36" s="99">
        <v>200000</v>
      </c>
      <c r="W36" s="99">
        <v>200000</v>
      </c>
      <c r="X36" s="99">
        <v>200000</v>
      </c>
      <c r="Y36" s="99">
        <v>200000</v>
      </c>
      <c r="Z36" s="99">
        <v>200000</v>
      </c>
      <c r="AA36" s="99">
        <v>200000</v>
      </c>
      <c r="AB36" s="99">
        <v>200000</v>
      </c>
      <c r="AC36" s="99">
        <v>200000</v>
      </c>
      <c r="AD36" s="99">
        <v>200000</v>
      </c>
      <c r="AE36" s="99">
        <v>200000</v>
      </c>
      <c r="AF36" s="99">
        <v>200000</v>
      </c>
      <c r="AG36" s="99">
        <v>200000</v>
      </c>
      <c r="AH36" s="99">
        <v>200000</v>
      </c>
      <c r="AI36" s="99">
        <v>200000</v>
      </c>
      <c r="AJ36" s="99">
        <v>200000</v>
      </c>
      <c r="AK36" s="99">
        <v>200000</v>
      </c>
      <c r="AL36" s="103"/>
      <c r="AM36" s="98">
        <f t="shared" si="30"/>
        <v>3675000</v>
      </c>
      <c r="AN36" s="98">
        <f t="shared" si="31"/>
        <v>2400000</v>
      </c>
      <c r="AO36" s="93"/>
      <c r="AP36" s="93"/>
      <c r="AQ36" s="93"/>
      <c r="AR36" s="93"/>
      <c r="AS36" s="93"/>
      <c r="AT36" s="93"/>
      <c r="AU36" s="93"/>
      <c r="AV36" s="93"/>
      <c r="AW36" s="93"/>
      <c r="AX36" s="93"/>
    </row>
    <row r="37" spans="1:50" ht="18">
      <c r="A37" s="91" t="s">
        <v>52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750000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Z37" s="99">
        <v>0</v>
      </c>
      <c r="AA37" s="99">
        <v>0</v>
      </c>
      <c r="AB37" s="99">
        <v>0</v>
      </c>
      <c r="AC37" s="99">
        <v>0</v>
      </c>
      <c r="AD37" s="99">
        <v>0</v>
      </c>
      <c r="AE37" s="99">
        <v>0</v>
      </c>
      <c r="AF37" s="99">
        <v>0</v>
      </c>
      <c r="AG37" s="99">
        <v>0</v>
      </c>
      <c r="AH37" s="99">
        <v>0</v>
      </c>
      <c r="AI37" s="99">
        <v>0</v>
      </c>
      <c r="AJ37" s="99">
        <v>0</v>
      </c>
      <c r="AK37" s="99">
        <v>0</v>
      </c>
      <c r="AL37" s="103"/>
      <c r="AM37" s="98">
        <f t="shared" si="30"/>
        <v>750000</v>
      </c>
      <c r="AN37" s="98">
        <f t="shared" si="31"/>
        <v>0</v>
      </c>
      <c r="AO37" s="93"/>
      <c r="AP37" s="93"/>
      <c r="AQ37" s="93"/>
      <c r="AR37" s="93"/>
      <c r="AS37" s="93"/>
      <c r="AT37" s="93"/>
      <c r="AU37" s="93"/>
      <c r="AV37" s="93"/>
      <c r="AW37" s="93"/>
      <c r="AX37" s="93"/>
    </row>
    <row r="38" spans="1:50" s="87" customFormat="1" ht="18">
      <c r="A38" s="87" t="s">
        <v>74</v>
      </c>
      <c r="B38" s="88" t="str">
        <f t="shared" ref="B38:M38" si="32">IFERROR(B$29/B58,"")</f>
        <v/>
      </c>
      <c r="C38" s="88" t="str">
        <f t="shared" si="32"/>
        <v/>
      </c>
      <c r="D38" s="88" t="str">
        <f t="shared" si="32"/>
        <v/>
      </c>
      <c r="E38" s="88" t="str">
        <f t="shared" si="32"/>
        <v/>
      </c>
      <c r="F38" s="88" t="str">
        <f t="shared" si="32"/>
        <v/>
      </c>
      <c r="G38" s="88" t="str">
        <f t="shared" si="32"/>
        <v/>
      </c>
      <c r="H38" s="88" t="str">
        <f t="shared" si="32"/>
        <v/>
      </c>
      <c r="I38" s="88" t="str">
        <f t="shared" si="32"/>
        <v/>
      </c>
      <c r="J38" s="88" t="str">
        <f t="shared" si="32"/>
        <v/>
      </c>
      <c r="K38" s="88" t="str">
        <f t="shared" si="32"/>
        <v/>
      </c>
      <c r="L38" s="88" t="str">
        <f t="shared" si="32"/>
        <v/>
      </c>
      <c r="M38" s="88" t="str">
        <f t="shared" si="32"/>
        <v/>
      </c>
      <c r="N38" s="100">
        <f t="shared" ref="N38:Y38" si="33">IF(N5=0,0,N$29/N5)</f>
        <v>43934.2</v>
      </c>
      <c r="O38" s="100">
        <f t="shared" si="33"/>
        <v>34148.346153846156</v>
      </c>
      <c r="P38" s="100">
        <f t="shared" si="33"/>
        <v>21363.444444444445</v>
      </c>
      <c r="Q38" s="100">
        <f t="shared" si="33"/>
        <v>29586.111111111109</v>
      </c>
      <c r="R38" s="100">
        <f t="shared" si="33"/>
        <v>12969.511111111111</v>
      </c>
      <c r="S38" s="100">
        <f t="shared" si="33"/>
        <v>25811.545454545456</v>
      </c>
      <c r="T38" s="100">
        <f t="shared" si="33"/>
        <v>43972.833333333336</v>
      </c>
      <c r="U38" s="100">
        <f t="shared" si="33"/>
        <v>15773.75</v>
      </c>
      <c r="V38" s="100">
        <f t="shared" si="33"/>
        <v>59479.75</v>
      </c>
      <c r="W38" s="100">
        <f t="shared" si="33"/>
        <v>40096.277777777781</v>
      </c>
      <c r="X38" s="100">
        <f t="shared" si="33"/>
        <v>14671.34090909091</v>
      </c>
      <c r="Y38" s="100">
        <f t="shared" si="33"/>
        <v>11025.057692307691</v>
      </c>
      <c r="Z38" s="100">
        <f t="shared" ref="Z38:AL38" si="34">IF(Z5=0,0,Z$29/Z5)</f>
        <v>48922.307692307695</v>
      </c>
      <c r="AA38" s="100">
        <f t="shared" si="34"/>
        <v>17776.677419354837</v>
      </c>
      <c r="AB38" s="100">
        <f t="shared" si="34"/>
        <v>16241.558823529413</v>
      </c>
      <c r="AC38" s="100">
        <f t="shared" si="34"/>
        <v>14933.148148148148</v>
      </c>
      <c r="AD38" s="100">
        <f t="shared" si="34"/>
        <v>0</v>
      </c>
      <c r="AE38" s="100">
        <f t="shared" si="34"/>
        <v>0</v>
      </c>
      <c r="AF38" s="100">
        <f t="shared" si="34"/>
        <v>0</v>
      </c>
      <c r="AG38" s="100">
        <f t="shared" si="34"/>
        <v>0</v>
      </c>
      <c r="AH38" s="100">
        <f t="shared" si="34"/>
        <v>0</v>
      </c>
      <c r="AI38" s="100">
        <f t="shared" si="34"/>
        <v>0</v>
      </c>
      <c r="AJ38" s="100">
        <f t="shared" si="34"/>
        <v>0</v>
      </c>
      <c r="AK38" s="100">
        <f t="shared" si="34"/>
        <v>0</v>
      </c>
      <c r="AL38" s="100" t="e">
        <f t="shared" si="34"/>
        <v>#REF!</v>
      </c>
      <c r="AM38" s="100">
        <f>IF(AM5=0,0,AM$29/AM5)</f>
        <v>24174.690058479533</v>
      </c>
      <c r="AN38" s="100">
        <f>IF(AN5=0,0,AN$29/AN5)</f>
        <v>39833.095238095237</v>
      </c>
      <c r="AO38" s="89"/>
      <c r="AP38" s="89"/>
      <c r="AQ38" s="89"/>
      <c r="AR38" s="89"/>
      <c r="AS38" s="89"/>
      <c r="AT38" s="89"/>
      <c r="AU38" s="89"/>
      <c r="AV38" s="89"/>
      <c r="AW38" s="89"/>
      <c r="AX38" s="89"/>
    </row>
    <row r="39" spans="1:50" s="87" customFormat="1" ht="18">
      <c r="A39" s="87" t="s">
        <v>75</v>
      </c>
      <c r="B39" s="88" t="str">
        <f t="shared" ref="B39:M39" si="35">IFERROR(B$29/B9,"")</f>
        <v/>
      </c>
      <c r="C39" s="88" t="str">
        <f t="shared" si="35"/>
        <v/>
      </c>
      <c r="D39" s="88" t="str">
        <f t="shared" si="35"/>
        <v/>
      </c>
      <c r="E39" s="88" t="str">
        <f t="shared" si="35"/>
        <v/>
      </c>
      <c r="F39" s="88" t="str">
        <f t="shared" si="35"/>
        <v/>
      </c>
      <c r="G39" s="88" t="str">
        <f t="shared" si="35"/>
        <v/>
      </c>
      <c r="H39" s="88" t="str">
        <f t="shared" si="35"/>
        <v/>
      </c>
      <c r="I39" s="88" t="str">
        <f t="shared" si="35"/>
        <v/>
      </c>
      <c r="J39" s="88" t="str">
        <f t="shared" si="35"/>
        <v/>
      </c>
      <c r="K39" s="88" t="str">
        <f t="shared" si="35"/>
        <v/>
      </c>
      <c r="L39" s="88" t="str">
        <f t="shared" si="35"/>
        <v/>
      </c>
      <c r="M39" s="88" t="str">
        <f t="shared" si="35"/>
        <v/>
      </c>
      <c r="N39" s="100">
        <f t="shared" ref="N39:Y39" si="36">IF(N9=0,0,N$29/N9)</f>
        <v>0</v>
      </c>
      <c r="O39" s="100">
        <f t="shared" si="36"/>
        <v>221964.25</v>
      </c>
      <c r="P39" s="100">
        <f t="shared" si="36"/>
        <v>192271</v>
      </c>
      <c r="Q39" s="100">
        <f t="shared" si="36"/>
        <v>177516.66666666666</v>
      </c>
      <c r="R39" s="100">
        <f t="shared" si="36"/>
        <v>583628</v>
      </c>
      <c r="S39" s="100">
        <f t="shared" si="36"/>
        <v>283927</v>
      </c>
      <c r="T39" s="100">
        <f t="shared" si="36"/>
        <v>0</v>
      </c>
      <c r="U39" s="100">
        <f t="shared" si="36"/>
        <v>0</v>
      </c>
      <c r="V39" s="100">
        <f t="shared" si="36"/>
        <v>0</v>
      </c>
      <c r="W39" s="100">
        <f t="shared" si="36"/>
        <v>0</v>
      </c>
      <c r="X39" s="100">
        <f t="shared" si="36"/>
        <v>0</v>
      </c>
      <c r="Y39" s="100">
        <f t="shared" si="36"/>
        <v>286651.5</v>
      </c>
      <c r="Z39" s="100">
        <f t="shared" ref="Z39:AL39" si="37">IF(Z9=0,0,Z$29/Z9)</f>
        <v>635990</v>
      </c>
      <c r="AA39" s="100">
        <f t="shared" si="37"/>
        <v>275538.5</v>
      </c>
      <c r="AB39" s="100">
        <f t="shared" si="37"/>
        <v>0</v>
      </c>
      <c r="AC39" s="100">
        <f t="shared" si="37"/>
        <v>201597.5</v>
      </c>
      <c r="AD39" s="100">
        <f t="shared" si="37"/>
        <v>0</v>
      </c>
      <c r="AE39" s="100">
        <f t="shared" si="37"/>
        <v>0</v>
      </c>
      <c r="AF39" s="100">
        <f t="shared" si="37"/>
        <v>0</v>
      </c>
      <c r="AG39" s="100">
        <f t="shared" si="37"/>
        <v>0</v>
      </c>
      <c r="AH39" s="100">
        <f t="shared" si="37"/>
        <v>0</v>
      </c>
      <c r="AI39" s="100">
        <f t="shared" si="37"/>
        <v>0</v>
      </c>
      <c r="AJ39" s="100">
        <f t="shared" si="37"/>
        <v>0</v>
      </c>
      <c r="AK39" s="100">
        <f t="shared" si="37"/>
        <v>0</v>
      </c>
      <c r="AL39" s="100" t="e">
        <f t="shared" si="37"/>
        <v>#REF!</v>
      </c>
      <c r="AM39" s="100">
        <f>IF(AM9=0,0,AM$29/AM9)</f>
        <v>551182.93333333335</v>
      </c>
      <c r="AN39" s="100">
        <f>IF(AN9=0,0,AN$29/AN9)</f>
        <v>836495</v>
      </c>
      <c r="AO39" s="89"/>
      <c r="AP39" s="89"/>
      <c r="AQ39" s="89"/>
      <c r="AR39" s="89"/>
      <c r="AS39" s="89"/>
      <c r="AT39" s="89"/>
      <c r="AU39" s="89"/>
      <c r="AV39" s="89"/>
      <c r="AW39" s="89"/>
      <c r="AX39" s="89"/>
    </row>
    <row r="40" spans="1:50" s="87" customFormat="1" ht="18">
      <c r="A40" s="87" t="s">
        <v>76</v>
      </c>
      <c r="E40" s="89"/>
      <c r="F40" s="89"/>
      <c r="G40" s="89"/>
      <c r="H40" s="89"/>
      <c r="I40" s="89"/>
      <c r="J40" s="89"/>
      <c r="K40" s="89"/>
      <c r="L40" s="89"/>
      <c r="M40" s="89"/>
      <c r="N40" s="100">
        <f t="shared" ref="N40:Y40" si="38">IF(N11=0,0,N$29/N11)</f>
        <v>0</v>
      </c>
      <c r="O40" s="100">
        <f t="shared" si="38"/>
        <v>0</v>
      </c>
      <c r="P40" s="100">
        <f t="shared" si="38"/>
        <v>0</v>
      </c>
      <c r="Q40" s="100">
        <f t="shared" si="38"/>
        <v>0</v>
      </c>
      <c r="R40" s="100">
        <f t="shared" si="38"/>
        <v>0</v>
      </c>
      <c r="S40" s="100">
        <f t="shared" si="38"/>
        <v>567854</v>
      </c>
      <c r="T40" s="100">
        <f t="shared" si="38"/>
        <v>0</v>
      </c>
      <c r="U40" s="100">
        <f t="shared" si="38"/>
        <v>504760</v>
      </c>
      <c r="V40" s="100">
        <f t="shared" si="38"/>
        <v>475838</v>
      </c>
      <c r="W40" s="100">
        <f t="shared" si="38"/>
        <v>0</v>
      </c>
      <c r="X40" s="100">
        <f t="shared" si="38"/>
        <v>0</v>
      </c>
      <c r="Y40" s="100">
        <f t="shared" si="38"/>
        <v>0</v>
      </c>
      <c r="Z40" s="100">
        <f t="shared" ref="Z40:AL40" si="39">IF(Z11=0,0,Z$29/Z11)</f>
        <v>0</v>
      </c>
      <c r="AA40" s="100">
        <f t="shared" si="39"/>
        <v>0</v>
      </c>
      <c r="AB40" s="100">
        <f t="shared" si="39"/>
        <v>0</v>
      </c>
      <c r="AC40" s="100">
        <f t="shared" si="39"/>
        <v>0</v>
      </c>
      <c r="AD40" s="100">
        <f t="shared" si="39"/>
        <v>0</v>
      </c>
      <c r="AE40" s="100">
        <f t="shared" si="39"/>
        <v>0</v>
      </c>
      <c r="AF40" s="100">
        <f t="shared" si="39"/>
        <v>0</v>
      </c>
      <c r="AG40" s="100">
        <f t="shared" si="39"/>
        <v>0</v>
      </c>
      <c r="AH40" s="100">
        <f t="shared" si="39"/>
        <v>0</v>
      </c>
      <c r="AI40" s="100">
        <f t="shared" si="39"/>
        <v>0</v>
      </c>
      <c r="AJ40" s="100">
        <f t="shared" si="39"/>
        <v>0</v>
      </c>
      <c r="AK40" s="100">
        <f t="shared" si="39"/>
        <v>0</v>
      </c>
      <c r="AL40" s="100">
        <f t="shared" si="39"/>
        <v>0</v>
      </c>
      <c r="AM40" s="100">
        <f>IF(AM11=0,0,AM$29/AM11)</f>
        <v>2755914.6666666665</v>
      </c>
      <c r="AN40" s="100">
        <f>IF(AN11=0,0,AN$29/AN11)</f>
        <v>0</v>
      </c>
      <c r="AO40" s="89"/>
      <c r="AP40" s="89"/>
      <c r="AQ40" s="89"/>
      <c r="AR40" s="89"/>
      <c r="AS40" s="89"/>
      <c r="AT40" s="89"/>
      <c r="AU40" s="89"/>
      <c r="AV40" s="89"/>
      <c r="AW40" s="89"/>
      <c r="AX40" s="89"/>
    </row>
    <row r="42" spans="1:50" ht="18"/>
    <row r="44" spans="1:50" ht="18">
      <c r="A44" s="49" t="s">
        <v>56</v>
      </c>
      <c r="AL44" s="2">
        <f t="shared" ref="AL44" si="40">SUM(AL45:AL53)</f>
        <v>0</v>
      </c>
    </row>
    <row r="45" spans="1:50" ht="18">
      <c r="A45" s="1" t="s">
        <v>57</v>
      </c>
      <c r="B45" s="2">
        <v>0</v>
      </c>
      <c r="C45" s="2">
        <v>5</v>
      </c>
      <c r="D45" s="2">
        <v>14</v>
      </c>
      <c r="E45" s="2">
        <v>16</v>
      </c>
      <c r="F45" s="2">
        <v>35</v>
      </c>
      <c r="G45" s="2">
        <v>13</v>
      </c>
      <c r="H45" s="2">
        <v>29</v>
      </c>
      <c r="I45" s="2">
        <v>44</v>
      </c>
      <c r="J45" s="2">
        <v>38</v>
      </c>
      <c r="K45" s="2">
        <v>25</v>
      </c>
      <c r="L45" s="2">
        <v>24</v>
      </c>
      <c r="M45" s="2">
        <v>11</v>
      </c>
      <c r="N45" s="2">
        <f>COUNTIFS([4]流入チャネル別顧客一覧_ユニーク!$C:$C,"&gt;="&amp;N$3,[4]流入チャネル別顧客一覧_ユニーク!$C:$C,"&lt;"&amp;EDATE(N$3,1),[4]流入チャネル別顧客一覧_ユニーク!$H:$H,"organic")+COUNTIFS([4]流入チャネル別顧客一覧_ユニーク!$C:$C,"&gt;="&amp;N$3,[4]流入チャネル別顧客一覧_ユニーク!$C:$C,"&lt;"&amp;EDATE(N$3,1),[4]流入チャネル別顧客一覧_ユニーク!$H:$H,"オーガニック検索")+COUNTIFS([4]流入チャネル別顧客一覧_ユニーク!$C:$C,"&gt;="&amp;N$3,[4]流入チャネル別顧客一覧_ユニーク!$C:$C,"&lt;"&amp;EDATE(N$3,1),[4]流入チャネル別顧客一覧_ユニーク!$H:$H,"column")+COUNTIFS([4]流入チャネル別顧客一覧_ユニーク!$C:$C,"&gt;="&amp;N$3,[4]流入チャネル別顧客一覧_ユニーク!$C:$C,"&lt;"&amp;EDATE(N$3,1),[4]流入チャネル別顧客一覧_ユニーク!$H:$H,"case")</f>
        <v>4</v>
      </c>
      <c r="O45" s="2">
        <f>COUNTIFS([4]流入チャネル別顧客一覧_ユニーク!$C:$C,"&gt;="&amp;O$3,[4]流入チャネル別顧客一覧_ユニーク!$C:$C,"&lt;"&amp;EDATE(O$3,1),[4]流入チャネル別顧客一覧_ユニーク!$H:$H,"organic")+COUNTIFS([4]流入チャネル別顧客一覧_ユニーク!$C:$C,"&gt;="&amp;O$3,[4]流入チャネル別顧客一覧_ユニーク!$C:$C,"&lt;"&amp;EDATE(O$3,1),[4]流入チャネル別顧客一覧_ユニーク!$H:$H,"オーガニック検索")+COUNTIFS([4]流入チャネル別顧客一覧_ユニーク!$C:$C,"&gt;="&amp;O$3,[4]流入チャネル別顧客一覧_ユニーク!$C:$C,"&lt;"&amp;EDATE(O$3,1),[4]流入チャネル別顧客一覧_ユニーク!$H:$H,"column")+COUNTIFS([4]流入チャネル別顧客一覧_ユニーク!$C:$C,"&gt;="&amp;O$3,[4]流入チャネル別顧客一覧_ユニーク!$C:$C,"&lt;"&amp;EDATE(O$3,1),[4]流入チャネル別顧客一覧_ユニーク!$H:$H,"case")</f>
        <v>11</v>
      </c>
      <c r="P45" s="2">
        <f>COUNTIFS([4]流入チャネル別顧客一覧_ユニーク!$C:$C,"&gt;="&amp;P$3,[4]流入チャネル別顧客一覧_ユニーク!$C:$C,"&lt;"&amp;EDATE(P$3,1),[4]流入チャネル別顧客一覧_ユニーク!$H:$H,"organic")+COUNTIFS([4]流入チャネル別顧客一覧_ユニーク!$C:$C,"&gt;="&amp;P$3,[4]流入チャネル別顧客一覧_ユニーク!$C:$C,"&lt;"&amp;EDATE(P$3,1),[4]流入チャネル別顧客一覧_ユニーク!$H:$H,"オーガニック検索")+COUNTIFS([4]流入チャネル別顧客一覧_ユニーク!$C:$C,"&gt;="&amp;P$3,[4]流入チャネル別顧客一覧_ユニーク!$C:$C,"&lt;"&amp;EDATE(P$3,1),[4]流入チャネル別顧客一覧_ユニーク!$H:$H,"column")+COUNTIFS([4]流入チャネル別顧客一覧_ユニーク!$C:$C,"&gt;="&amp;P$3,[4]流入チャネル別顧客一覧_ユニーク!$C:$C,"&lt;"&amp;EDATE(P$3,1),[4]流入チャネル別顧客一覧_ユニーク!$H:$H,"case")</f>
        <v>6</v>
      </c>
      <c r="Q45" s="2">
        <f>COUNTIFS([4]流入チャネル別顧客一覧_ユニーク!$C:$C,"&gt;="&amp;Q$3,[4]流入チャネル別顧客一覧_ユニーク!$C:$C,"&lt;"&amp;EDATE(Q$3,1),[4]流入チャネル別顧客一覧_ユニーク!$H:$H,"organic")+COUNTIFS([4]流入チャネル別顧客一覧_ユニーク!$C:$C,"&gt;="&amp;Q$3,[4]流入チャネル別顧客一覧_ユニーク!$C:$C,"&lt;"&amp;EDATE(Q$3,1),[4]流入チャネル別顧客一覧_ユニーク!$H:$H,"オーガニック検索")+COUNTIFS([4]流入チャネル別顧客一覧_ユニーク!$C:$C,"&gt;="&amp;Q$3,[4]流入チャネル別顧客一覧_ユニーク!$C:$C,"&lt;"&amp;EDATE(Q$3,1),[4]流入チャネル別顧客一覧_ユニーク!$H:$H,"column")+COUNTIFS([4]流入チャネル別顧客一覧_ユニーク!$C:$C,"&gt;="&amp;Q$3,[4]流入チャネル別顧客一覧_ユニーク!$C:$C,"&lt;"&amp;EDATE(Q$3,1),[4]流入チャネル別顧客一覧_ユニーク!$H:$H,"case")</f>
        <v>6</v>
      </c>
      <c r="R45" s="2">
        <f>COUNTIFS([4]流入チャネル別顧客一覧_ユニーク!$C:$C,"&gt;="&amp;R$3,[4]流入チャネル別顧客一覧_ユニーク!$C:$C,"&lt;"&amp;EDATE(R$3,1),[4]流入チャネル別顧客一覧_ユニーク!$H:$H,"organic")+COUNTIFS([4]流入チャネル別顧客一覧_ユニーク!$C:$C,"&gt;="&amp;R$3,[4]流入チャネル別顧客一覧_ユニーク!$C:$C,"&lt;"&amp;EDATE(R$3,1),[4]流入チャネル別顧客一覧_ユニーク!$H:$H,"オーガニック検索")+COUNTIFS([4]流入チャネル別顧客一覧_ユニーク!$C:$C,"&gt;="&amp;R$3,[4]流入チャネル別顧客一覧_ユニーク!$C:$C,"&lt;"&amp;EDATE(R$3,1),[4]流入チャネル別顧客一覧_ユニーク!$H:$H,"column")+COUNTIFS([4]流入チャネル別顧客一覧_ユニーク!$C:$C,"&gt;="&amp;R$3,[4]流入チャネル別顧客一覧_ユニーク!$C:$C,"&lt;"&amp;EDATE(R$3,1),[4]流入チャネル別顧客一覧_ユニーク!$H:$H,"case")</f>
        <v>2</v>
      </c>
      <c r="S45" s="2">
        <f>COUNTIFS([4]流入チャネル別顧客一覧_ユニーク!$C:$C,"&gt;="&amp;S$3,[4]流入チャネル別顧客一覧_ユニーク!$C:$C,"&lt;"&amp;EDATE(S$3,1),[4]流入チャネル別顧客一覧_ユニーク!$H:$H,"organic")+COUNTIFS([4]流入チャネル別顧客一覧_ユニーク!$C:$C,"&gt;="&amp;S$3,[4]流入チャネル別顧客一覧_ユニーク!$C:$C,"&lt;"&amp;EDATE(S$3,1),[4]流入チャネル別顧客一覧_ユニーク!$H:$H,"オーガニック検索")+COUNTIFS([4]流入チャネル別顧客一覧_ユニーク!$C:$C,"&gt;="&amp;S$3,[4]流入チャネル別顧客一覧_ユニーク!$C:$C,"&lt;"&amp;EDATE(S$3,1),[4]流入チャネル別顧客一覧_ユニーク!$H:$H,"column")+COUNTIFS([4]流入チャネル別顧客一覧_ユニーク!$C:$C,"&gt;="&amp;S$3,[4]流入チャネル別顧客一覧_ユニーク!$C:$C,"&lt;"&amp;EDATE(S$3,1),[4]流入チャネル別顧客一覧_ユニーク!$H:$H,"case")</f>
        <v>8</v>
      </c>
      <c r="T45" s="2">
        <f>COUNTIFS([4]流入チャネル別顧客一覧_ユニーク!$C:$C,"&gt;="&amp;T$3,[4]流入チャネル別顧客一覧_ユニーク!$C:$C,"&lt;"&amp;EDATE(T$3,1),[4]流入チャネル別顧客一覧_ユニーク!$H:$H,"organic")+COUNTIFS([4]流入チャネル別顧客一覧_ユニーク!$C:$C,"&gt;="&amp;T$3,[4]流入チャネル別顧客一覧_ユニーク!$C:$C,"&lt;"&amp;EDATE(T$3,1),[4]流入チャネル別顧客一覧_ユニーク!$H:$H,"オーガニック検索")+COUNTIFS([4]流入チャネル別顧客一覧_ユニーク!$C:$C,"&gt;="&amp;T$3,[4]流入チャネル別顧客一覧_ユニーク!$C:$C,"&lt;"&amp;EDATE(T$3,1),[4]流入チャネル別顧客一覧_ユニーク!$H:$H,"column")+COUNTIFS([4]流入チャネル別顧客一覧_ユニーク!$C:$C,"&gt;="&amp;T$3,[4]流入チャネル別顧客一覧_ユニーク!$C:$C,"&lt;"&amp;EDATE(T$3,1),[4]流入チャネル別顧客一覧_ユニーク!$H:$H,"case")</f>
        <v>8</v>
      </c>
      <c r="U45" s="2">
        <f>COUNTIFS([4]流入チャネル別顧客一覧_ユニーク!$C:$C,"&gt;="&amp;U$3,[4]流入チャネル別顧客一覧_ユニーク!$C:$C,"&lt;"&amp;EDATE(U$3,1),[4]流入チャネル別顧客一覧_ユニーク!$H:$H,"organic")+COUNTIFS([4]流入チャネル別顧客一覧_ユニーク!$C:$C,"&gt;="&amp;U$3,[4]流入チャネル別顧客一覧_ユニーク!$C:$C,"&lt;"&amp;EDATE(U$3,1),[4]流入チャネル別顧客一覧_ユニーク!$H:$H,"オーガニック検索")+COUNTIFS([4]流入チャネル別顧客一覧_ユニーク!$C:$C,"&gt;="&amp;U$3,[4]流入チャネル別顧客一覧_ユニーク!$C:$C,"&lt;"&amp;EDATE(U$3,1),[4]流入チャネル別顧客一覧_ユニーク!$H:$H,"column")+COUNTIFS([4]流入チャネル別顧客一覧_ユニーク!$C:$C,"&gt;="&amp;U$3,[4]流入チャネル別顧客一覧_ユニーク!$C:$C,"&lt;"&amp;EDATE(U$3,1),[4]流入チャネル別顧客一覧_ユニーク!$H:$H,"case")</f>
        <v>3</v>
      </c>
      <c r="V45" s="2">
        <f>COUNTIFS([4]流入チャネル別顧客一覧_ユニーク!$C:$C,"&gt;="&amp;V$3,[4]流入チャネル別顧客一覧_ユニーク!$C:$C,"&lt;"&amp;EDATE(V$3,1),[4]流入チャネル別顧客一覧_ユニーク!$H:$H,"organic")+COUNTIFS([4]流入チャネル別顧客一覧_ユニーク!$C:$C,"&gt;="&amp;V$3,[4]流入チャネル別顧客一覧_ユニーク!$C:$C,"&lt;"&amp;EDATE(V$3,1),[4]流入チャネル別顧客一覧_ユニーク!$H:$H,"オーガニック検索")+COUNTIFS([4]流入チャネル別顧客一覧_ユニーク!$C:$C,"&gt;="&amp;V$3,[4]流入チャネル別顧客一覧_ユニーク!$C:$C,"&lt;"&amp;EDATE(V$3,1),[4]流入チャネル別顧客一覧_ユニーク!$H:$H,"column")+COUNTIFS([4]流入チャネル別顧客一覧_ユニーク!$C:$C,"&gt;="&amp;V$3,[4]流入チャネル別顧客一覧_ユニーク!$C:$C,"&lt;"&amp;EDATE(V$3,1),[4]流入チャネル別顧客一覧_ユニーク!$H:$H,"case")</f>
        <v>1</v>
      </c>
      <c r="W45" s="2">
        <f>COUNTIFS([4]流入チャネル別顧客一覧_ユニーク!$C:$C,"&gt;="&amp;W$3,[4]流入チャネル別顧客一覧_ユニーク!$C:$C,"&lt;"&amp;EDATE(W$3,1),[4]流入チャネル別顧客一覧_ユニーク!$H:$H,"organic")+COUNTIFS([4]流入チャネル別顧客一覧_ユニーク!$C:$C,"&gt;="&amp;W$3,[4]流入チャネル別顧客一覧_ユニーク!$C:$C,"&lt;"&amp;EDATE(W$3,1),[4]流入チャネル別顧客一覧_ユニーク!$H:$H,"オーガニック検索")+COUNTIFS([4]流入チャネル別顧客一覧_ユニーク!$C:$C,"&gt;="&amp;W$3,[4]流入チャネル別顧客一覧_ユニーク!$C:$C,"&lt;"&amp;EDATE(W$3,1),[4]流入チャネル別顧客一覧_ユニーク!$H:$H,"column")+COUNTIFS([4]流入チャネル別顧客一覧_ユニーク!$C:$C,"&gt;="&amp;W$3,[4]流入チャネル別顧客一覧_ユニーク!$C:$C,"&lt;"&amp;EDATE(W$3,1),[4]流入チャネル別顧客一覧_ユニーク!$H:$H,"case")</f>
        <v>6</v>
      </c>
      <c r="X45" s="2">
        <f>COUNTIFS([4]流入チャネル別顧客一覧_ユニーク!$C:$C,"&gt;="&amp;X$3,[4]流入チャネル別顧客一覧_ユニーク!$C:$C,"&lt;"&amp;EDATE(X$3,1),[4]流入チャネル別顧客一覧_ユニーク!$H:$H,"organic")+COUNTIFS([4]流入チャネル別顧客一覧_ユニーク!$C:$C,"&gt;="&amp;X$3,[4]流入チャネル別顧客一覧_ユニーク!$C:$C,"&lt;"&amp;EDATE(X$3,1),[4]流入チャネル別顧客一覧_ユニーク!$H:$H,"オーガニック検索")+COUNTIFS([4]流入チャネル別顧客一覧_ユニーク!$C:$C,"&gt;="&amp;X$3,[4]流入チャネル別顧客一覧_ユニーク!$C:$C,"&lt;"&amp;EDATE(X$3,1),[4]流入チャネル別顧客一覧_ユニーク!$H:$H,"column")+COUNTIFS([4]流入チャネル別顧客一覧_ユニーク!$C:$C,"&gt;="&amp;X$3,[4]流入チャネル別顧客一覧_ユニーク!$C:$C,"&lt;"&amp;EDATE(X$3,1),[4]流入チャネル別顧客一覧_ユニーク!$H:$H,"case")</f>
        <v>6</v>
      </c>
      <c r="Y45" s="2">
        <f>COUNTIFS([4]流入チャネル別顧客一覧_ユニーク!$C:$C,"&gt;="&amp;Y$3,[4]流入チャネル別顧客一覧_ユニーク!$C:$C,"&lt;"&amp;EDATE(Y$3,1),[4]流入チャネル別顧客一覧_ユニーク!$H:$H,"organic")+COUNTIFS([4]流入チャネル別顧客一覧_ユニーク!$C:$C,"&gt;="&amp;Y$3,[4]流入チャネル別顧客一覧_ユニーク!$C:$C,"&lt;"&amp;EDATE(Y$3,1),[4]流入チャネル別顧客一覧_ユニーク!$H:$H,"オーガニック検索")+COUNTIFS([4]流入チャネル別顧客一覧_ユニーク!$C:$C,"&gt;="&amp;Y$3,[4]流入チャネル別顧客一覧_ユニーク!$C:$C,"&lt;"&amp;EDATE(Y$3,1),[4]流入チャネル別顧客一覧_ユニーク!$H:$H,"column")+COUNTIFS([4]流入チャネル別顧客一覧_ユニーク!$C:$C,"&gt;="&amp;Y$3,[4]流入チャネル別顧客一覧_ユニーク!$C:$C,"&lt;"&amp;EDATE(Y$3,1),[4]流入チャネル別顧客一覧_ユニーク!$H:$H,"case")</f>
        <v>3</v>
      </c>
      <c r="Z45" s="2">
        <f>COUNTIFS([4]流入チャネル別顧客一覧_ユニーク!$C:$C,"&gt;="&amp;Z$3,[4]流入チャネル別顧客一覧_ユニーク!$C:$C,"&lt;"&amp;EDATE(Z$3,1),[4]流入チャネル別顧客一覧_ユニーク!$H:$H,"organic")+COUNTIFS([4]流入チャネル別顧客一覧_ユニーク!$C:$C,"&gt;="&amp;Z$3,[4]流入チャネル別顧客一覧_ユニーク!$C:$C,"&lt;"&amp;EDATE(Z$3,1),[4]流入チャネル別顧客一覧_ユニーク!$H:$H,"オーガニック検索")+COUNTIFS([4]流入チャネル別顧客一覧_ユニーク!$C:$C,"&gt;="&amp;Z$3,[4]流入チャネル別顧客一覧_ユニーク!$C:$C,"&lt;"&amp;EDATE(Z$3,1),[4]流入チャネル別顧客一覧_ユニーク!$H:$H,"column")+COUNTIFS([4]流入チャネル別顧客一覧_ユニーク!$C:$C,"&gt;="&amp;Z$3,[4]流入チャネル別顧客一覧_ユニーク!$C:$C,"&lt;"&amp;EDATE(Z$3,1),[4]流入チャネル別顧客一覧_ユニーク!$H:$H,"case")</f>
        <v>2</v>
      </c>
      <c r="AA45" s="2">
        <f>COUNTIFS([4]流入チャネル別顧客一覧_ユニーク!$C:$C,"&gt;="&amp;AA$3,[4]流入チャネル別顧客一覧_ユニーク!$C:$C,"&lt;"&amp;EDATE(AA$3,1),[4]流入チャネル別顧客一覧_ユニーク!$H:$H,"organic")+COUNTIFS([4]流入チャネル別顧客一覧_ユニーク!$C:$C,"&gt;="&amp;AA$3,[4]流入チャネル別顧客一覧_ユニーク!$C:$C,"&lt;"&amp;EDATE(AA$3,1),[4]流入チャネル別顧客一覧_ユニーク!$H:$H,"オーガニック検索")+COUNTIFS([4]流入チャネル別顧客一覧_ユニーク!$C:$C,"&gt;="&amp;AA$3,[4]流入チャネル別顧客一覧_ユニーク!$C:$C,"&lt;"&amp;EDATE(AA$3,1),[4]流入チャネル別顧客一覧_ユニーク!$H:$H,"column")+COUNTIFS([4]流入チャネル別顧客一覧_ユニーク!$C:$C,"&gt;="&amp;AA$3,[4]流入チャネル別顧客一覧_ユニーク!$C:$C,"&lt;"&amp;EDATE(AA$3,1),[4]流入チャネル別顧客一覧_ユニーク!$H:$H,"case")</f>
        <v>5</v>
      </c>
      <c r="AB45" s="2">
        <f>COUNTIFS([4]流入チャネル別顧客一覧_ユニーク!$C:$C,"&gt;="&amp;AB$3,[4]流入チャネル別顧客一覧_ユニーク!$C:$C,"&lt;"&amp;EDATE(AB$3,1),[4]流入チャネル別顧客一覧_ユニーク!$H:$H,"organic")+COUNTIFS([4]流入チャネル別顧客一覧_ユニーク!$C:$C,"&gt;="&amp;AB$3,[4]流入チャネル別顧客一覧_ユニーク!$C:$C,"&lt;"&amp;EDATE(AB$3,1),[4]流入チャネル別顧客一覧_ユニーク!$H:$H,"オーガニック検索")+COUNTIFS([4]流入チャネル別顧客一覧_ユニーク!$C:$C,"&gt;="&amp;AB$3,[4]流入チャネル別顧客一覧_ユニーク!$C:$C,"&lt;"&amp;EDATE(AB$3,1),[4]流入チャネル別顧客一覧_ユニーク!$H:$H,"column")+COUNTIFS([4]流入チャネル別顧客一覧_ユニーク!$C:$C,"&gt;="&amp;AB$3,[4]流入チャネル別顧客一覧_ユニーク!$C:$C,"&lt;"&amp;EDATE(AB$3,1),[4]流入チャネル別顧客一覧_ユニーク!$H:$H,"case")</f>
        <v>2</v>
      </c>
      <c r="AC45" s="2">
        <f>COUNTIFS([4]流入チャネル別顧客一覧_ユニーク!$C:$C,"&gt;="&amp;AC$3,[4]流入チャネル別顧客一覧_ユニーク!$C:$C,"&lt;"&amp;EDATE(AC$3,1),[4]流入チャネル別顧客一覧_ユニーク!$H:$H,"organic")+COUNTIFS([4]流入チャネル別顧客一覧_ユニーク!$C:$C,"&gt;="&amp;AC$3,[4]流入チャネル別顧客一覧_ユニーク!$C:$C,"&lt;"&amp;EDATE(AC$3,1),[4]流入チャネル別顧客一覧_ユニーク!$H:$H,"オーガニック検索")+COUNTIFS([4]流入チャネル別顧客一覧_ユニーク!$C:$C,"&gt;="&amp;AC$3,[4]流入チャネル別顧客一覧_ユニーク!$C:$C,"&lt;"&amp;EDATE(AC$3,1),[4]流入チャネル別顧客一覧_ユニーク!$H:$H,"column")+COUNTIFS([4]流入チャネル別顧客一覧_ユニーク!$C:$C,"&gt;="&amp;AC$3,[4]流入チャネル別顧客一覧_ユニーク!$C:$C,"&lt;"&amp;EDATE(AC$3,1),[4]流入チャネル別顧客一覧_ユニーク!$H:$H,"case")</f>
        <v>2</v>
      </c>
      <c r="AD45" s="2">
        <f>COUNTIFS([4]流入チャネル別顧客一覧_ユニーク!$C:$C,"&gt;="&amp;AD$3,[4]流入チャネル別顧客一覧_ユニーク!$C:$C,"&lt;"&amp;EDATE(AD$3,1),[4]流入チャネル別顧客一覧_ユニーク!$H:$H,"organic")+COUNTIFS([4]流入チャネル別顧客一覧_ユニーク!$C:$C,"&gt;="&amp;AD$3,[4]流入チャネル別顧客一覧_ユニーク!$C:$C,"&lt;"&amp;EDATE(AD$3,1),[4]流入チャネル別顧客一覧_ユニーク!$H:$H,"オーガニック検索")+COUNTIFS([4]流入チャネル別顧客一覧_ユニーク!$C:$C,"&gt;="&amp;AD$3,[4]流入チャネル別顧客一覧_ユニーク!$C:$C,"&lt;"&amp;EDATE(AD$3,1),[4]流入チャネル別顧客一覧_ユニーク!$H:$H,"column")+COUNTIFS([4]流入チャネル別顧客一覧_ユニーク!$C:$C,"&gt;="&amp;AD$3,[4]流入チャネル別顧客一覧_ユニーク!$C:$C,"&lt;"&amp;EDATE(AD$3,1),[4]流入チャネル別顧客一覧_ユニーク!$H:$H,"case")</f>
        <v>0</v>
      </c>
      <c r="AE45" s="2">
        <f>COUNTIFS([4]流入チャネル別顧客一覧_ユニーク!$C:$C,"&gt;="&amp;AE$3,[4]流入チャネル別顧客一覧_ユニーク!$C:$C,"&lt;"&amp;EDATE(AE$3,1),[4]流入チャネル別顧客一覧_ユニーク!$H:$H,"organic")+COUNTIFS([4]流入チャネル別顧客一覧_ユニーク!$C:$C,"&gt;="&amp;AE$3,[4]流入チャネル別顧客一覧_ユニーク!$C:$C,"&lt;"&amp;EDATE(AE$3,1),[4]流入チャネル別顧客一覧_ユニーク!$H:$H,"オーガニック検索")+COUNTIFS([4]流入チャネル別顧客一覧_ユニーク!$C:$C,"&gt;="&amp;AE$3,[4]流入チャネル別顧客一覧_ユニーク!$C:$C,"&lt;"&amp;EDATE(AE$3,1),[4]流入チャネル別顧客一覧_ユニーク!$H:$H,"column")+COUNTIFS([4]流入チャネル別顧客一覧_ユニーク!$C:$C,"&gt;="&amp;AE$3,[4]流入チャネル別顧客一覧_ユニーク!$C:$C,"&lt;"&amp;EDATE(AE$3,1),[4]流入チャネル別顧客一覧_ユニーク!$H:$H,"case")</f>
        <v>0</v>
      </c>
      <c r="AF45" s="2">
        <f>COUNTIFS([4]流入チャネル別顧客一覧_ユニーク!$C:$C,"&gt;="&amp;AF$3,[4]流入チャネル別顧客一覧_ユニーク!$C:$C,"&lt;"&amp;EDATE(AF$3,1),[4]流入チャネル別顧客一覧_ユニーク!$H:$H,"organic")+COUNTIFS([4]流入チャネル別顧客一覧_ユニーク!$C:$C,"&gt;="&amp;AF$3,[4]流入チャネル別顧客一覧_ユニーク!$C:$C,"&lt;"&amp;EDATE(AF$3,1),[4]流入チャネル別顧客一覧_ユニーク!$H:$H,"オーガニック検索")+COUNTIFS([4]流入チャネル別顧客一覧_ユニーク!$C:$C,"&gt;="&amp;AF$3,[4]流入チャネル別顧客一覧_ユニーク!$C:$C,"&lt;"&amp;EDATE(AF$3,1),[4]流入チャネル別顧客一覧_ユニーク!$H:$H,"column")+COUNTIFS([4]流入チャネル別顧客一覧_ユニーク!$C:$C,"&gt;="&amp;AF$3,[4]流入チャネル別顧客一覧_ユニーク!$C:$C,"&lt;"&amp;EDATE(AF$3,1),[4]流入チャネル別顧客一覧_ユニーク!$H:$H,"case")</f>
        <v>0</v>
      </c>
      <c r="AG45" s="2">
        <f>COUNTIFS([4]流入チャネル別顧客一覧_ユニーク!$C:$C,"&gt;="&amp;AG$3,[4]流入チャネル別顧客一覧_ユニーク!$C:$C,"&lt;"&amp;EDATE(AG$3,1),[4]流入チャネル別顧客一覧_ユニーク!$H:$H,"organic")+COUNTIFS([4]流入チャネル別顧客一覧_ユニーク!$C:$C,"&gt;="&amp;AG$3,[4]流入チャネル別顧客一覧_ユニーク!$C:$C,"&lt;"&amp;EDATE(AG$3,1),[4]流入チャネル別顧客一覧_ユニーク!$H:$H,"オーガニック検索")+COUNTIFS([4]流入チャネル別顧客一覧_ユニーク!$C:$C,"&gt;="&amp;AG$3,[4]流入チャネル別顧客一覧_ユニーク!$C:$C,"&lt;"&amp;EDATE(AG$3,1),[4]流入チャネル別顧客一覧_ユニーク!$H:$H,"column")+COUNTIFS([4]流入チャネル別顧客一覧_ユニーク!$C:$C,"&gt;="&amp;AG$3,[4]流入チャネル別顧客一覧_ユニーク!$C:$C,"&lt;"&amp;EDATE(AG$3,1),[4]流入チャネル別顧客一覧_ユニーク!$H:$H,"case")</f>
        <v>0</v>
      </c>
      <c r="AH45" s="2">
        <f>COUNTIFS([4]流入チャネル別顧客一覧_ユニーク!$C:$C,"&gt;="&amp;AH$3,[4]流入チャネル別顧客一覧_ユニーク!$C:$C,"&lt;"&amp;EDATE(AH$3,1),[4]流入チャネル別顧客一覧_ユニーク!$H:$H,"organic")+COUNTIFS([4]流入チャネル別顧客一覧_ユニーク!$C:$C,"&gt;="&amp;AH$3,[4]流入チャネル別顧客一覧_ユニーク!$C:$C,"&lt;"&amp;EDATE(AH$3,1),[4]流入チャネル別顧客一覧_ユニーク!$H:$H,"オーガニック検索")+COUNTIFS([4]流入チャネル別顧客一覧_ユニーク!$C:$C,"&gt;="&amp;AH$3,[4]流入チャネル別顧客一覧_ユニーク!$C:$C,"&lt;"&amp;EDATE(AH$3,1),[4]流入チャネル別顧客一覧_ユニーク!$H:$H,"column")+COUNTIFS([4]流入チャネル別顧客一覧_ユニーク!$C:$C,"&gt;="&amp;AH$3,[4]流入チャネル別顧客一覧_ユニーク!$C:$C,"&lt;"&amp;EDATE(AH$3,1),[4]流入チャネル別顧客一覧_ユニーク!$H:$H,"case")</f>
        <v>0</v>
      </c>
      <c r="AI45" s="2">
        <f>COUNTIFS([4]流入チャネル別顧客一覧_ユニーク!$C:$C,"&gt;="&amp;AI$3,[4]流入チャネル別顧客一覧_ユニーク!$C:$C,"&lt;"&amp;EDATE(AI$3,1),[4]流入チャネル別顧客一覧_ユニーク!$H:$H,"organic")+COUNTIFS([4]流入チャネル別顧客一覧_ユニーク!$C:$C,"&gt;="&amp;AI$3,[4]流入チャネル別顧客一覧_ユニーク!$C:$C,"&lt;"&amp;EDATE(AI$3,1),[4]流入チャネル別顧客一覧_ユニーク!$H:$H,"オーガニック検索")+COUNTIFS([4]流入チャネル別顧客一覧_ユニーク!$C:$C,"&gt;="&amp;AI$3,[4]流入チャネル別顧客一覧_ユニーク!$C:$C,"&lt;"&amp;EDATE(AI$3,1),[4]流入チャネル別顧客一覧_ユニーク!$H:$H,"column")+COUNTIFS([4]流入チャネル別顧客一覧_ユニーク!$C:$C,"&gt;="&amp;AI$3,[4]流入チャネル別顧客一覧_ユニーク!$C:$C,"&lt;"&amp;EDATE(AI$3,1),[4]流入チャネル別顧客一覧_ユニーク!$H:$H,"case")</f>
        <v>0</v>
      </c>
      <c r="AJ45" s="2">
        <f>COUNTIFS([4]流入チャネル別顧客一覧_ユニーク!$C:$C,"&gt;="&amp;AJ$3,[4]流入チャネル別顧客一覧_ユニーク!$C:$C,"&lt;"&amp;EDATE(AJ$3,1),[4]流入チャネル別顧客一覧_ユニーク!$H:$H,"organic")+COUNTIFS([4]流入チャネル別顧客一覧_ユニーク!$C:$C,"&gt;="&amp;AJ$3,[4]流入チャネル別顧客一覧_ユニーク!$C:$C,"&lt;"&amp;EDATE(AJ$3,1),[4]流入チャネル別顧客一覧_ユニーク!$H:$H,"オーガニック検索")+COUNTIFS([4]流入チャネル別顧客一覧_ユニーク!$C:$C,"&gt;="&amp;AJ$3,[4]流入チャネル別顧客一覧_ユニーク!$C:$C,"&lt;"&amp;EDATE(AJ$3,1),[4]流入チャネル別顧客一覧_ユニーク!$H:$H,"column")+COUNTIFS([4]流入チャネル別顧客一覧_ユニーク!$C:$C,"&gt;="&amp;AJ$3,[4]流入チャネル別顧客一覧_ユニーク!$C:$C,"&lt;"&amp;EDATE(AJ$3,1),[4]流入チャネル別顧客一覧_ユニーク!$H:$H,"case")</f>
        <v>0</v>
      </c>
      <c r="AK45" s="2">
        <f>COUNTIFS([4]流入チャネル別顧客一覧_ユニーク!$C:$C,"&gt;="&amp;AK$3,[4]流入チャネル別顧客一覧_ユニーク!$C:$C,"&lt;"&amp;EDATE(AK$3,1),[4]流入チャネル別顧客一覧_ユニーク!$H:$H,"organic")+COUNTIFS([4]流入チャネル別顧客一覧_ユニーク!$C:$C,"&gt;="&amp;AK$3,[4]流入チャネル別顧客一覧_ユニーク!$C:$C,"&lt;"&amp;EDATE(AK$3,1),[4]流入チャネル別顧客一覧_ユニーク!$H:$H,"オーガニック検索")+COUNTIFS([4]流入チャネル別顧客一覧_ユニーク!$C:$C,"&gt;="&amp;AK$3,[4]流入チャネル別顧客一覧_ユニーク!$C:$C,"&lt;"&amp;EDATE(AK$3,1),[4]流入チャネル別顧客一覧_ユニーク!$H:$H,"column")+COUNTIFS([4]流入チャネル別顧客一覧_ユニーク!$C:$C,"&gt;="&amp;AK$3,[4]流入チャネル別顧客一覧_ユニーク!$C:$C,"&lt;"&amp;EDATE(AK$3,1),[4]流入チャネル別顧客一覧_ユニーク!$H:$H,"case")</f>
        <v>0</v>
      </c>
      <c r="AL45" s="2">
        <f>COUNTIFS([4]流入チャネル別顧客一覧_ユニーク!$C:$C,"&gt;="&amp;AL$3,[4]流入チャネル別顧客一覧_ユニーク!$C:$C,"&lt;"&amp;EDATE(AL$3,1),[4]流入チャネル別顧客一覧_ユニーク!$H:$H,"organic")+COUNTIFS([4]流入チャネル別顧客一覧_ユニーク!$C:$C,"&gt;="&amp;AL$3,[4]流入チャネル別顧客一覧_ユニーク!$C:$C,"&lt;"&amp;EDATE(AL$3,1),[4]流入チャネル別顧客一覧_ユニーク!$H:$H,"オーガニック検索")+COUNTIFS([4]流入チャネル別顧客一覧_ユニーク!$C:$C,"&gt;="&amp;AL$3,[4]流入チャネル別顧客一覧_ユニーク!$C:$C,"&lt;"&amp;EDATE(AL$3,1),[4]流入チャネル別顧客一覧_ユニーク!$H:$H,"column")+COUNTIFS([4]流入チャネル別顧客一覧_ユニーク!$C:$C,"&gt;="&amp;AL$3,[4]流入チャネル別顧客一覧_ユニーク!$C:$C,"&lt;"&amp;EDATE(AL$3,1),[4]流入チャネル別顧客一覧_ユニーク!$H:$H,"case")</f>
        <v>0</v>
      </c>
      <c r="AM45" s="2">
        <f>SUM(N45:Y45)</f>
        <v>64</v>
      </c>
      <c r="AN45" s="2">
        <f>SUM(Z45:AK45)</f>
        <v>11</v>
      </c>
    </row>
    <row r="46" spans="1:50" ht="18">
      <c r="A46" s="1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10</v>
      </c>
      <c r="J46" s="2">
        <v>10</v>
      </c>
      <c r="K46" s="2">
        <v>6</v>
      </c>
      <c r="L46" s="2">
        <v>7</v>
      </c>
      <c r="M46" s="2">
        <v>8</v>
      </c>
      <c r="N46" s="2">
        <f>COUNTIFS([4]流入チャネル別顧客一覧_ユニーク!$C:$C,"&gt;="&amp;N$3,[4]流入チャネル別顧客一覧_ユニーク!$C:$C,"&lt;"&amp;EDATE(N$3,1),[4]流入チャネル別顧客一覧_ユニーク!$H:$H,"listing")+COUNTIFS([4]流入チャネル別顧客一覧_ユニーク!$C:$C,"&gt;="&amp;N$3,[4]流入チャネル別顧客一覧_ユニーク!$C:$C,"&lt;"&amp;EDATE(N$3,1),[4]流入チャネル別顧客一覧_ユニーク!$H:$H,"検索連動型広告")+COUNTIFS([4]流入チャネル別顧客一覧_ユニーク!$C:$C,"&gt;="&amp;N$3,[4]流入チャネル別顧客一覧_ユニーク!$C:$C,"&lt;"&amp;EDATE(N$3,1),[4]流入チャネル別顧客一覧_ユニーク!$H:$H,"display")</f>
        <v>4</v>
      </c>
      <c r="O46" s="2">
        <f>COUNTIFS([4]流入チャネル別顧客一覧_ユニーク!$C:$C,"&gt;="&amp;O$3,[4]流入チャネル別顧客一覧_ユニーク!$C:$C,"&lt;"&amp;EDATE(O$3,1),[4]流入チャネル別顧客一覧_ユニーク!$H:$H,"listing")+COUNTIFS([4]流入チャネル別顧客一覧_ユニーク!$C:$C,"&gt;="&amp;O$3,[4]流入チャネル別顧客一覧_ユニーク!$C:$C,"&lt;"&amp;EDATE(O$3,1),[4]流入チャネル別顧客一覧_ユニーク!$H:$H,"検索連動型広告")+COUNTIFS([4]流入チャネル別顧客一覧_ユニーク!$C:$C,"&gt;="&amp;O$3,[4]流入チャネル別顧客一覧_ユニーク!$C:$C,"&lt;"&amp;EDATE(O$3,1),[4]流入チャネル別顧客一覧_ユニーク!$H:$H,"display")</f>
        <v>7</v>
      </c>
      <c r="P46" s="2">
        <f>COUNTIFS([4]流入チャネル別顧客一覧_ユニーク!$C:$C,"&gt;="&amp;P$3,[4]流入チャネル別顧客一覧_ユニーク!$C:$C,"&lt;"&amp;EDATE(P$3,1),[4]流入チャネル別顧客一覧_ユニーク!$H:$H,"listing")+COUNTIFS([4]流入チャネル別顧客一覧_ユニーク!$C:$C,"&gt;="&amp;P$3,[4]流入チャネル別顧客一覧_ユニーク!$C:$C,"&lt;"&amp;EDATE(P$3,1),[4]流入チャネル別顧客一覧_ユニーク!$H:$H,"検索連動型広告")+COUNTIFS([4]流入チャネル別顧客一覧_ユニーク!$C:$C,"&gt;="&amp;P$3,[4]流入チャネル別顧客一覧_ユニーク!$C:$C,"&lt;"&amp;EDATE(P$3,1),[4]流入チャネル別顧客一覧_ユニーク!$H:$H,"display")</f>
        <v>7</v>
      </c>
      <c r="Q46" s="2">
        <f>COUNTIFS([4]流入チャネル別顧客一覧_ユニーク!$C:$C,"&gt;="&amp;Q$3,[4]流入チャネル別顧客一覧_ユニーク!$C:$C,"&lt;"&amp;EDATE(Q$3,1),[4]流入チャネル別顧客一覧_ユニーク!$H:$H,"listing")+COUNTIFS([4]流入チャネル別顧客一覧_ユニーク!$C:$C,"&gt;="&amp;Q$3,[4]流入チャネル別顧客一覧_ユニーク!$C:$C,"&lt;"&amp;EDATE(Q$3,1),[4]流入チャネル別顧客一覧_ユニーク!$H:$H,"検索連動型広告")+COUNTIFS([4]流入チャネル別顧客一覧_ユニーク!$C:$C,"&gt;="&amp;Q$3,[4]流入チャネル別顧客一覧_ユニーク!$C:$C,"&lt;"&amp;EDATE(Q$3,1),[4]流入チャネル別顧客一覧_ユニーク!$H:$H,"display")</f>
        <v>7</v>
      </c>
      <c r="R46" s="2">
        <f>COUNTIFS([4]流入チャネル別顧客一覧_ユニーク!$C:$C,"&gt;="&amp;R$3,[4]流入チャネル別顧客一覧_ユニーク!$C:$C,"&lt;"&amp;EDATE(R$3,1),[4]流入チャネル別顧客一覧_ユニーク!$H:$H,"listing")+COUNTIFS([4]流入チャネル別顧客一覧_ユニーク!$C:$C,"&gt;="&amp;R$3,[4]流入チャネル別顧客一覧_ユニーク!$C:$C,"&lt;"&amp;EDATE(R$3,1),[4]流入チャネル別顧客一覧_ユニーク!$H:$H,"検索連動型広告")+COUNTIFS([4]流入チャネル別顧客一覧_ユニーク!$C:$C,"&gt;="&amp;R$3,[4]流入チャネル別顧客一覧_ユニーク!$C:$C,"&lt;"&amp;EDATE(R$3,1),[4]流入チャネル別顧客一覧_ユニーク!$H:$H,"display")</f>
        <v>12</v>
      </c>
      <c r="S46" s="2">
        <f>COUNTIFS([4]流入チャネル別顧客一覧_ユニーク!$C:$C,"&gt;="&amp;S$3,[4]流入チャネル別顧客一覧_ユニーク!$C:$C,"&lt;"&amp;EDATE(S$3,1),[4]流入チャネル別顧客一覧_ユニーク!$H:$H,"listing")+COUNTIFS([4]流入チャネル別顧客一覧_ユニーク!$C:$C,"&gt;="&amp;S$3,[4]流入チャネル別顧客一覧_ユニーク!$C:$C,"&lt;"&amp;EDATE(S$3,1),[4]流入チャネル別顧客一覧_ユニーク!$H:$H,"検索連動型広告")+COUNTIFS([4]流入チャネル別顧客一覧_ユニーク!$C:$C,"&gt;="&amp;S$3,[4]流入チャネル別顧客一覧_ユニーク!$C:$C,"&lt;"&amp;EDATE(S$3,1),[4]流入チャネル別顧客一覧_ユニーク!$H:$H,"display")</f>
        <v>3</v>
      </c>
      <c r="T46" s="2">
        <f>COUNTIFS([4]流入チャネル別顧客一覧_ユニーク!$C:$C,"&gt;="&amp;T$3,[4]流入チャネル別顧客一覧_ユニーク!$C:$C,"&lt;"&amp;EDATE(T$3,1),[4]流入チャネル別顧客一覧_ユニーク!$H:$H,"listing")+COUNTIFS([4]流入チャネル別顧客一覧_ユニーク!$C:$C,"&gt;="&amp;T$3,[4]流入チャネル別顧客一覧_ユニーク!$C:$C,"&lt;"&amp;EDATE(T$3,1),[4]流入チャネル別顧客一覧_ユニーク!$H:$H,"検索連動型広告")+COUNTIFS([4]流入チャネル別顧客一覧_ユニーク!$C:$C,"&gt;="&amp;T$3,[4]流入チャネル別顧客一覧_ユニーク!$C:$C,"&lt;"&amp;EDATE(T$3,1),[4]流入チャネル別顧客一覧_ユニーク!$H:$H,"display")</f>
        <v>9</v>
      </c>
      <c r="U46" s="2">
        <f>COUNTIFS([4]流入チャネル別顧客一覧_ユニーク!$C:$C,"&gt;="&amp;U$3,[4]流入チャネル別顧客一覧_ユニーク!$C:$C,"&lt;"&amp;EDATE(U$3,1),[4]流入チャネル別顧客一覧_ユニーク!$H:$H,"listing")+COUNTIFS([4]流入チャネル別顧客一覧_ユニーク!$C:$C,"&gt;="&amp;U$3,[4]流入チャネル別顧客一覧_ユニーク!$C:$C,"&lt;"&amp;EDATE(U$3,1),[4]流入チャネル別顧客一覧_ユニーク!$H:$H,"検索連動型広告")+COUNTIFS([4]流入チャネル別顧客一覧_ユニーク!$C:$C,"&gt;="&amp;U$3,[4]流入チャネル別顧客一覧_ユニーク!$C:$C,"&lt;"&amp;EDATE(U$3,1),[4]流入チャネル別顧客一覧_ユニーク!$H:$H,"display")</f>
        <v>6</v>
      </c>
      <c r="V46" s="2">
        <f>COUNTIFS([4]流入チャネル別顧客一覧_ユニーク!$C:$C,"&gt;="&amp;V$3,[4]流入チャネル別顧客一覧_ユニーク!$C:$C,"&lt;"&amp;EDATE(V$3,1),[4]流入チャネル別顧客一覧_ユニーク!$H:$H,"listing")+COUNTIFS([4]流入チャネル別顧客一覧_ユニーク!$C:$C,"&gt;="&amp;V$3,[4]流入チャネル別顧客一覧_ユニーク!$C:$C,"&lt;"&amp;EDATE(V$3,1),[4]流入チャネル別顧客一覧_ユニーク!$H:$H,"検索連動型広告")+COUNTIFS([4]流入チャネル別顧客一覧_ユニーク!$C:$C,"&gt;="&amp;V$3,[4]流入チャネル別顧客一覧_ユニーク!$C:$C,"&lt;"&amp;EDATE(V$3,1),[4]流入チャネル別顧客一覧_ユニーク!$H:$H,"display")</f>
        <v>2</v>
      </c>
      <c r="W46" s="2">
        <f>COUNTIFS([4]流入チャネル別顧客一覧_ユニーク!$C:$C,"&gt;="&amp;W$3,[4]流入チャネル別顧客一覧_ユニーク!$C:$C,"&lt;"&amp;EDATE(W$3,1),[4]流入チャネル別顧客一覧_ユニーク!$H:$H,"listing")+COUNTIFS([4]流入チャネル別顧客一覧_ユニーク!$C:$C,"&gt;="&amp;W$3,[4]流入チャネル別顧客一覧_ユニーク!$C:$C,"&lt;"&amp;EDATE(W$3,1),[4]流入チャネル別顧客一覧_ユニーク!$H:$H,"検索連動型広告")+COUNTIFS([4]流入チャネル別顧客一覧_ユニーク!$C:$C,"&gt;="&amp;W$3,[4]流入チャネル別顧客一覧_ユニーク!$C:$C,"&lt;"&amp;EDATE(W$3,1),[4]流入チャネル別顧客一覧_ユニーク!$H:$H,"display")</f>
        <v>6</v>
      </c>
      <c r="X46" s="2">
        <f>COUNTIFS([4]流入チャネル別顧客一覧_ユニーク!$C:$C,"&gt;="&amp;X$3,[4]流入チャネル別顧客一覧_ユニーク!$C:$C,"&lt;"&amp;EDATE(X$3,1),[4]流入チャネル別顧客一覧_ユニーク!$H:$H,"listing")+COUNTIFS([4]流入チャネル別顧客一覧_ユニーク!$C:$C,"&gt;="&amp;X$3,[4]流入チャネル別顧客一覧_ユニーク!$C:$C,"&lt;"&amp;EDATE(X$3,1),[4]流入チャネル別顧客一覧_ユニーク!$H:$H,"検索連動型広告")+COUNTIFS([4]流入チャネル別顧客一覧_ユニーク!$C:$C,"&gt;="&amp;X$3,[4]流入チャネル別顧客一覧_ユニーク!$C:$C,"&lt;"&amp;EDATE(X$3,1),[4]流入チャネル別顧客一覧_ユニーク!$H:$H,"display")</f>
        <v>9</v>
      </c>
      <c r="Y46" s="2">
        <f>COUNTIFS([4]流入チャネル別顧客一覧_ユニーク!$C:$C,"&gt;="&amp;Y$3,[4]流入チャネル別顧客一覧_ユニーク!$C:$C,"&lt;"&amp;EDATE(Y$3,1),[4]流入チャネル別顧客一覧_ユニーク!$H:$H,"listing")+COUNTIFS([4]流入チャネル別顧客一覧_ユニーク!$C:$C,"&gt;="&amp;Y$3,[4]流入チャネル別顧客一覧_ユニーク!$C:$C,"&lt;"&amp;EDATE(Y$3,1),[4]流入チャネル別顧客一覧_ユニーク!$H:$H,"検索連動型広告")+COUNTIFS([4]流入チャネル別顧客一覧_ユニーク!$C:$C,"&gt;="&amp;Y$3,[4]流入チャネル別顧客一覧_ユニーク!$C:$C,"&lt;"&amp;EDATE(Y$3,1),[4]流入チャネル別顧客一覧_ユニーク!$H:$H,"display")</f>
        <v>9</v>
      </c>
      <c r="Z46" s="2">
        <f>COUNTIFS([4]流入チャネル別顧客一覧_ユニーク!$C:$C,"&gt;="&amp;Z$3,[4]流入チャネル別顧客一覧_ユニーク!$C:$C,"&lt;"&amp;EDATE(Z$3,1),[4]流入チャネル別顧客一覧_ユニーク!$H:$H,"listing")+COUNTIFS([4]流入チャネル別顧客一覧_ユニーク!$C:$C,"&gt;="&amp;Z$3,[4]流入チャネル別顧客一覧_ユニーク!$C:$C,"&lt;"&amp;EDATE(Z$3,1),[4]流入チャネル別顧客一覧_ユニーク!$H:$H,"検索連動型広告")+COUNTIFS([4]流入チャネル別顧客一覧_ユニーク!$C:$C,"&gt;="&amp;Z$3,[4]流入チャネル別顧客一覧_ユニーク!$C:$C,"&lt;"&amp;EDATE(Z$3,1),[4]流入チャネル別顧客一覧_ユニーク!$H:$H,"display")</f>
        <v>5</v>
      </c>
      <c r="AA46" s="2">
        <f>COUNTIFS([4]流入チャネル別顧客一覧_ユニーク!$C:$C,"&gt;="&amp;AA$3,[4]流入チャネル別顧客一覧_ユニーク!$C:$C,"&lt;"&amp;EDATE(AA$3,1),[4]流入チャネル別顧客一覧_ユニーク!$H:$H,"listing")+COUNTIFS([4]流入チャネル別顧客一覧_ユニーク!$C:$C,"&gt;="&amp;AA$3,[4]流入チャネル別顧客一覧_ユニーク!$C:$C,"&lt;"&amp;EDATE(AA$3,1),[4]流入チャネル別顧客一覧_ユニーク!$H:$H,"検索連動型広告")+COUNTIFS([4]流入チャネル別顧客一覧_ユニーク!$C:$C,"&gt;="&amp;AA$3,[4]流入チャネル別顧客一覧_ユニーク!$C:$C,"&lt;"&amp;EDATE(AA$3,1),[4]流入チャネル別顧客一覧_ユニーク!$H:$H,"display")</f>
        <v>8</v>
      </c>
      <c r="AB46" s="2">
        <f>COUNTIFS([4]流入チャネル別顧客一覧_ユニーク!$C:$C,"&gt;="&amp;AB$3,[4]流入チャネル別顧客一覧_ユニーク!$C:$C,"&lt;"&amp;EDATE(AB$3,1),[4]流入チャネル別顧客一覧_ユニーク!$H:$H,"listing")+COUNTIFS([4]流入チャネル別顧客一覧_ユニーク!$C:$C,"&gt;="&amp;AB$3,[4]流入チャネル別顧客一覧_ユニーク!$C:$C,"&lt;"&amp;EDATE(AB$3,1),[4]流入チャネル別顧客一覧_ユニーク!$H:$H,"検索連動型広告")+COUNTIFS([4]流入チャネル別顧客一覧_ユニーク!$C:$C,"&gt;="&amp;AB$3,[4]流入チャネル別顧客一覧_ユニーク!$C:$C,"&lt;"&amp;EDATE(AB$3,1),[4]流入チャネル別顧客一覧_ユニーク!$H:$H,"display")</f>
        <v>6</v>
      </c>
      <c r="AC46" s="2">
        <f>COUNTIFS([4]流入チャネル別顧客一覧_ユニーク!$C:$C,"&gt;="&amp;AC$3,[4]流入チャネル別顧客一覧_ユニーク!$C:$C,"&lt;"&amp;EDATE(AC$3,1),[4]流入チャネル別顧客一覧_ユニーク!$H:$H,"listing")+COUNTIFS([4]流入チャネル別顧客一覧_ユニーク!$C:$C,"&gt;="&amp;AC$3,[4]流入チャネル別顧客一覧_ユニーク!$C:$C,"&lt;"&amp;EDATE(AC$3,1),[4]流入チャネル別顧客一覧_ユニーク!$H:$H,"検索連動型広告")+COUNTIFS([4]流入チャネル別顧客一覧_ユニーク!$C:$C,"&gt;="&amp;AC$3,[4]流入チャネル別顧客一覧_ユニーク!$C:$C,"&lt;"&amp;EDATE(AC$3,1),[4]流入チャネル別顧客一覧_ユニーク!$H:$H,"display")</f>
        <v>3</v>
      </c>
      <c r="AD46" s="2">
        <f>COUNTIFS([4]流入チャネル別顧客一覧_ユニーク!$C:$C,"&gt;="&amp;AD$3,[4]流入チャネル別顧客一覧_ユニーク!$C:$C,"&lt;"&amp;EDATE(AD$3,1),[4]流入チャネル別顧客一覧_ユニーク!$H:$H,"listing")+COUNTIFS([4]流入チャネル別顧客一覧_ユニーク!$C:$C,"&gt;="&amp;AD$3,[4]流入チャネル別顧客一覧_ユニーク!$C:$C,"&lt;"&amp;EDATE(AD$3,1),[4]流入チャネル別顧客一覧_ユニーク!$H:$H,"検索連動型広告")+COUNTIFS([4]流入チャネル別顧客一覧_ユニーク!$C:$C,"&gt;="&amp;AD$3,[4]流入チャネル別顧客一覧_ユニーク!$C:$C,"&lt;"&amp;EDATE(AD$3,1),[4]流入チャネル別顧客一覧_ユニーク!$H:$H,"display")</f>
        <v>0</v>
      </c>
      <c r="AE46" s="2">
        <f>COUNTIFS([4]流入チャネル別顧客一覧_ユニーク!$C:$C,"&gt;="&amp;AE$3,[4]流入チャネル別顧客一覧_ユニーク!$C:$C,"&lt;"&amp;EDATE(AE$3,1),[4]流入チャネル別顧客一覧_ユニーク!$H:$H,"listing")+COUNTIFS([4]流入チャネル別顧客一覧_ユニーク!$C:$C,"&gt;="&amp;AE$3,[4]流入チャネル別顧客一覧_ユニーク!$C:$C,"&lt;"&amp;EDATE(AE$3,1),[4]流入チャネル別顧客一覧_ユニーク!$H:$H,"検索連動型広告")+COUNTIFS([4]流入チャネル別顧客一覧_ユニーク!$C:$C,"&gt;="&amp;AE$3,[4]流入チャネル別顧客一覧_ユニーク!$C:$C,"&lt;"&amp;EDATE(AE$3,1),[4]流入チャネル別顧客一覧_ユニーク!$H:$H,"display")</f>
        <v>0</v>
      </c>
      <c r="AF46" s="2">
        <f>COUNTIFS([4]流入チャネル別顧客一覧_ユニーク!$C:$C,"&gt;="&amp;AF$3,[4]流入チャネル別顧客一覧_ユニーク!$C:$C,"&lt;"&amp;EDATE(AF$3,1),[4]流入チャネル別顧客一覧_ユニーク!$H:$H,"listing")+COUNTIFS([4]流入チャネル別顧客一覧_ユニーク!$C:$C,"&gt;="&amp;AF$3,[4]流入チャネル別顧客一覧_ユニーク!$C:$C,"&lt;"&amp;EDATE(AF$3,1),[4]流入チャネル別顧客一覧_ユニーク!$H:$H,"検索連動型広告")+COUNTIFS([4]流入チャネル別顧客一覧_ユニーク!$C:$C,"&gt;="&amp;AF$3,[4]流入チャネル別顧客一覧_ユニーク!$C:$C,"&lt;"&amp;EDATE(AF$3,1),[4]流入チャネル別顧客一覧_ユニーク!$H:$H,"display")</f>
        <v>0</v>
      </c>
      <c r="AG46" s="2">
        <f>COUNTIFS([4]流入チャネル別顧客一覧_ユニーク!$C:$C,"&gt;="&amp;AG$3,[4]流入チャネル別顧客一覧_ユニーク!$C:$C,"&lt;"&amp;EDATE(AG$3,1),[4]流入チャネル別顧客一覧_ユニーク!$H:$H,"listing")+COUNTIFS([4]流入チャネル別顧客一覧_ユニーク!$C:$C,"&gt;="&amp;AG$3,[4]流入チャネル別顧客一覧_ユニーク!$C:$C,"&lt;"&amp;EDATE(AG$3,1),[4]流入チャネル別顧客一覧_ユニーク!$H:$H,"検索連動型広告")+COUNTIFS([4]流入チャネル別顧客一覧_ユニーク!$C:$C,"&gt;="&amp;AG$3,[4]流入チャネル別顧客一覧_ユニーク!$C:$C,"&lt;"&amp;EDATE(AG$3,1),[4]流入チャネル別顧客一覧_ユニーク!$H:$H,"display")</f>
        <v>0</v>
      </c>
      <c r="AH46" s="2">
        <f>COUNTIFS([4]流入チャネル別顧客一覧_ユニーク!$C:$C,"&gt;="&amp;AH$3,[4]流入チャネル別顧客一覧_ユニーク!$C:$C,"&lt;"&amp;EDATE(AH$3,1),[4]流入チャネル別顧客一覧_ユニーク!$H:$H,"listing")+COUNTIFS([4]流入チャネル別顧客一覧_ユニーク!$C:$C,"&gt;="&amp;AH$3,[4]流入チャネル別顧客一覧_ユニーク!$C:$C,"&lt;"&amp;EDATE(AH$3,1),[4]流入チャネル別顧客一覧_ユニーク!$H:$H,"検索連動型広告")+COUNTIFS([4]流入チャネル別顧客一覧_ユニーク!$C:$C,"&gt;="&amp;AH$3,[4]流入チャネル別顧客一覧_ユニーク!$C:$C,"&lt;"&amp;EDATE(AH$3,1),[4]流入チャネル別顧客一覧_ユニーク!$H:$H,"display")</f>
        <v>0</v>
      </c>
      <c r="AI46" s="2">
        <f>COUNTIFS([4]流入チャネル別顧客一覧_ユニーク!$C:$C,"&gt;="&amp;AI$3,[4]流入チャネル別顧客一覧_ユニーク!$C:$C,"&lt;"&amp;EDATE(AI$3,1),[4]流入チャネル別顧客一覧_ユニーク!$H:$H,"listing")+COUNTIFS([4]流入チャネル別顧客一覧_ユニーク!$C:$C,"&gt;="&amp;AI$3,[4]流入チャネル別顧客一覧_ユニーク!$C:$C,"&lt;"&amp;EDATE(AI$3,1),[4]流入チャネル別顧客一覧_ユニーク!$H:$H,"検索連動型広告")+COUNTIFS([4]流入チャネル別顧客一覧_ユニーク!$C:$C,"&gt;="&amp;AI$3,[4]流入チャネル別顧客一覧_ユニーク!$C:$C,"&lt;"&amp;EDATE(AI$3,1),[4]流入チャネル別顧客一覧_ユニーク!$H:$H,"display")</f>
        <v>0</v>
      </c>
      <c r="AJ46" s="2">
        <f>COUNTIFS([4]流入チャネル別顧客一覧_ユニーク!$C:$C,"&gt;="&amp;AJ$3,[4]流入チャネル別顧客一覧_ユニーク!$C:$C,"&lt;"&amp;EDATE(AJ$3,1),[4]流入チャネル別顧客一覧_ユニーク!$H:$H,"listing")+COUNTIFS([4]流入チャネル別顧客一覧_ユニーク!$C:$C,"&gt;="&amp;AJ$3,[4]流入チャネル別顧客一覧_ユニーク!$C:$C,"&lt;"&amp;EDATE(AJ$3,1),[4]流入チャネル別顧客一覧_ユニーク!$H:$H,"検索連動型広告")+COUNTIFS([4]流入チャネル別顧客一覧_ユニーク!$C:$C,"&gt;="&amp;AJ$3,[4]流入チャネル別顧客一覧_ユニーク!$C:$C,"&lt;"&amp;EDATE(AJ$3,1),[4]流入チャネル別顧客一覧_ユニーク!$H:$H,"display")</f>
        <v>0</v>
      </c>
      <c r="AK46" s="2">
        <f>COUNTIFS([4]流入チャネル別顧客一覧_ユニーク!$C:$C,"&gt;="&amp;AK$3,[4]流入チャネル別顧客一覧_ユニーク!$C:$C,"&lt;"&amp;EDATE(AK$3,1),[4]流入チャネル別顧客一覧_ユニーク!$H:$H,"listing")+COUNTIFS([4]流入チャネル別顧客一覧_ユニーク!$C:$C,"&gt;="&amp;AK$3,[4]流入チャネル別顧客一覧_ユニーク!$C:$C,"&lt;"&amp;EDATE(AK$3,1),[4]流入チャネル別顧客一覧_ユニーク!$H:$H,"検索連動型広告")+COUNTIFS([4]流入チャネル別顧客一覧_ユニーク!$C:$C,"&gt;="&amp;AK$3,[4]流入チャネル別顧客一覧_ユニーク!$C:$C,"&lt;"&amp;EDATE(AK$3,1),[4]流入チャネル別顧客一覧_ユニーク!$H:$H,"display")</f>
        <v>0</v>
      </c>
      <c r="AL46" s="2">
        <f>COUNTIFS([4]流入チャネル別顧客一覧_ユニーク!$C:$C,"&gt;="&amp;AL$3,[4]流入チャネル別顧客一覧_ユニーク!$C:$C,"&lt;"&amp;EDATE(AL$3,1),[4]流入チャネル別顧客一覧_ユニーク!$H:$H,"listing")+COUNTIFS([4]流入チャネル別顧客一覧_ユニーク!$C:$C,"&gt;="&amp;AL$3,[4]流入チャネル別顧客一覧_ユニーク!$C:$C,"&lt;"&amp;EDATE(AL$3,1),[4]流入チャネル別顧客一覧_ユニーク!$H:$H,"検索連動型広告")+COUNTIFS([4]流入チャネル別顧客一覧_ユニーク!$C:$C,"&gt;="&amp;AL$3,[4]流入チャネル別顧客一覧_ユニーク!$C:$C,"&lt;"&amp;EDATE(AL$3,1),[4]流入チャネル別顧客一覧_ユニーク!$H:$H,"display")</f>
        <v>0</v>
      </c>
      <c r="AM46" s="2">
        <f t="shared" ref="AM46:AM53" si="41">SUM(N46:Y46)</f>
        <v>81</v>
      </c>
      <c r="AN46" s="2">
        <f t="shared" ref="AN46:AN53" si="42">SUM(Z46:AK46)</f>
        <v>22</v>
      </c>
    </row>
    <row r="47" spans="1:50" ht="18">
      <c r="A47" s="141" t="s">
        <v>59</v>
      </c>
      <c r="B47" s="2"/>
      <c r="C47" s="2"/>
      <c r="D47" s="2"/>
      <c r="AL47" s="2"/>
    </row>
    <row r="48" spans="1:50" ht="18">
      <c r="A48" s="1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2</v>
      </c>
      <c r="M48" s="2">
        <v>2</v>
      </c>
      <c r="N48" s="2">
        <f>COUNTIFS([4]流入チャネル別顧客一覧_ユニーク!$C:$C,"&gt;="&amp;N$3,[4]流入チャネル別顧客一覧_ユニーク!$C:$C,"&lt;"&amp;EDATE(N$3,1),[4]流入チャネル別顧客一覧_ユニーク!$H:$H,"mail")+COUNTIFS([4]流入チャネル別顧客一覧_ユニーク!$C:$C,"&gt;="&amp;N$3,[4]流入チャネル別顧客一覧_ユニーク!$C:$C,"&lt;"&amp;EDATE(N$3,1),[4]流入チャネル別顧客一覧_ユニーク!$H:$H,"Eメールマーケティング")</f>
        <v>4</v>
      </c>
      <c r="O48" s="2">
        <f>COUNTIFS([4]流入チャネル別顧客一覧_ユニーク!$C:$C,"&gt;="&amp;O$3,[4]流入チャネル別顧客一覧_ユニーク!$C:$C,"&lt;"&amp;EDATE(O$3,1),[4]流入チャネル別顧客一覧_ユニーク!$H:$H,"mail")+COUNTIFS([4]流入チャネル別顧客一覧_ユニーク!$C:$C,"&gt;="&amp;O$3,[4]流入チャネル別顧客一覧_ユニーク!$C:$C,"&lt;"&amp;EDATE(O$3,1),[4]流入チャネル別顧客一覧_ユニーク!$H:$H,"Eメールマーケティング")</f>
        <v>3</v>
      </c>
      <c r="P48" s="2">
        <f>COUNTIFS([4]流入チャネル別顧客一覧_ユニーク!$C:$C,"&gt;="&amp;P$3,[4]流入チャネル別顧客一覧_ユニーク!$C:$C,"&lt;"&amp;EDATE(P$3,1),[4]流入チャネル別顧客一覧_ユニーク!$H:$H,"mail")+COUNTIFS([4]流入チャネル別顧客一覧_ユニーク!$C:$C,"&gt;="&amp;P$3,[4]流入チャネル別顧客一覧_ユニーク!$C:$C,"&lt;"&amp;EDATE(P$3,1),[4]流入チャネル別顧客一覧_ユニーク!$H:$H,"Eメールマーケティング")</f>
        <v>17</v>
      </c>
      <c r="Q48" s="2">
        <f>COUNTIFS([4]流入チャネル別顧客一覧_ユニーク!$C:$C,"&gt;="&amp;Q$3,[4]流入チャネル別顧客一覧_ユニーク!$C:$C,"&lt;"&amp;EDATE(Q$3,1),[4]流入チャネル別顧客一覧_ユニーク!$H:$H,"mail")+COUNTIFS([4]流入チャネル別顧客一覧_ユニーク!$C:$C,"&gt;="&amp;Q$3,[4]流入チャネル別顧客一覧_ユニーク!$C:$C,"&lt;"&amp;EDATE(Q$3,1),[4]流入チャネル別顧客一覧_ユニーク!$H:$H,"Eメールマーケティング")</f>
        <v>0</v>
      </c>
      <c r="R48" s="2">
        <f>COUNTIFS([4]流入チャネル別顧客一覧_ユニーク!$C:$C,"&gt;="&amp;R$3,[4]流入チャネル別顧客一覧_ユニーク!$C:$C,"&lt;"&amp;EDATE(R$3,1),[4]流入チャネル別顧客一覧_ユニーク!$H:$H,"mail")+COUNTIFS([4]流入チャネル別顧客一覧_ユニーク!$C:$C,"&gt;="&amp;R$3,[4]流入チャネル別顧客一覧_ユニーク!$C:$C,"&lt;"&amp;EDATE(R$3,1),[4]流入チャネル別顧客一覧_ユニーク!$H:$H,"Eメールマーケティング")</f>
        <v>25</v>
      </c>
      <c r="S48" s="2">
        <f>COUNTIFS([4]流入チャネル別顧客一覧_ユニーク!$C:$C,"&gt;="&amp;S$3,[4]流入チャネル別顧客一覧_ユニーク!$C:$C,"&lt;"&amp;EDATE(S$3,1),[4]流入チャネル別顧客一覧_ユニーク!$H:$H,"mail")+COUNTIFS([4]流入チャネル別顧客一覧_ユニーク!$C:$C,"&gt;="&amp;S$3,[4]流入チャネル別顧客一覧_ユニーク!$C:$C,"&lt;"&amp;EDATE(S$3,1),[4]流入チャネル別顧客一覧_ユニーク!$H:$H,"Eメールマーケティング")</f>
        <v>3</v>
      </c>
      <c r="T48" s="2">
        <f>COUNTIFS([4]流入チャネル別顧客一覧_ユニーク!$C:$C,"&gt;="&amp;T$3,[4]流入チャネル別顧客一覧_ユニーク!$C:$C,"&lt;"&amp;EDATE(T$3,1),[4]流入チャネル別顧客一覧_ユニーク!$H:$H,"mail")+COUNTIFS([4]流入チャネル別顧客一覧_ユニーク!$C:$C,"&gt;="&amp;T$3,[4]流入チャネル別顧客一覧_ユニーク!$C:$C,"&lt;"&amp;EDATE(T$3,1),[4]流入チャネル別顧客一覧_ユニーク!$H:$H,"Eメールマーケティング")</f>
        <v>8</v>
      </c>
      <c r="U48" s="2">
        <f>COUNTIFS([4]流入チャネル別顧客一覧_ユニーク!$C:$C,"&gt;="&amp;U$3,[4]流入チャネル別顧客一覧_ユニーク!$C:$C,"&lt;"&amp;EDATE(U$3,1),[4]流入チャネル別顧客一覧_ユニーク!$H:$H,"mail")+COUNTIFS([4]流入チャネル別顧客一覧_ユニーク!$C:$C,"&gt;="&amp;U$3,[4]流入チャネル別顧客一覧_ユニーク!$C:$C,"&lt;"&amp;EDATE(U$3,1),[4]流入チャネル別顧客一覧_ユニーク!$H:$H,"Eメールマーケティング")</f>
        <v>8</v>
      </c>
      <c r="V48" s="2">
        <f>COUNTIFS([4]流入チャネル別顧客一覧_ユニーク!$C:$C,"&gt;="&amp;V$3,[4]流入チャネル別顧客一覧_ユニーク!$C:$C,"&lt;"&amp;EDATE(V$3,1),[4]流入チャネル別顧客一覧_ユニーク!$H:$H,"mail")+COUNTIFS([4]流入チャネル別顧客一覧_ユニーク!$C:$C,"&gt;="&amp;V$3,[4]流入チャネル別顧客一覧_ユニーク!$C:$C,"&lt;"&amp;EDATE(V$3,1),[4]流入チャネル別顧客一覧_ユニーク!$H:$H,"Eメールマーケティング")</f>
        <v>0</v>
      </c>
      <c r="W48" s="2">
        <f>COUNTIFS([4]流入チャネル別顧客一覧_ユニーク!$C:$C,"&gt;="&amp;W$3,[4]流入チャネル別顧客一覧_ユニーク!$C:$C,"&lt;"&amp;EDATE(W$3,1),[4]流入チャネル別顧客一覧_ユニーク!$H:$H,"mail")+COUNTIFS([4]流入チャネル別顧客一覧_ユニーク!$C:$C,"&gt;="&amp;W$3,[4]流入チャネル別顧客一覧_ユニーク!$C:$C,"&lt;"&amp;EDATE(W$3,1),[4]流入チャネル別顧客一覧_ユニーク!$H:$H,"Eメールマーケティング")</f>
        <v>1</v>
      </c>
      <c r="X48" s="2">
        <f>COUNTIFS([4]流入チャネル別顧客一覧_ユニーク!$C:$C,"&gt;="&amp;X$3,[4]流入チャネル別顧客一覧_ユニーク!$C:$C,"&lt;"&amp;EDATE(X$3,1),[4]流入チャネル別顧客一覧_ユニーク!$H:$H,"mail")+COUNTIFS([4]流入チャネル別顧客一覧_ユニーク!$C:$C,"&gt;="&amp;X$3,[4]流入チャネル別顧客一覧_ユニーク!$C:$C,"&lt;"&amp;EDATE(X$3,1),[4]流入チャネル別顧客一覧_ユニーク!$H:$H,"Eメールマーケティング")</f>
        <v>20</v>
      </c>
      <c r="Y48" s="2">
        <f>COUNTIFS([4]流入チャネル別顧客一覧_ユニーク!$C:$C,"&gt;="&amp;Y$3,[4]流入チャネル別顧客一覧_ユニーク!$C:$C,"&lt;"&amp;EDATE(Y$3,1),[4]流入チャネル別顧客一覧_ユニーク!$H:$H,"mail")+COUNTIFS([4]流入チャネル別顧客一覧_ユニーク!$C:$C,"&gt;="&amp;Y$3,[4]流入チャネル別顧客一覧_ユニーク!$C:$C,"&lt;"&amp;EDATE(Y$3,1),[4]流入チャネル別顧客一覧_ユニーク!$H:$H,"Eメールマーケティング")</f>
        <v>28</v>
      </c>
      <c r="Z48" s="2">
        <f>COUNTIFS([4]流入チャネル別顧客一覧_ユニーク!$C:$C,"&gt;="&amp;Z$3,[4]流入チャネル別顧客一覧_ユニーク!$C:$C,"&lt;"&amp;EDATE(Z$3,1),[4]流入チャネル別顧客一覧_ユニーク!$H:$H,"mail")+COUNTIFS([4]流入チャネル別顧客一覧_ユニーク!$C:$C,"&gt;="&amp;Z$3,[4]流入チャネル別顧客一覧_ユニーク!$C:$C,"&lt;"&amp;EDATE(Z$3,1),[4]流入チャネル別顧客一覧_ユニーク!$H:$H,"Eメールマーケティング")</f>
        <v>1</v>
      </c>
      <c r="AA48" s="2">
        <f>COUNTIFS([4]流入チャネル別顧客一覧_ユニーク!$C:$C,"&gt;="&amp;AA$3,[4]流入チャネル別顧客一覧_ユニーク!$C:$C,"&lt;"&amp;EDATE(AA$3,1),[4]流入チャネル別顧客一覧_ユニーク!$H:$H,"mail")+COUNTIFS([4]流入チャネル別顧客一覧_ユニーク!$C:$C,"&gt;="&amp;AA$3,[4]流入チャネル別顧客一覧_ユニーク!$C:$C,"&lt;"&amp;EDATE(AA$3,1),[4]流入チャネル別顧客一覧_ユニーク!$H:$H,"Eメールマーケティング")</f>
        <v>9</v>
      </c>
      <c r="AB48" s="2">
        <f>COUNTIFS([4]流入チャネル別顧客一覧_ユニーク!$C:$C,"&gt;="&amp;AB$3,[4]流入チャネル別顧客一覧_ユニーク!$C:$C,"&lt;"&amp;EDATE(AB$3,1),[4]流入チャネル別顧客一覧_ユニーク!$H:$H,"mail")+COUNTIFS([4]流入チャネル別顧客一覧_ユニーク!$C:$C,"&gt;="&amp;AB$3,[4]流入チャネル別顧客一覧_ユニーク!$C:$C,"&lt;"&amp;EDATE(AB$3,1),[4]流入チャネル別顧客一覧_ユニーク!$H:$H,"Eメールマーケティング")</f>
        <v>20</v>
      </c>
      <c r="AC48" s="2">
        <f>COUNTIFS([4]流入チャネル別顧客一覧_ユニーク!$C:$C,"&gt;="&amp;AC$3,[4]流入チャネル別顧客一覧_ユニーク!$C:$C,"&lt;"&amp;EDATE(AC$3,1),[4]流入チャネル別顧客一覧_ユニーク!$H:$H,"mail")+COUNTIFS([4]流入チャネル別顧客一覧_ユニーク!$C:$C,"&gt;="&amp;AC$3,[4]流入チャネル別顧客一覧_ユニーク!$C:$C,"&lt;"&amp;EDATE(AC$3,1),[4]流入チャネル別顧客一覧_ユニーク!$H:$H,"Eメールマーケティング")</f>
        <v>15</v>
      </c>
      <c r="AD48" s="2">
        <f>COUNTIFS([4]流入チャネル別顧客一覧_ユニーク!$C:$C,"&gt;="&amp;AD$3,[4]流入チャネル別顧客一覧_ユニーク!$C:$C,"&lt;"&amp;EDATE(AD$3,1),[4]流入チャネル別顧客一覧_ユニーク!$H:$H,"mail")+COUNTIFS([4]流入チャネル別顧客一覧_ユニーク!$C:$C,"&gt;="&amp;AD$3,[4]流入チャネル別顧客一覧_ユニーク!$C:$C,"&lt;"&amp;EDATE(AD$3,1),[4]流入チャネル別顧客一覧_ユニーク!$H:$H,"Eメールマーケティング")</f>
        <v>0</v>
      </c>
      <c r="AE48" s="2">
        <f>COUNTIFS([4]流入チャネル別顧客一覧_ユニーク!$C:$C,"&gt;="&amp;AE$3,[4]流入チャネル別顧客一覧_ユニーク!$C:$C,"&lt;"&amp;EDATE(AE$3,1),[4]流入チャネル別顧客一覧_ユニーク!$H:$H,"mail")+COUNTIFS([4]流入チャネル別顧客一覧_ユニーク!$C:$C,"&gt;="&amp;AE$3,[4]流入チャネル別顧客一覧_ユニーク!$C:$C,"&lt;"&amp;EDATE(AE$3,1),[4]流入チャネル別顧客一覧_ユニーク!$H:$H,"Eメールマーケティング")</f>
        <v>0</v>
      </c>
      <c r="AF48" s="2">
        <f>COUNTIFS([4]流入チャネル別顧客一覧_ユニーク!$C:$C,"&gt;="&amp;AF$3,[4]流入チャネル別顧客一覧_ユニーク!$C:$C,"&lt;"&amp;EDATE(AF$3,1),[4]流入チャネル別顧客一覧_ユニーク!$H:$H,"mail")+COUNTIFS([4]流入チャネル別顧客一覧_ユニーク!$C:$C,"&gt;="&amp;AF$3,[4]流入チャネル別顧客一覧_ユニーク!$C:$C,"&lt;"&amp;EDATE(AF$3,1),[4]流入チャネル別顧客一覧_ユニーク!$H:$H,"Eメールマーケティング")</f>
        <v>0</v>
      </c>
      <c r="AG48" s="2">
        <f>COUNTIFS([4]流入チャネル別顧客一覧_ユニーク!$C:$C,"&gt;="&amp;AG$3,[4]流入チャネル別顧客一覧_ユニーク!$C:$C,"&lt;"&amp;EDATE(AG$3,1),[4]流入チャネル別顧客一覧_ユニーク!$H:$H,"mail")+COUNTIFS([4]流入チャネル別顧客一覧_ユニーク!$C:$C,"&gt;="&amp;AG$3,[4]流入チャネル別顧客一覧_ユニーク!$C:$C,"&lt;"&amp;EDATE(AG$3,1),[4]流入チャネル別顧客一覧_ユニーク!$H:$H,"Eメールマーケティング")</f>
        <v>0</v>
      </c>
      <c r="AH48" s="2">
        <f>COUNTIFS([4]流入チャネル別顧客一覧_ユニーク!$C:$C,"&gt;="&amp;AH$3,[4]流入チャネル別顧客一覧_ユニーク!$C:$C,"&lt;"&amp;EDATE(AH$3,1),[4]流入チャネル別顧客一覧_ユニーク!$H:$H,"mail")+COUNTIFS([4]流入チャネル別顧客一覧_ユニーク!$C:$C,"&gt;="&amp;AH$3,[4]流入チャネル別顧客一覧_ユニーク!$C:$C,"&lt;"&amp;EDATE(AH$3,1),[4]流入チャネル別顧客一覧_ユニーク!$H:$H,"Eメールマーケティング")</f>
        <v>0</v>
      </c>
      <c r="AI48" s="2">
        <f>COUNTIFS([4]流入チャネル別顧客一覧_ユニーク!$C:$C,"&gt;="&amp;AI$3,[4]流入チャネル別顧客一覧_ユニーク!$C:$C,"&lt;"&amp;EDATE(AI$3,1),[4]流入チャネル別顧客一覧_ユニーク!$H:$H,"mail")+COUNTIFS([4]流入チャネル別顧客一覧_ユニーク!$C:$C,"&gt;="&amp;AI$3,[4]流入チャネル別顧客一覧_ユニーク!$C:$C,"&lt;"&amp;EDATE(AI$3,1),[4]流入チャネル別顧客一覧_ユニーク!$H:$H,"Eメールマーケティング")</f>
        <v>0</v>
      </c>
      <c r="AJ48" s="2">
        <f>COUNTIFS([4]流入チャネル別顧客一覧_ユニーク!$C:$C,"&gt;="&amp;AJ$3,[4]流入チャネル別顧客一覧_ユニーク!$C:$C,"&lt;"&amp;EDATE(AJ$3,1),[4]流入チャネル別顧客一覧_ユニーク!$H:$H,"mail")+COUNTIFS([4]流入チャネル別顧客一覧_ユニーク!$C:$C,"&gt;="&amp;AJ$3,[4]流入チャネル別顧客一覧_ユニーク!$C:$C,"&lt;"&amp;EDATE(AJ$3,1),[4]流入チャネル別顧客一覧_ユニーク!$H:$H,"Eメールマーケティング")</f>
        <v>0</v>
      </c>
      <c r="AK48" s="2">
        <f>COUNTIFS([4]流入チャネル別顧客一覧_ユニーク!$C:$C,"&gt;="&amp;AK$3,[4]流入チャネル別顧客一覧_ユニーク!$C:$C,"&lt;"&amp;EDATE(AK$3,1),[4]流入チャネル別顧客一覧_ユニーク!$H:$H,"mail")+COUNTIFS([4]流入チャネル別顧客一覧_ユニーク!$C:$C,"&gt;="&amp;AK$3,[4]流入チャネル別顧客一覧_ユニーク!$C:$C,"&lt;"&amp;EDATE(AK$3,1),[4]流入チャネル別顧客一覧_ユニーク!$H:$H,"Eメールマーケティング")</f>
        <v>0</v>
      </c>
      <c r="AL48" s="2">
        <f>COUNTIFS([4]流入チャネル別顧客一覧_ユニーク!$C:$C,"&gt;="&amp;AL$3,[4]流入チャネル別顧客一覧_ユニーク!$C:$C,"&lt;"&amp;EDATE(AL$3,1),[4]流入チャネル別顧客一覧_ユニーク!$H:$H,"mail")+COUNTIFS([4]流入チャネル別顧客一覧_ユニーク!$C:$C,"&gt;="&amp;AL$3,[4]流入チャネル別顧客一覧_ユニーク!$C:$C,"&lt;"&amp;EDATE(AL$3,1),[4]流入チャネル別顧客一覧_ユニーク!$H:$H,"Eメールマーケティング")</f>
        <v>0</v>
      </c>
      <c r="AM48" s="2">
        <f t="shared" si="41"/>
        <v>117</v>
      </c>
      <c r="AN48" s="2">
        <f t="shared" si="42"/>
        <v>45</v>
      </c>
    </row>
    <row r="49" spans="1:50" ht="18">
      <c r="A49" s="1" t="s">
        <v>61</v>
      </c>
      <c r="B49" s="2">
        <v>3</v>
      </c>
      <c r="C49" s="2">
        <v>5</v>
      </c>
      <c r="D49" s="2">
        <v>7</v>
      </c>
      <c r="E49" s="2">
        <v>5</v>
      </c>
      <c r="F49" s="2">
        <v>1</v>
      </c>
      <c r="G49" s="2">
        <v>1</v>
      </c>
      <c r="H49" s="2">
        <v>1</v>
      </c>
      <c r="I49" s="2">
        <v>9</v>
      </c>
      <c r="J49" s="2">
        <v>4</v>
      </c>
      <c r="K49" s="2">
        <v>2</v>
      </c>
      <c r="L49" s="2">
        <v>5</v>
      </c>
      <c r="M49" s="2">
        <v>1</v>
      </c>
      <c r="N49" s="2">
        <f>COUNTIFS([4]流入チャネル別顧客一覧_ユニーク!$C:$C,"&gt;="&amp;N$3,[4]流入チャネル別顧客一覧_ユニーク!$C:$C,"&lt;"&amp;EDATE(N$3,1),[4]流入チャネル別顧客一覧_ユニーク!$H:$H,"direct")+COUNTIFS([4]流入チャネル別顧客一覧_ユニーク!$C:$C,"&gt;="&amp;N$3,[4]流入チャネル別顧客一覧_ユニーク!$C:$C,"&lt;"&amp;EDATE(N$3,1),[4]流入チャネル別顧客一覧_ユニーク!$H:$H,"直接トラフィック")</f>
        <v>3</v>
      </c>
      <c r="O49" s="2">
        <f>COUNTIFS([4]流入チャネル別顧客一覧_ユニーク!$C:$C,"&gt;="&amp;O$3,[4]流入チャネル別顧客一覧_ユニーク!$C:$C,"&lt;"&amp;EDATE(O$3,1),[4]流入チャネル別顧客一覧_ユニーク!$H:$H,"direct")+COUNTIFS([4]流入チャネル別顧客一覧_ユニーク!$C:$C,"&gt;="&amp;O$3,[4]流入チャネル別顧客一覧_ユニーク!$C:$C,"&lt;"&amp;EDATE(O$3,1),[4]流入チャネル別顧客一覧_ユニーク!$H:$H,"直接トラフィック")</f>
        <v>0</v>
      </c>
      <c r="P49" s="2">
        <f>COUNTIFS([4]流入チャネル別顧客一覧_ユニーク!$C:$C,"&gt;="&amp;P$3,[4]流入チャネル別顧客一覧_ユニーク!$C:$C,"&lt;"&amp;EDATE(P$3,1),[4]流入チャネル別顧客一覧_ユニーク!$H:$H,"direct")+COUNTIFS([4]流入チャネル別顧客一覧_ユニーク!$C:$C,"&gt;="&amp;P$3,[4]流入チャネル別顧客一覧_ユニーク!$C:$C,"&lt;"&amp;EDATE(P$3,1),[4]流入チャネル別顧客一覧_ユニーク!$H:$H,"直接トラフィック")</f>
        <v>1</v>
      </c>
      <c r="Q49" s="2">
        <f>COUNTIFS([4]流入チャネル別顧客一覧_ユニーク!$C:$C,"&gt;="&amp;Q$3,[4]流入チャネル別顧客一覧_ユニーク!$C:$C,"&lt;"&amp;EDATE(Q$3,1),[4]流入チャネル別顧客一覧_ユニーク!$H:$H,"direct")+COUNTIFS([4]流入チャネル別顧客一覧_ユニーク!$C:$C,"&gt;="&amp;Q$3,[4]流入チャネル別顧客一覧_ユニーク!$C:$C,"&lt;"&amp;EDATE(Q$3,1),[4]流入チャネル別顧客一覧_ユニーク!$H:$H,"直接トラフィック")</f>
        <v>0</v>
      </c>
      <c r="R49" s="2">
        <f>COUNTIFS([4]流入チャネル別顧客一覧_ユニーク!$C:$C,"&gt;="&amp;R$3,[4]流入チャネル別顧客一覧_ユニーク!$C:$C,"&lt;"&amp;EDATE(R$3,1),[4]流入チャネル別顧客一覧_ユニーク!$H:$H,"direct")+COUNTIFS([4]流入チャネル別顧客一覧_ユニーク!$C:$C,"&gt;="&amp;R$3,[4]流入チャネル別顧客一覧_ユニーク!$C:$C,"&lt;"&amp;EDATE(R$3,1),[4]流入チャネル別顧客一覧_ユニーク!$H:$H,"直接トラフィック")</f>
        <v>7</v>
      </c>
      <c r="S49" s="2">
        <f>COUNTIFS([4]流入チャネル別顧客一覧_ユニーク!$C:$C,"&gt;="&amp;S$3,[4]流入チャネル別顧客一覧_ユニーク!$C:$C,"&lt;"&amp;EDATE(S$3,1),[4]流入チャネル別顧客一覧_ユニーク!$H:$H,"direct")+COUNTIFS([4]流入チャネル別顧客一覧_ユニーク!$C:$C,"&gt;="&amp;S$3,[4]流入チャネル別顧客一覧_ユニーク!$C:$C,"&lt;"&amp;EDATE(S$3,1),[4]流入チャネル別顧客一覧_ユニーク!$H:$H,"直接トラフィック")</f>
        <v>3</v>
      </c>
      <c r="T49" s="2">
        <f>COUNTIFS([4]流入チャネル別顧客一覧_ユニーク!$C:$C,"&gt;="&amp;T$3,[4]流入チャネル別顧客一覧_ユニーク!$C:$C,"&lt;"&amp;EDATE(T$3,1),[4]流入チャネル別顧客一覧_ユニーク!$H:$H,"direct")+COUNTIFS([4]流入チャネル別顧客一覧_ユニーク!$C:$C,"&gt;="&amp;T$3,[4]流入チャネル別顧客一覧_ユニーク!$C:$C,"&lt;"&amp;EDATE(T$3,1),[4]流入チャネル別顧客一覧_ユニーク!$H:$H,"直接トラフィック")</f>
        <v>2</v>
      </c>
      <c r="U49" s="2">
        <f>COUNTIFS([4]流入チャネル別顧客一覧_ユニーク!$C:$C,"&gt;="&amp;U$3,[4]流入チャネル別顧客一覧_ユニーク!$C:$C,"&lt;"&amp;EDATE(U$3,1),[4]流入チャネル別顧客一覧_ユニーク!$H:$H,"direct")+COUNTIFS([4]流入チャネル別顧客一覧_ユニーク!$C:$C,"&gt;="&amp;U$3,[4]流入チャネル別顧客一覧_ユニーク!$C:$C,"&lt;"&amp;EDATE(U$3,1),[4]流入チャネル別顧客一覧_ユニーク!$H:$H,"直接トラフィック")</f>
        <v>2</v>
      </c>
      <c r="V49" s="2">
        <f>COUNTIFS([4]流入チャネル別顧客一覧_ユニーク!$C:$C,"&gt;="&amp;V$3,[4]流入チャネル別顧客一覧_ユニーク!$C:$C,"&lt;"&amp;EDATE(V$3,1),[4]流入チャネル別顧客一覧_ユニーク!$H:$H,"direct")+COUNTIFS([4]流入チャネル別顧客一覧_ユニーク!$C:$C,"&gt;="&amp;V$3,[4]流入チャネル別顧客一覧_ユニーク!$C:$C,"&lt;"&amp;EDATE(V$3,1),[4]流入チャネル別顧客一覧_ユニーク!$H:$H,"直接トラフィック")</f>
        <v>0</v>
      </c>
      <c r="W49" s="2">
        <f>COUNTIFS([4]流入チャネル別顧客一覧_ユニーク!$C:$C,"&gt;="&amp;W$3,[4]流入チャネル別顧客一覧_ユニーク!$C:$C,"&lt;"&amp;EDATE(W$3,1),[4]流入チャネル別顧客一覧_ユニーク!$H:$H,"direct")+COUNTIFS([4]流入チャネル別顧客一覧_ユニーク!$C:$C,"&gt;="&amp;W$3,[4]流入チャネル別顧客一覧_ユニーク!$C:$C,"&lt;"&amp;EDATE(W$3,1),[4]流入チャネル別顧客一覧_ユニーク!$H:$H,"直接トラフィック")</f>
        <v>4</v>
      </c>
      <c r="X49" s="2">
        <f>COUNTIFS([4]流入チャネル別顧客一覧_ユニーク!$C:$C,"&gt;="&amp;X$3,[4]流入チャネル別顧客一覧_ユニーク!$C:$C,"&lt;"&amp;EDATE(X$3,1),[4]流入チャネル別顧客一覧_ユニーク!$H:$H,"direct")+COUNTIFS([4]流入チャネル別顧客一覧_ユニーク!$C:$C,"&gt;="&amp;X$3,[4]流入チャネル別顧客一覧_ユニーク!$C:$C,"&lt;"&amp;EDATE(X$3,1),[4]流入チャネル別顧客一覧_ユニーク!$H:$H,"直接トラフィック")</f>
        <v>2</v>
      </c>
      <c r="Y49" s="2">
        <f>COUNTIFS([4]流入チャネル別顧客一覧_ユニーク!$C:$C,"&gt;="&amp;Y$3,[4]流入チャネル別顧客一覧_ユニーク!$C:$C,"&lt;"&amp;EDATE(Y$3,1),[4]流入チャネル別顧客一覧_ユニーク!$H:$H,"direct")+COUNTIFS([4]流入チャネル別顧客一覧_ユニーク!$C:$C,"&gt;="&amp;Y$3,[4]流入チャネル別顧客一覧_ユニーク!$C:$C,"&lt;"&amp;EDATE(Y$3,1),[4]流入チャネル別顧客一覧_ユニーク!$H:$H,"直接トラフィック")</f>
        <v>9</v>
      </c>
      <c r="Z49" s="2">
        <f>COUNTIFS([4]流入チャネル別顧客一覧_ユニーク!$C:$C,"&gt;="&amp;Z$3,[4]流入チャネル別顧客一覧_ユニーク!$C:$C,"&lt;"&amp;EDATE(Z$3,1),[4]流入チャネル別顧客一覧_ユニーク!$H:$H,"direct")+COUNTIFS([4]流入チャネル別顧客一覧_ユニーク!$C:$C,"&gt;="&amp;Z$3,[4]流入チャネル別顧客一覧_ユニーク!$C:$C,"&lt;"&amp;EDATE(Z$3,1),[4]流入チャネル別顧客一覧_ユニーク!$H:$H,"直接トラフィック")</f>
        <v>1</v>
      </c>
      <c r="AA49" s="2">
        <f>COUNTIFS([4]流入チャネル別顧客一覧_ユニーク!$C:$C,"&gt;="&amp;AA$3,[4]流入チャネル別顧客一覧_ユニーク!$C:$C,"&lt;"&amp;EDATE(AA$3,1),[4]流入チャネル別顧客一覧_ユニーク!$H:$H,"direct")+COUNTIFS([4]流入チャネル別顧客一覧_ユニーク!$C:$C,"&gt;="&amp;AA$3,[4]流入チャネル別顧客一覧_ユニーク!$C:$C,"&lt;"&amp;EDATE(AA$3,1),[4]流入チャネル別顧客一覧_ユニーク!$H:$H,"直接トラフィック")</f>
        <v>3</v>
      </c>
      <c r="AB49" s="2">
        <f>COUNTIFS([4]流入チャネル別顧客一覧_ユニーク!$C:$C,"&gt;="&amp;AB$3,[4]流入チャネル別顧客一覧_ユニーク!$C:$C,"&lt;"&amp;EDATE(AB$3,1),[4]流入チャネル別顧客一覧_ユニーク!$H:$H,"direct")+COUNTIFS([4]流入チャネル別顧客一覧_ユニーク!$C:$C,"&gt;="&amp;AB$3,[4]流入チャネル別顧客一覧_ユニーク!$C:$C,"&lt;"&amp;EDATE(AB$3,1),[4]流入チャネル別顧客一覧_ユニーク!$H:$H,"直接トラフィック")</f>
        <v>3</v>
      </c>
      <c r="AC49" s="2">
        <f>COUNTIFS([4]流入チャネル別顧客一覧_ユニーク!$C:$C,"&gt;="&amp;AC$3,[4]流入チャネル別顧客一覧_ユニーク!$C:$C,"&lt;"&amp;EDATE(AC$3,1),[4]流入チャネル別顧客一覧_ユニーク!$H:$H,"direct")+COUNTIFS([4]流入チャネル別顧客一覧_ユニーク!$C:$C,"&gt;="&amp;AC$3,[4]流入チャネル別顧客一覧_ユニーク!$C:$C,"&lt;"&amp;EDATE(AC$3,1),[4]流入チャネル別顧客一覧_ユニーク!$H:$H,"直接トラフィック")</f>
        <v>3</v>
      </c>
      <c r="AD49" s="2">
        <f>COUNTIFS([4]流入チャネル別顧客一覧_ユニーク!$C:$C,"&gt;="&amp;AD$3,[4]流入チャネル別顧客一覧_ユニーク!$C:$C,"&lt;"&amp;EDATE(AD$3,1),[4]流入チャネル別顧客一覧_ユニーク!$H:$H,"direct")+COUNTIFS([4]流入チャネル別顧客一覧_ユニーク!$C:$C,"&gt;="&amp;AD$3,[4]流入チャネル別顧客一覧_ユニーク!$C:$C,"&lt;"&amp;EDATE(AD$3,1),[4]流入チャネル別顧客一覧_ユニーク!$H:$H,"直接トラフィック")</f>
        <v>0</v>
      </c>
      <c r="AE49" s="2">
        <f>COUNTIFS([4]流入チャネル別顧客一覧_ユニーク!$C:$C,"&gt;="&amp;AE$3,[4]流入チャネル別顧客一覧_ユニーク!$C:$C,"&lt;"&amp;EDATE(AE$3,1),[4]流入チャネル別顧客一覧_ユニーク!$H:$H,"direct")+COUNTIFS([4]流入チャネル別顧客一覧_ユニーク!$C:$C,"&gt;="&amp;AE$3,[4]流入チャネル別顧客一覧_ユニーク!$C:$C,"&lt;"&amp;EDATE(AE$3,1),[4]流入チャネル別顧客一覧_ユニーク!$H:$H,"直接トラフィック")</f>
        <v>0</v>
      </c>
      <c r="AF49" s="2">
        <f>COUNTIFS([4]流入チャネル別顧客一覧_ユニーク!$C:$C,"&gt;="&amp;AF$3,[4]流入チャネル別顧客一覧_ユニーク!$C:$C,"&lt;"&amp;EDATE(AF$3,1),[4]流入チャネル別顧客一覧_ユニーク!$H:$H,"direct")+COUNTIFS([4]流入チャネル別顧客一覧_ユニーク!$C:$C,"&gt;="&amp;AF$3,[4]流入チャネル別顧客一覧_ユニーク!$C:$C,"&lt;"&amp;EDATE(AF$3,1),[4]流入チャネル別顧客一覧_ユニーク!$H:$H,"直接トラフィック")</f>
        <v>0</v>
      </c>
      <c r="AG49" s="2">
        <f>COUNTIFS([4]流入チャネル別顧客一覧_ユニーク!$C:$C,"&gt;="&amp;AG$3,[4]流入チャネル別顧客一覧_ユニーク!$C:$C,"&lt;"&amp;EDATE(AG$3,1),[4]流入チャネル別顧客一覧_ユニーク!$H:$H,"direct")+COUNTIFS([4]流入チャネル別顧客一覧_ユニーク!$C:$C,"&gt;="&amp;AG$3,[4]流入チャネル別顧客一覧_ユニーク!$C:$C,"&lt;"&amp;EDATE(AG$3,1),[4]流入チャネル別顧客一覧_ユニーク!$H:$H,"直接トラフィック")</f>
        <v>0</v>
      </c>
      <c r="AH49" s="2">
        <f>COUNTIFS([4]流入チャネル別顧客一覧_ユニーク!$C:$C,"&gt;="&amp;AH$3,[4]流入チャネル別顧客一覧_ユニーク!$C:$C,"&lt;"&amp;EDATE(AH$3,1),[4]流入チャネル別顧客一覧_ユニーク!$H:$H,"direct")+COUNTIFS([4]流入チャネル別顧客一覧_ユニーク!$C:$C,"&gt;="&amp;AH$3,[4]流入チャネル別顧客一覧_ユニーク!$C:$C,"&lt;"&amp;EDATE(AH$3,1),[4]流入チャネル別顧客一覧_ユニーク!$H:$H,"直接トラフィック")</f>
        <v>0</v>
      </c>
      <c r="AI49" s="2">
        <f>COUNTIFS([4]流入チャネル別顧客一覧_ユニーク!$C:$C,"&gt;="&amp;AI$3,[4]流入チャネル別顧客一覧_ユニーク!$C:$C,"&lt;"&amp;EDATE(AI$3,1),[4]流入チャネル別顧客一覧_ユニーク!$H:$H,"direct")+COUNTIFS([4]流入チャネル別顧客一覧_ユニーク!$C:$C,"&gt;="&amp;AI$3,[4]流入チャネル別顧客一覧_ユニーク!$C:$C,"&lt;"&amp;EDATE(AI$3,1),[4]流入チャネル別顧客一覧_ユニーク!$H:$H,"直接トラフィック")</f>
        <v>0</v>
      </c>
      <c r="AJ49" s="2">
        <f>COUNTIFS([4]流入チャネル別顧客一覧_ユニーク!$C:$C,"&gt;="&amp;AJ$3,[4]流入チャネル別顧客一覧_ユニーク!$C:$C,"&lt;"&amp;EDATE(AJ$3,1),[4]流入チャネル別顧客一覧_ユニーク!$H:$H,"direct")+COUNTIFS([4]流入チャネル別顧客一覧_ユニーク!$C:$C,"&gt;="&amp;AJ$3,[4]流入チャネル別顧客一覧_ユニーク!$C:$C,"&lt;"&amp;EDATE(AJ$3,1),[4]流入チャネル別顧客一覧_ユニーク!$H:$H,"直接トラフィック")</f>
        <v>0</v>
      </c>
      <c r="AK49" s="2">
        <f>COUNTIFS([4]流入チャネル別顧客一覧_ユニーク!$C:$C,"&gt;="&amp;AK$3,[4]流入チャネル別顧客一覧_ユニーク!$C:$C,"&lt;"&amp;EDATE(AK$3,1),[4]流入チャネル別顧客一覧_ユニーク!$H:$H,"direct")+COUNTIFS([4]流入チャネル別顧客一覧_ユニーク!$C:$C,"&gt;="&amp;AK$3,[4]流入チャネル別顧客一覧_ユニーク!$C:$C,"&lt;"&amp;EDATE(AK$3,1),[4]流入チャネル別顧客一覧_ユニーク!$H:$H,"直接トラフィック")</f>
        <v>0</v>
      </c>
      <c r="AL49" s="2">
        <f>COUNTIFS([4]流入チャネル別顧客一覧_ユニーク!$C:$C,"&gt;="&amp;AL$3,[4]流入チャネル別顧客一覧_ユニーク!$C:$C,"&lt;"&amp;EDATE(AL$3,1),[4]流入チャネル別顧客一覧_ユニーク!$H:$H,"direct")+COUNTIFS([4]流入チャネル別顧客一覧_ユニーク!$C:$C,"&gt;="&amp;AL$3,[4]流入チャネル別顧客一覧_ユニーク!$C:$C,"&lt;"&amp;EDATE(AL$3,1),[4]流入チャネル別顧客一覧_ユニーク!$H:$H,"直接トラフィック")</f>
        <v>0</v>
      </c>
      <c r="AM49" s="2">
        <f t="shared" si="41"/>
        <v>33</v>
      </c>
      <c r="AN49" s="2">
        <f t="shared" si="42"/>
        <v>10</v>
      </c>
    </row>
    <row r="50" spans="1:50" ht="18">
      <c r="A50" s="1" t="s">
        <v>62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12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f>COUNTIFS([4]流入チャネル別顧客一覧_ユニーク!$C:$C,"&gt;="&amp;N$3,[4]流入チャネル別顧客一覧_ユニーク!$C:$C,"&lt;"&amp;EDATE(N$3,1),[4]流入チャネル別顧客一覧_ユニーク!$H:$H,"link")+COUNTIFS([4]流入チャネル別顧客一覧_ユニーク!$C:$C,"&gt;="&amp;N$3,[4]流入チャネル別顧客一覧_ユニーク!$C:$C,"&lt;"&amp;EDATE(N$3,1),[4]流入チャネル別顧客一覧_ユニーク!$H:$H,"リファラル")+COUNTIFS([4]流入チャネル別顧客一覧_ユニーク!$C:$C,"&gt;="&amp;N$3,[4]流入チャネル別顧客一覧_ユニーク!$C:$C,"&lt;"&amp;EDATE(N$3,1),[4]流入チャネル別顧客一覧_ユニーク!$H:$H,"AIリファーラル")+COUNTIFS([4]流入チャネル別顧客一覧_ユニーク!$C:$C,"&gt;="&amp;N$3,[4]流入チャネル別顧客一覧_ユニーク!$C:$C,"&lt;"&amp;EDATE(N$3,1),[4]流入チャネル別顧客一覧_ユニーク!$H:$H,"リファーラル")</f>
        <v>3</v>
      </c>
      <c r="O50" s="2">
        <f>COUNTIFS([4]流入チャネル別顧客一覧_ユニーク!$C:$C,"&gt;="&amp;O$3,[4]流入チャネル別顧客一覧_ユニーク!$C:$C,"&lt;"&amp;EDATE(O$3,1),[4]流入チャネル別顧客一覧_ユニーク!$H:$H,"link")+COUNTIFS([4]流入チャネル別顧客一覧_ユニーク!$C:$C,"&gt;="&amp;O$3,[4]流入チャネル別顧客一覧_ユニーク!$C:$C,"&lt;"&amp;EDATE(O$3,1),[4]流入チャネル別顧客一覧_ユニーク!$H:$H,"リファラル")+COUNTIFS([4]流入チャネル別顧客一覧_ユニーク!$C:$C,"&gt;="&amp;O$3,[4]流入チャネル別顧客一覧_ユニーク!$C:$C,"&lt;"&amp;EDATE(O$3,1),[4]流入チャネル別顧客一覧_ユニーク!$H:$H,"AIリファーラル")+COUNTIFS([4]流入チャネル別顧客一覧_ユニーク!$C:$C,"&gt;="&amp;O$3,[4]流入チャネル別顧客一覧_ユニーク!$C:$C,"&lt;"&amp;EDATE(O$3,1),[4]流入チャネル別顧客一覧_ユニーク!$H:$H,"リファーラル")</f>
        <v>3</v>
      </c>
      <c r="P50" s="2">
        <f>COUNTIFS([4]流入チャネル別顧客一覧_ユニーク!$C:$C,"&gt;="&amp;P$3,[4]流入チャネル別顧客一覧_ユニーク!$C:$C,"&lt;"&amp;EDATE(P$3,1),[4]流入チャネル別顧客一覧_ユニーク!$H:$H,"link")+COUNTIFS([4]流入チャネル別顧客一覧_ユニーク!$C:$C,"&gt;="&amp;P$3,[4]流入チャネル別顧客一覧_ユニーク!$C:$C,"&lt;"&amp;EDATE(P$3,1),[4]流入チャネル別顧客一覧_ユニーク!$H:$H,"リファラル")+COUNTIFS([4]流入チャネル別顧客一覧_ユニーク!$C:$C,"&gt;="&amp;P$3,[4]流入チャネル別顧客一覧_ユニーク!$C:$C,"&lt;"&amp;EDATE(P$3,1),[4]流入チャネル別顧客一覧_ユニーク!$H:$H,"AIリファーラル")+COUNTIFS([4]流入チャネル別顧客一覧_ユニーク!$C:$C,"&gt;="&amp;P$3,[4]流入チャネル別顧客一覧_ユニーク!$C:$C,"&lt;"&amp;EDATE(P$3,1),[4]流入チャネル別顧客一覧_ユニーク!$H:$H,"リファーラル")</f>
        <v>1</v>
      </c>
      <c r="Q50" s="2">
        <f>COUNTIFS([4]流入チャネル別顧客一覧_ユニーク!$C:$C,"&gt;="&amp;Q$3,[4]流入チャネル別顧客一覧_ユニーク!$C:$C,"&lt;"&amp;EDATE(Q$3,1),[4]流入チャネル別顧客一覧_ユニーク!$H:$H,"link")+COUNTIFS([4]流入チャネル別顧客一覧_ユニーク!$C:$C,"&gt;="&amp;Q$3,[4]流入チャネル別顧客一覧_ユニーク!$C:$C,"&lt;"&amp;EDATE(Q$3,1),[4]流入チャネル別顧客一覧_ユニーク!$H:$H,"リファラル")+COUNTIFS([4]流入チャネル別顧客一覧_ユニーク!$C:$C,"&gt;="&amp;Q$3,[4]流入チャネル別顧客一覧_ユニーク!$C:$C,"&lt;"&amp;EDATE(Q$3,1),[4]流入チャネル別顧客一覧_ユニーク!$H:$H,"AIリファーラル")+COUNTIFS([4]流入チャネル別顧客一覧_ユニーク!$C:$C,"&gt;="&amp;Q$3,[4]流入チャネル別顧客一覧_ユニーク!$C:$C,"&lt;"&amp;EDATE(Q$3,1),[4]流入チャネル別顧客一覧_ユニーク!$H:$H,"リファーラル")</f>
        <v>3</v>
      </c>
      <c r="R50" s="2">
        <f>COUNTIFS([4]流入チャネル別顧客一覧_ユニーク!$C:$C,"&gt;="&amp;R$3,[4]流入チャネル別顧客一覧_ユニーク!$C:$C,"&lt;"&amp;EDATE(R$3,1),[4]流入チャネル別顧客一覧_ユニーク!$H:$H,"link")+COUNTIFS([4]流入チャネル別顧客一覧_ユニーク!$C:$C,"&gt;="&amp;R$3,[4]流入チャネル別顧客一覧_ユニーク!$C:$C,"&lt;"&amp;EDATE(R$3,1),[4]流入チャネル別顧客一覧_ユニーク!$H:$H,"リファラル")+COUNTIFS([4]流入チャネル別顧客一覧_ユニーク!$C:$C,"&gt;="&amp;R$3,[4]流入チャネル別顧客一覧_ユニーク!$C:$C,"&lt;"&amp;EDATE(R$3,1),[4]流入チャネル別顧客一覧_ユニーク!$H:$H,"AIリファーラル")+COUNTIFS([4]流入チャネル別顧客一覧_ユニーク!$C:$C,"&gt;="&amp;R$3,[4]流入チャネル別顧客一覧_ユニーク!$C:$C,"&lt;"&amp;EDATE(R$3,1),[4]流入チャネル別顧客一覧_ユニーク!$H:$H,"リファーラル")</f>
        <v>0</v>
      </c>
      <c r="S50" s="2">
        <f>COUNTIFS([4]流入チャネル別顧客一覧_ユニーク!$C:$C,"&gt;="&amp;S$3,[4]流入チャネル別顧客一覧_ユニーク!$C:$C,"&lt;"&amp;EDATE(S$3,1),[4]流入チャネル別顧客一覧_ユニーク!$H:$H,"link")+COUNTIFS([4]流入チャネル別顧客一覧_ユニーク!$C:$C,"&gt;="&amp;S$3,[4]流入チャネル別顧客一覧_ユニーク!$C:$C,"&lt;"&amp;EDATE(S$3,1),[4]流入チャネル別顧客一覧_ユニーク!$H:$H,"リファラル")+COUNTIFS([4]流入チャネル別顧客一覧_ユニーク!$C:$C,"&gt;="&amp;S$3,[4]流入チャネル別顧客一覧_ユニーク!$C:$C,"&lt;"&amp;EDATE(S$3,1),[4]流入チャネル別顧客一覧_ユニーク!$H:$H,"AIリファーラル")+COUNTIFS([4]流入チャネル別顧客一覧_ユニーク!$C:$C,"&gt;="&amp;S$3,[4]流入チャネル別顧客一覧_ユニーク!$C:$C,"&lt;"&amp;EDATE(S$3,1),[4]流入チャネル別顧客一覧_ユニーク!$H:$H,"リファーラル")</f>
        <v>3</v>
      </c>
      <c r="T50" s="2">
        <f>COUNTIFS([4]流入チャネル別顧客一覧_ユニーク!$C:$C,"&gt;="&amp;T$3,[4]流入チャネル別顧客一覧_ユニーク!$C:$C,"&lt;"&amp;EDATE(T$3,1),[4]流入チャネル別顧客一覧_ユニーク!$H:$H,"link")+COUNTIFS([4]流入チャネル別顧客一覧_ユニーク!$C:$C,"&gt;="&amp;T$3,[4]流入チャネル別顧客一覧_ユニーク!$C:$C,"&lt;"&amp;EDATE(T$3,1),[4]流入チャネル別顧客一覧_ユニーク!$H:$H,"リファラル")+COUNTIFS([4]流入チャネル別顧客一覧_ユニーク!$C:$C,"&gt;="&amp;T$3,[4]流入チャネル別顧客一覧_ユニーク!$C:$C,"&lt;"&amp;EDATE(T$3,1),[4]流入チャネル別顧客一覧_ユニーク!$H:$H,"AIリファーラル")+COUNTIFS([4]流入チャネル別顧客一覧_ユニーク!$C:$C,"&gt;="&amp;T$3,[4]流入チャネル別顧客一覧_ユニーク!$C:$C,"&lt;"&amp;EDATE(T$3,1),[4]流入チャネル別顧客一覧_ユニーク!$H:$H,"リファーラル")</f>
        <v>1</v>
      </c>
      <c r="U50" s="2">
        <f>COUNTIFS([4]流入チャネル別顧客一覧_ユニーク!$C:$C,"&gt;="&amp;U$3,[4]流入チャネル別顧客一覧_ユニーク!$C:$C,"&lt;"&amp;EDATE(U$3,1),[4]流入チャネル別顧客一覧_ユニーク!$H:$H,"link")+COUNTIFS([4]流入チャネル別顧客一覧_ユニーク!$C:$C,"&gt;="&amp;U$3,[4]流入チャネル別顧客一覧_ユニーク!$C:$C,"&lt;"&amp;EDATE(U$3,1),[4]流入チャネル別顧客一覧_ユニーク!$H:$H,"リファラル")+COUNTIFS([4]流入チャネル別顧客一覧_ユニーク!$C:$C,"&gt;="&amp;U$3,[4]流入チャネル別顧客一覧_ユニーク!$C:$C,"&lt;"&amp;EDATE(U$3,1),[4]流入チャネル別顧客一覧_ユニーク!$H:$H,"AIリファーラル")+COUNTIFS([4]流入チャネル別顧客一覧_ユニーク!$C:$C,"&gt;="&amp;U$3,[4]流入チャネル別顧客一覧_ユニーク!$C:$C,"&lt;"&amp;EDATE(U$3,1),[4]流入チャネル別顧客一覧_ユニーク!$H:$H,"リファーラル")</f>
        <v>1</v>
      </c>
      <c r="V50" s="2">
        <f>COUNTIFS([4]流入チャネル別顧客一覧_ユニーク!$C:$C,"&gt;="&amp;V$3,[4]流入チャネル別顧客一覧_ユニーク!$C:$C,"&lt;"&amp;EDATE(V$3,1),[4]流入チャネル別顧客一覧_ユニーク!$H:$H,"link")+COUNTIFS([4]流入チャネル別顧客一覧_ユニーク!$C:$C,"&gt;="&amp;V$3,[4]流入チャネル別顧客一覧_ユニーク!$C:$C,"&lt;"&amp;EDATE(V$3,1),[4]流入チャネル別顧客一覧_ユニーク!$H:$H,"リファラル")+COUNTIFS([4]流入チャネル別顧客一覧_ユニーク!$C:$C,"&gt;="&amp;V$3,[4]流入チャネル別顧客一覧_ユニーク!$C:$C,"&lt;"&amp;EDATE(V$3,1),[4]流入チャネル別顧客一覧_ユニーク!$H:$H,"AIリファーラル")+COUNTIFS([4]流入チャネル別顧客一覧_ユニーク!$C:$C,"&gt;="&amp;V$3,[4]流入チャネル別顧客一覧_ユニーク!$C:$C,"&lt;"&amp;EDATE(V$3,1),[4]流入チャネル別顧客一覧_ユニーク!$H:$H,"リファーラル")</f>
        <v>1</v>
      </c>
      <c r="W50" s="2">
        <f>COUNTIFS([4]流入チャネル別顧客一覧_ユニーク!$C:$C,"&gt;="&amp;W$3,[4]流入チャネル別顧客一覧_ユニーク!$C:$C,"&lt;"&amp;EDATE(W$3,1),[4]流入チャネル別顧客一覧_ユニーク!$H:$H,"link")+COUNTIFS([4]流入チャネル別顧客一覧_ユニーク!$C:$C,"&gt;="&amp;W$3,[4]流入チャネル別顧客一覧_ユニーク!$C:$C,"&lt;"&amp;EDATE(W$3,1),[4]流入チャネル別顧客一覧_ユニーク!$H:$H,"リファラル")+COUNTIFS([4]流入チャネル別顧客一覧_ユニーク!$C:$C,"&gt;="&amp;W$3,[4]流入チャネル別顧客一覧_ユニーク!$C:$C,"&lt;"&amp;EDATE(W$3,1),[4]流入チャネル別顧客一覧_ユニーク!$H:$H,"AIリファーラル")+COUNTIFS([4]流入チャネル別顧客一覧_ユニーク!$C:$C,"&gt;="&amp;W$3,[4]流入チャネル別顧客一覧_ユニーク!$C:$C,"&lt;"&amp;EDATE(W$3,1),[4]流入チャネル別顧客一覧_ユニーク!$H:$H,"リファーラル")</f>
        <v>0</v>
      </c>
      <c r="X50" s="2">
        <f>COUNTIFS([4]流入チャネル別顧客一覧_ユニーク!$C:$C,"&gt;="&amp;X$3,[4]流入チャネル別顧客一覧_ユニーク!$C:$C,"&lt;"&amp;EDATE(X$3,1),[4]流入チャネル別顧客一覧_ユニーク!$H:$H,"link")+COUNTIFS([4]流入チャネル別顧客一覧_ユニーク!$C:$C,"&gt;="&amp;X$3,[4]流入チャネル別顧客一覧_ユニーク!$C:$C,"&lt;"&amp;EDATE(X$3,1),[4]流入チャネル別顧客一覧_ユニーク!$H:$H,"リファラル")+COUNTIFS([4]流入チャネル別顧客一覧_ユニーク!$C:$C,"&gt;="&amp;X$3,[4]流入チャネル別顧客一覧_ユニーク!$C:$C,"&lt;"&amp;EDATE(X$3,1),[4]流入チャネル別顧客一覧_ユニーク!$H:$H,"AIリファーラル")+COUNTIFS([4]流入チャネル別顧客一覧_ユニーク!$C:$C,"&gt;="&amp;X$3,[4]流入チャネル別顧客一覧_ユニーク!$C:$C,"&lt;"&amp;EDATE(X$3,1),[4]流入チャネル別顧客一覧_ユニーク!$H:$H,"リファーラル")</f>
        <v>0</v>
      </c>
      <c r="Y50" s="2">
        <f>COUNTIFS([4]流入チャネル別顧客一覧_ユニーク!$C:$C,"&gt;="&amp;Y$3,[4]流入チャネル別顧客一覧_ユニーク!$C:$C,"&lt;"&amp;EDATE(Y$3,1),[4]流入チャネル別顧客一覧_ユニーク!$H:$H,"link")+COUNTIFS([4]流入チャネル別顧客一覧_ユニーク!$C:$C,"&gt;="&amp;Y$3,[4]流入チャネル別顧客一覧_ユニーク!$C:$C,"&lt;"&amp;EDATE(Y$3,1),[4]流入チャネル別顧客一覧_ユニーク!$H:$H,"リファラル")+COUNTIFS([4]流入チャネル別顧客一覧_ユニーク!$C:$C,"&gt;="&amp;Y$3,[4]流入チャネル別顧客一覧_ユニーク!$C:$C,"&lt;"&amp;EDATE(Y$3,1),[4]流入チャネル別顧客一覧_ユニーク!$H:$H,"AIリファーラル")+COUNTIFS([4]流入チャネル別顧客一覧_ユニーク!$C:$C,"&gt;="&amp;Y$3,[4]流入チャネル別顧客一覧_ユニーク!$C:$C,"&lt;"&amp;EDATE(Y$3,1),[4]流入チャネル別顧客一覧_ユニーク!$H:$H,"リファーラル")</f>
        <v>0</v>
      </c>
      <c r="Z50" s="2">
        <f>COUNTIFS([4]流入チャネル別顧客一覧_ユニーク!$C:$C,"&gt;="&amp;Z$3,[4]流入チャネル別顧客一覧_ユニーク!$C:$C,"&lt;"&amp;EDATE(Z$3,1),[4]流入チャネル別顧客一覧_ユニーク!$H:$H,"link")+COUNTIFS([4]流入チャネル別顧客一覧_ユニーク!$C:$C,"&gt;="&amp;Z$3,[4]流入チャネル別顧客一覧_ユニーク!$C:$C,"&lt;"&amp;EDATE(Z$3,1),[4]流入チャネル別顧客一覧_ユニーク!$H:$H,"リファラル")+COUNTIFS([4]流入チャネル別顧客一覧_ユニーク!$C:$C,"&gt;="&amp;Z$3,[4]流入チャネル別顧客一覧_ユニーク!$C:$C,"&lt;"&amp;EDATE(Z$3,1),[4]流入チャネル別顧客一覧_ユニーク!$H:$H,"AIリファーラル")+COUNTIFS([4]流入チャネル別顧客一覧_ユニーク!$C:$C,"&gt;="&amp;Z$3,[4]流入チャネル別顧客一覧_ユニーク!$C:$C,"&lt;"&amp;EDATE(Z$3,1),[4]流入チャネル別顧客一覧_ユニーク!$H:$H,"リファーラル")</f>
        <v>1</v>
      </c>
      <c r="AA50" s="2">
        <f>COUNTIFS([4]流入チャネル別顧客一覧_ユニーク!$C:$C,"&gt;="&amp;AA$3,[4]流入チャネル別顧客一覧_ユニーク!$C:$C,"&lt;"&amp;EDATE(AA$3,1),[4]流入チャネル別顧客一覧_ユニーク!$H:$H,"link")+COUNTIFS([4]流入チャネル別顧客一覧_ユニーク!$C:$C,"&gt;="&amp;AA$3,[4]流入チャネル別顧客一覧_ユニーク!$C:$C,"&lt;"&amp;EDATE(AA$3,1),[4]流入チャネル別顧客一覧_ユニーク!$H:$H,"リファラル")+COUNTIFS([4]流入チャネル別顧客一覧_ユニーク!$C:$C,"&gt;="&amp;AA$3,[4]流入チャネル別顧客一覧_ユニーク!$C:$C,"&lt;"&amp;EDATE(AA$3,1),[4]流入チャネル別顧客一覧_ユニーク!$H:$H,"AIリファーラル")+COUNTIFS([4]流入チャネル別顧客一覧_ユニーク!$C:$C,"&gt;="&amp;AA$3,[4]流入チャネル別顧客一覧_ユニーク!$C:$C,"&lt;"&amp;EDATE(AA$3,1),[4]流入チャネル別顧客一覧_ユニーク!$H:$H,"リファーラル")</f>
        <v>1</v>
      </c>
      <c r="AB50" s="2">
        <f>COUNTIFS([4]流入チャネル別顧客一覧_ユニーク!$C:$C,"&gt;="&amp;AB$3,[4]流入チャネル別顧客一覧_ユニーク!$C:$C,"&lt;"&amp;EDATE(AB$3,1),[4]流入チャネル別顧客一覧_ユニーク!$H:$H,"link")+COUNTIFS([4]流入チャネル別顧客一覧_ユニーク!$C:$C,"&gt;="&amp;AB$3,[4]流入チャネル別顧客一覧_ユニーク!$C:$C,"&lt;"&amp;EDATE(AB$3,1),[4]流入チャネル別顧客一覧_ユニーク!$H:$H,"リファラル")+COUNTIFS([4]流入チャネル別顧客一覧_ユニーク!$C:$C,"&gt;="&amp;AB$3,[4]流入チャネル別顧客一覧_ユニーク!$C:$C,"&lt;"&amp;EDATE(AB$3,1),[4]流入チャネル別顧客一覧_ユニーク!$H:$H,"AIリファーラル")+COUNTIFS([4]流入チャネル別顧客一覧_ユニーク!$C:$C,"&gt;="&amp;AB$3,[4]流入チャネル別顧客一覧_ユニーク!$C:$C,"&lt;"&amp;EDATE(AB$3,1),[4]流入チャネル別顧客一覧_ユニーク!$H:$H,"リファーラル")</f>
        <v>1</v>
      </c>
      <c r="AC50" s="2">
        <f>COUNTIFS([4]流入チャネル別顧客一覧_ユニーク!$C:$C,"&gt;="&amp;AC$3,[4]流入チャネル別顧客一覧_ユニーク!$C:$C,"&lt;"&amp;EDATE(AC$3,1),[4]流入チャネル別顧客一覧_ユニーク!$H:$H,"link")+COUNTIFS([4]流入チャネル別顧客一覧_ユニーク!$C:$C,"&gt;="&amp;AC$3,[4]流入チャネル別顧客一覧_ユニーク!$C:$C,"&lt;"&amp;EDATE(AC$3,1),[4]流入チャネル別顧客一覧_ユニーク!$H:$H,"リファラル")+COUNTIFS([4]流入チャネル別顧客一覧_ユニーク!$C:$C,"&gt;="&amp;AC$3,[4]流入チャネル別顧客一覧_ユニーク!$C:$C,"&lt;"&amp;EDATE(AC$3,1),[4]流入チャネル別顧客一覧_ユニーク!$H:$H,"AIリファーラル")+COUNTIFS([4]流入チャネル別顧客一覧_ユニーク!$C:$C,"&gt;="&amp;AC$3,[4]流入チャネル別顧客一覧_ユニーク!$C:$C,"&lt;"&amp;EDATE(AC$3,1),[4]流入チャネル別顧客一覧_ユニーク!$H:$H,"リファーラル")</f>
        <v>0</v>
      </c>
      <c r="AD50" s="2">
        <f>COUNTIFS([4]流入チャネル別顧客一覧_ユニーク!$C:$C,"&gt;="&amp;AD$3,[4]流入チャネル別顧客一覧_ユニーク!$C:$C,"&lt;"&amp;EDATE(AD$3,1),[4]流入チャネル別顧客一覧_ユニーク!$H:$H,"link")+COUNTIFS([4]流入チャネル別顧客一覧_ユニーク!$C:$C,"&gt;="&amp;AD$3,[4]流入チャネル別顧客一覧_ユニーク!$C:$C,"&lt;"&amp;EDATE(AD$3,1),[4]流入チャネル別顧客一覧_ユニーク!$H:$H,"リファラル")+COUNTIFS([4]流入チャネル別顧客一覧_ユニーク!$C:$C,"&gt;="&amp;AD$3,[4]流入チャネル別顧客一覧_ユニーク!$C:$C,"&lt;"&amp;EDATE(AD$3,1),[4]流入チャネル別顧客一覧_ユニーク!$H:$H,"AIリファーラル")+COUNTIFS([4]流入チャネル別顧客一覧_ユニーク!$C:$C,"&gt;="&amp;AD$3,[4]流入チャネル別顧客一覧_ユニーク!$C:$C,"&lt;"&amp;EDATE(AD$3,1),[4]流入チャネル別顧客一覧_ユニーク!$H:$H,"リファーラル")</f>
        <v>0</v>
      </c>
      <c r="AE50" s="2">
        <f>COUNTIFS([4]流入チャネル別顧客一覧_ユニーク!$C:$C,"&gt;="&amp;AE$3,[4]流入チャネル別顧客一覧_ユニーク!$C:$C,"&lt;"&amp;EDATE(AE$3,1),[4]流入チャネル別顧客一覧_ユニーク!$H:$H,"link")+COUNTIFS([4]流入チャネル別顧客一覧_ユニーク!$C:$C,"&gt;="&amp;AE$3,[4]流入チャネル別顧客一覧_ユニーク!$C:$C,"&lt;"&amp;EDATE(AE$3,1),[4]流入チャネル別顧客一覧_ユニーク!$H:$H,"リファラル")+COUNTIFS([4]流入チャネル別顧客一覧_ユニーク!$C:$C,"&gt;="&amp;AE$3,[4]流入チャネル別顧客一覧_ユニーク!$C:$C,"&lt;"&amp;EDATE(AE$3,1),[4]流入チャネル別顧客一覧_ユニーク!$H:$H,"AIリファーラル")+COUNTIFS([4]流入チャネル別顧客一覧_ユニーク!$C:$C,"&gt;="&amp;AE$3,[4]流入チャネル別顧客一覧_ユニーク!$C:$C,"&lt;"&amp;EDATE(AE$3,1),[4]流入チャネル別顧客一覧_ユニーク!$H:$H,"リファーラル")</f>
        <v>0</v>
      </c>
      <c r="AF50" s="2">
        <f>COUNTIFS([4]流入チャネル別顧客一覧_ユニーク!$C:$C,"&gt;="&amp;AF$3,[4]流入チャネル別顧客一覧_ユニーク!$C:$C,"&lt;"&amp;EDATE(AF$3,1),[4]流入チャネル別顧客一覧_ユニーク!$H:$H,"link")+COUNTIFS([4]流入チャネル別顧客一覧_ユニーク!$C:$C,"&gt;="&amp;AF$3,[4]流入チャネル別顧客一覧_ユニーク!$C:$C,"&lt;"&amp;EDATE(AF$3,1),[4]流入チャネル別顧客一覧_ユニーク!$H:$H,"リファラル")+COUNTIFS([4]流入チャネル別顧客一覧_ユニーク!$C:$C,"&gt;="&amp;AF$3,[4]流入チャネル別顧客一覧_ユニーク!$C:$C,"&lt;"&amp;EDATE(AF$3,1),[4]流入チャネル別顧客一覧_ユニーク!$H:$H,"AIリファーラル")+COUNTIFS([4]流入チャネル別顧客一覧_ユニーク!$C:$C,"&gt;="&amp;AF$3,[4]流入チャネル別顧客一覧_ユニーク!$C:$C,"&lt;"&amp;EDATE(AF$3,1),[4]流入チャネル別顧客一覧_ユニーク!$H:$H,"リファーラル")</f>
        <v>0</v>
      </c>
      <c r="AG50" s="2">
        <f>COUNTIFS([4]流入チャネル別顧客一覧_ユニーク!$C:$C,"&gt;="&amp;AG$3,[4]流入チャネル別顧客一覧_ユニーク!$C:$C,"&lt;"&amp;EDATE(AG$3,1),[4]流入チャネル別顧客一覧_ユニーク!$H:$H,"link")+COUNTIFS([4]流入チャネル別顧客一覧_ユニーク!$C:$C,"&gt;="&amp;AG$3,[4]流入チャネル別顧客一覧_ユニーク!$C:$C,"&lt;"&amp;EDATE(AG$3,1),[4]流入チャネル別顧客一覧_ユニーク!$H:$H,"リファラル")+COUNTIFS([4]流入チャネル別顧客一覧_ユニーク!$C:$C,"&gt;="&amp;AG$3,[4]流入チャネル別顧客一覧_ユニーク!$C:$C,"&lt;"&amp;EDATE(AG$3,1),[4]流入チャネル別顧客一覧_ユニーク!$H:$H,"AIリファーラル")+COUNTIFS([4]流入チャネル別顧客一覧_ユニーク!$C:$C,"&gt;="&amp;AG$3,[4]流入チャネル別顧客一覧_ユニーク!$C:$C,"&lt;"&amp;EDATE(AG$3,1),[4]流入チャネル別顧客一覧_ユニーク!$H:$H,"リファーラル")</f>
        <v>0</v>
      </c>
      <c r="AH50" s="2">
        <f>COUNTIFS([4]流入チャネル別顧客一覧_ユニーク!$C:$C,"&gt;="&amp;AH$3,[4]流入チャネル別顧客一覧_ユニーク!$C:$C,"&lt;"&amp;EDATE(AH$3,1),[4]流入チャネル別顧客一覧_ユニーク!$H:$H,"link")+COUNTIFS([4]流入チャネル別顧客一覧_ユニーク!$C:$C,"&gt;="&amp;AH$3,[4]流入チャネル別顧客一覧_ユニーク!$C:$C,"&lt;"&amp;EDATE(AH$3,1),[4]流入チャネル別顧客一覧_ユニーク!$H:$H,"リファラル")+COUNTIFS([4]流入チャネル別顧客一覧_ユニーク!$C:$C,"&gt;="&amp;AH$3,[4]流入チャネル別顧客一覧_ユニーク!$C:$C,"&lt;"&amp;EDATE(AH$3,1),[4]流入チャネル別顧客一覧_ユニーク!$H:$H,"AIリファーラル")+COUNTIFS([4]流入チャネル別顧客一覧_ユニーク!$C:$C,"&gt;="&amp;AH$3,[4]流入チャネル別顧客一覧_ユニーク!$C:$C,"&lt;"&amp;EDATE(AH$3,1),[4]流入チャネル別顧客一覧_ユニーク!$H:$H,"リファーラル")</f>
        <v>0</v>
      </c>
      <c r="AI50" s="2">
        <f>COUNTIFS([4]流入チャネル別顧客一覧_ユニーク!$C:$C,"&gt;="&amp;AI$3,[4]流入チャネル別顧客一覧_ユニーク!$C:$C,"&lt;"&amp;EDATE(AI$3,1),[4]流入チャネル別顧客一覧_ユニーク!$H:$H,"link")+COUNTIFS([4]流入チャネル別顧客一覧_ユニーク!$C:$C,"&gt;="&amp;AI$3,[4]流入チャネル別顧客一覧_ユニーク!$C:$C,"&lt;"&amp;EDATE(AI$3,1),[4]流入チャネル別顧客一覧_ユニーク!$H:$H,"リファラル")+COUNTIFS([4]流入チャネル別顧客一覧_ユニーク!$C:$C,"&gt;="&amp;AI$3,[4]流入チャネル別顧客一覧_ユニーク!$C:$C,"&lt;"&amp;EDATE(AI$3,1),[4]流入チャネル別顧客一覧_ユニーク!$H:$H,"AIリファーラル")+COUNTIFS([4]流入チャネル別顧客一覧_ユニーク!$C:$C,"&gt;="&amp;AI$3,[4]流入チャネル別顧客一覧_ユニーク!$C:$C,"&lt;"&amp;EDATE(AI$3,1),[4]流入チャネル別顧客一覧_ユニーク!$H:$H,"リファーラル")</f>
        <v>0</v>
      </c>
      <c r="AJ50" s="2">
        <f>COUNTIFS([4]流入チャネル別顧客一覧_ユニーク!$C:$C,"&gt;="&amp;AJ$3,[4]流入チャネル別顧客一覧_ユニーク!$C:$C,"&lt;"&amp;EDATE(AJ$3,1),[4]流入チャネル別顧客一覧_ユニーク!$H:$H,"link")+COUNTIFS([4]流入チャネル別顧客一覧_ユニーク!$C:$C,"&gt;="&amp;AJ$3,[4]流入チャネル別顧客一覧_ユニーク!$C:$C,"&lt;"&amp;EDATE(AJ$3,1),[4]流入チャネル別顧客一覧_ユニーク!$H:$H,"リファラル")+COUNTIFS([4]流入チャネル別顧客一覧_ユニーク!$C:$C,"&gt;="&amp;AJ$3,[4]流入チャネル別顧客一覧_ユニーク!$C:$C,"&lt;"&amp;EDATE(AJ$3,1),[4]流入チャネル別顧客一覧_ユニーク!$H:$H,"AIリファーラル")+COUNTIFS([4]流入チャネル別顧客一覧_ユニーク!$C:$C,"&gt;="&amp;AJ$3,[4]流入チャネル別顧客一覧_ユニーク!$C:$C,"&lt;"&amp;EDATE(AJ$3,1),[4]流入チャネル別顧客一覧_ユニーク!$H:$H,"リファーラル")</f>
        <v>0</v>
      </c>
      <c r="AK50" s="2">
        <f>COUNTIFS([4]流入チャネル別顧客一覧_ユニーク!$C:$C,"&gt;="&amp;AK$3,[4]流入チャネル別顧客一覧_ユニーク!$C:$C,"&lt;"&amp;EDATE(AK$3,1),[4]流入チャネル別顧客一覧_ユニーク!$H:$H,"link")+COUNTIFS([4]流入チャネル別顧客一覧_ユニーク!$C:$C,"&gt;="&amp;AK$3,[4]流入チャネル別顧客一覧_ユニーク!$C:$C,"&lt;"&amp;EDATE(AK$3,1),[4]流入チャネル別顧客一覧_ユニーク!$H:$H,"リファラル")+COUNTIFS([4]流入チャネル別顧客一覧_ユニーク!$C:$C,"&gt;="&amp;AK$3,[4]流入チャネル別顧客一覧_ユニーク!$C:$C,"&lt;"&amp;EDATE(AK$3,1),[4]流入チャネル別顧客一覧_ユニーク!$H:$H,"AIリファーラル")+COUNTIFS([4]流入チャネル別顧客一覧_ユニーク!$C:$C,"&gt;="&amp;AK$3,[4]流入チャネル別顧客一覧_ユニーク!$C:$C,"&lt;"&amp;EDATE(AK$3,1),[4]流入チャネル別顧客一覧_ユニーク!$H:$H,"リファーラル")</f>
        <v>0</v>
      </c>
      <c r="AL50" s="2">
        <f>COUNTIFS([4]流入チャネル別顧客一覧_ユニーク!$C:$C,"&gt;="&amp;AL$3,[4]流入チャネル別顧客一覧_ユニーク!$C:$C,"&lt;"&amp;EDATE(AL$3,1),[4]流入チャネル別顧客一覧_ユニーク!$H:$H,"link")+COUNTIFS([4]流入チャネル別顧客一覧_ユニーク!$C:$C,"&gt;="&amp;AL$3,[4]流入チャネル別顧客一覧_ユニーク!$C:$C,"&lt;"&amp;EDATE(AL$3,1),[4]流入チャネル別顧客一覧_ユニーク!$H:$H,"リファラル")+COUNTIFS([4]流入チャネル別顧客一覧_ユニーク!$C:$C,"&gt;="&amp;AL$3,[4]流入チャネル別顧客一覧_ユニーク!$C:$C,"&lt;"&amp;EDATE(AL$3,1),[4]流入チャネル別顧客一覧_ユニーク!$H:$H,"AIリファーラル")+COUNTIFS([4]流入チャネル別顧客一覧_ユニーク!$C:$C,"&gt;="&amp;AL$3,[4]流入チャネル別顧客一覧_ユニーク!$C:$C,"&lt;"&amp;EDATE(AL$3,1),[4]流入チャネル別顧客一覧_ユニーク!$H:$H,"リファーラル")</f>
        <v>0</v>
      </c>
      <c r="AM50" s="2">
        <f t="shared" si="41"/>
        <v>16</v>
      </c>
      <c r="AN50" s="2">
        <f t="shared" si="42"/>
        <v>3</v>
      </c>
    </row>
    <row r="51" spans="1:50" ht="18">
      <c r="A51" s="1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AL51" s="2"/>
      <c r="AM51" s="2">
        <f t="shared" si="41"/>
        <v>0</v>
      </c>
      <c r="AN51" s="2">
        <f t="shared" si="42"/>
        <v>0</v>
      </c>
    </row>
    <row r="52" spans="1:50" ht="18">
      <c r="A52" s="1" t="s">
        <v>64</v>
      </c>
      <c r="B52" s="2"/>
      <c r="C52" s="2"/>
      <c r="D52" s="2"/>
      <c r="N52" s="2">
        <f>COUNTIFS([4]流入チャネル別顧客一覧_ユニーク!$C:$C,"&gt;="&amp;N$3,[4]流入チャネル別顧客一覧_ユニーク!$C:$C,"&lt;"&amp;EDATE(N$3,1),[4]流入チャネル別顧客一覧_ユニーク!$H:$H,"オフラインソース")+COUNTIFS([4]流入チャネル別顧客一覧_ユニーク!$C:$C,"&gt;="&amp;N$3,[4]流入チャネル別顧客一覧_ユニーク!$C:$C,"&lt;"&amp;EDATE(N$3,1),[4]流入チャネル別顧客一覧_ユニーク!$H:$H,"ベルシステム")</f>
        <v>0</v>
      </c>
      <c r="O52" s="2">
        <f>COUNTIFS([4]流入チャネル別顧客一覧_ユニーク!$C:$C,"&gt;="&amp;O$3,[4]流入チャネル別顧客一覧_ユニーク!$C:$C,"&lt;"&amp;EDATE(O$3,1),[4]流入チャネル別顧客一覧_ユニーク!$H:$H,"オフラインソース")+COUNTIFS([4]流入チャネル別顧客一覧_ユニーク!$C:$C,"&gt;="&amp;O$3,[4]流入チャネル別顧客一覧_ユニーク!$C:$C,"&lt;"&amp;EDATE(O$3,1),[4]流入チャネル別顧客一覧_ユニーク!$H:$H,"ベルシステム")</f>
        <v>0</v>
      </c>
      <c r="P52" s="2">
        <f>COUNTIFS([4]流入チャネル別顧客一覧_ユニーク!$C:$C,"&gt;="&amp;P$3,[4]流入チャネル別顧客一覧_ユニーク!$C:$C,"&lt;"&amp;EDATE(P$3,1),[4]流入チャネル別顧客一覧_ユニーク!$H:$H,"オフラインソース")+COUNTIFS([4]流入チャネル別顧客一覧_ユニーク!$C:$C,"&gt;="&amp;P$3,[4]流入チャネル別顧客一覧_ユニーク!$C:$C,"&lt;"&amp;EDATE(P$3,1),[4]流入チャネル別顧客一覧_ユニーク!$H:$H,"ベルシステム")</f>
        <v>0</v>
      </c>
      <c r="Q52" s="2">
        <f>COUNTIFS([4]流入チャネル別顧客一覧_ユニーク!$C:$C,"&gt;="&amp;Q$3,[4]流入チャネル別顧客一覧_ユニーク!$C:$C,"&lt;"&amp;EDATE(Q$3,1),[4]流入チャネル別顧客一覧_ユニーク!$H:$H,"オフラインソース")+COUNTIFS([4]流入チャネル別顧客一覧_ユニーク!$C:$C,"&gt;="&amp;Q$3,[4]流入チャネル別顧客一覧_ユニーク!$C:$C,"&lt;"&amp;EDATE(Q$3,1),[4]流入チャネル別顧客一覧_ユニーク!$H:$H,"ベルシステム")</f>
        <v>0</v>
      </c>
      <c r="R52" s="2">
        <f>COUNTIFS([4]流入チャネル別顧客一覧_ユニーク!$C:$C,"&gt;="&amp;R$3,[4]流入チャネル別顧客一覧_ユニーク!$C:$C,"&lt;"&amp;EDATE(R$3,1),[4]流入チャネル別顧客一覧_ユニーク!$H:$H,"オフラインソース")+COUNTIFS([4]流入チャネル別顧客一覧_ユニーク!$C:$C,"&gt;="&amp;R$3,[4]流入チャネル別顧客一覧_ユニーク!$C:$C,"&lt;"&amp;EDATE(R$3,1),[4]流入チャネル別顧客一覧_ユニーク!$H:$H,"ベルシステム")</f>
        <v>1</v>
      </c>
      <c r="S52" s="2">
        <f>COUNTIFS([4]流入チャネル別顧客一覧_ユニーク!$C:$C,"&gt;="&amp;S$3,[4]流入チャネル別顧客一覧_ユニーク!$C:$C,"&lt;"&amp;EDATE(S$3,1),[4]流入チャネル別顧客一覧_ユニーク!$H:$H,"オフラインソース")+COUNTIFS([4]流入チャネル別顧客一覧_ユニーク!$C:$C,"&gt;="&amp;S$3,[4]流入チャネル別顧客一覧_ユニーク!$C:$C,"&lt;"&amp;EDATE(S$3,1),[4]流入チャネル別顧客一覧_ユニーク!$H:$H,"ベルシステム")</f>
        <v>2</v>
      </c>
      <c r="T52" s="2">
        <f>COUNTIFS([4]流入チャネル別顧客一覧_ユニーク!$C:$C,"&gt;="&amp;T$3,[4]流入チャネル別顧客一覧_ユニーク!$C:$C,"&lt;"&amp;EDATE(T$3,1),[4]流入チャネル別顧客一覧_ユニーク!$H:$H,"オフラインソース")+COUNTIFS([4]流入チャネル別顧客一覧_ユニーク!$C:$C,"&gt;="&amp;T$3,[4]流入チャネル別顧客一覧_ユニーク!$C:$C,"&lt;"&amp;EDATE(T$3,1),[4]流入チャネル別顧客一覧_ユニーク!$H:$H,"ベルシステム")</f>
        <v>0</v>
      </c>
      <c r="U52" s="2">
        <f>COUNTIFS([4]流入チャネル別顧客一覧_ユニーク!$C:$C,"&gt;="&amp;U$3,[4]流入チャネル別顧客一覧_ユニーク!$C:$C,"&lt;"&amp;EDATE(U$3,1),[4]流入チャネル別顧客一覧_ユニーク!$H:$H,"オフラインソース")+COUNTIFS([4]流入チャネル別顧客一覧_ユニーク!$C:$C,"&gt;="&amp;U$3,[4]流入チャネル別顧客一覧_ユニーク!$C:$C,"&lt;"&amp;EDATE(U$3,1),[4]流入チャネル別顧客一覧_ユニーク!$H:$H,"ベルシステム")</f>
        <v>2</v>
      </c>
      <c r="V52" s="2">
        <f>COUNTIFS([4]流入チャネル別顧客一覧_ユニーク!$C:$C,"&gt;="&amp;V$3,[4]流入チャネル別顧客一覧_ユニーク!$C:$C,"&lt;"&amp;EDATE(V$3,1),[4]流入チャネル別顧客一覧_ユニーク!$H:$H,"オフラインソース")+COUNTIFS([4]流入チャネル別顧客一覧_ユニーク!$C:$C,"&gt;="&amp;V$3,[4]流入チャネル別顧客一覧_ユニーク!$C:$C,"&lt;"&amp;EDATE(V$3,1),[4]流入チャネル別顧客一覧_ユニーク!$H:$H,"ベルシステム")</f>
        <v>0</v>
      </c>
      <c r="W52" s="2">
        <f>COUNTIFS([4]流入チャネル別顧客一覧_ユニーク!$C:$C,"&gt;="&amp;W$3,[4]流入チャネル別顧客一覧_ユニーク!$C:$C,"&lt;"&amp;EDATE(W$3,1),[4]流入チャネル別顧客一覧_ユニーク!$H:$H,"オフラインソース")+COUNTIFS([4]流入チャネル別顧客一覧_ユニーク!$C:$C,"&gt;="&amp;W$3,[4]流入チャネル別顧客一覧_ユニーク!$C:$C,"&lt;"&amp;EDATE(W$3,1),[4]流入チャネル別顧客一覧_ユニーク!$H:$H,"ベルシステム")</f>
        <v>1</v>
      </c>
      <c r="X52" s="2">
        <f>COUNTIFS([4]流入チャネル別顧客一覧_ユニーク!$C:$C,"&gt;="&amp;X$3,[4]流入チャネル別顧客一覧_ユニーク!$C:$C,"&lt;"&amp;EDATE(X$3,1),[4]流入チャネル別顧客一覧_ユニーク!$H:$H,"オフラインソース")+COUNTIFS([4]流入チャネル別顧客一覧_ユニーク!$C:$C,"&gt;="&amp;X$3,[4]流入チャネル別顧客一覧_ユニーク!$C:$C,"&lt;"&amp;EDATE(X$3,1),[4]流入チャネル別顧客一覧_ユニーク!$H:$H,"ベルシステム")</f>
        <v>3</v>
      </c>
      <c r="Y52" s="2">
        <f>COUNTIFS([4]流入チャネル別顧客一覧_ユニーク!$C:$C,"&gt;="&amp;Y$3,[4]流入チャネル別顧客一覧_ユニーク!$C:$C,"&lt;"&amp;EDATE(Y$3,1),[4]流入チャネル別顧客一覧_ユニーク!$H:$H,"オフラインソース")+COUNTIFS([4]流入チャネル別顧客一覧_ユニーク!$C:$C,"&gt;="&amp;Y$3,[4]流入チャネル別顧客一覧_ユニーク!$C:$C,"&lt;"&amp;EDATE(Y$3,1),[4]流入チャネル別顧客一覧_ユニーク!$H:$H,"ベルシステム")</f>
        <v>0</v>
      </c>
      <c r="Z52" s="2">
        <f>COUNTIFS([4]流入チャネル別顧客一覧_ユニーク!$C:$C,"&gt;="&amp;Z$3,[4]流入チャネル別顧客一覧_ユニーク!$C:$C,"&lt;"&amp;EDATE(Z$3,1),[4]流入チャネル別顧客一覧_ユニーク!$H:$H,"オフラインソース")+COUNTIFS([4]流入チャネル別顧客一覧_ユニーク!$C:$C,"&gt;="&amp;Z$3,[4]流入チャネル別顧客一覧_ユニーク!$C:$C,"&lt;"&amp;EDATE(Z$3,1),[4]流入チャネル別顧客一覧_ユニーク!$H:$H,"ベルシステム")</f>
        <v>0</v>
      </c>
      <c r="AA52" s="2">
        <f>COUNTIFS([4]流入チャネル別顧客一覧_ユニーク!$C:$C,"&gt;="&amp;AA$3,[4]流入チャネル別顧客一覧_ユニーク!$C:$C,"&lt;"&amp;EDATE(AA$3,1),[4]流入チャネル別顧客一覧_ユニーク!$H:$H,"オフラインソース")+COUNTIFS([4]流入チャネル別顧客一覧_ユニーク!$C:$C,"&gt;="&amp;AA$3,[4]流入チャネル別顧客一覧_ユニーク!$C:$C,"&lt;"&amp;EDATE(AA$3,1),[4]流入チャネル別顧客一覧_ユニーク!$H:$H,"ベルシステム")</f>
        <v>4</v>
      </c>
      <c r="AB52" s="2">
        <f>COUNTIFS([4]流入チャネル別顧客一覧_ユニーク!$C:$C,"&gt;="&amp;AB$3,[4]流入チャネル別顧客一覧_ユニーク!$C:$C,"&lt;"&amp;EDATE(AB$3,1),[4]流入チャネル別顧客一覧_ユニーク!$H:$H,"オフラインソース")+COUNTIFS([4]流入チャネル別顧客一覧_ユニーク!$C:$C,"&gt;="&amp;AB$3,[4]流入チャネル別顧客一覧_ユニーク!$C:$C,"&lt;"&amp;EDATE(AB$3,1),[4]流入チャネル別顧客一覧_ユニーク!$H:$H,"ベルシステム")</f>
        <v>1</v>
      </c>
      <c r="AC52" s="2">
        <f>COUNTIFS([4]流入チャネル別顧客一覧_ユニーク!$C:$C,"&gt;="&amp;AC$3,[4]流入チャネル別顧客一覧_ユニーク!$C:$C,"&lt;"&amp;EDATE(AC$3,1),[4]流入チャネル別顧客一覧_ユニーク!$H:$H,"オフラインソース")+COUNTIFS([4]流入チャネル別顧客一覧_ユニーク!$C:$C,"&gt;="&amp;AC$3,[4]流入チャネル別顧客一覧_ユニーク!$C:$C,"&lt;"&amp;EDATE(AC$3,1),[4]流入チャネル別顧客一覧_ユニーク!$H:$H,"ベルシステム")</f>
        <v>2</v>
      </c>
      <c r="AD52" s="2">
        <f>COUNTIFS([4]流入チャネル別顧客一覧_ユニーク!$C:$C,"&gt;="&amp;AD$3,[4]流入チャネル別顧客一覧_ユニーク!$C:$C,"&lt;"&amp;EDATE(AD$3,1),[4]流入チャネル別顧客一覧_ユニーク!$H:$H,"オフラインソース")+COUNTIFS([4]流入チャネル別顧客一覧_ユニーク!$C:$C,"&gt;="&amp;AD$3,[4]流入チャネル別顧客一覧_ユニーク!$C:$C,"&lt;"&amp;EDATE(AD$3,1),[4]流入チャネル別顧客一覧_ユニーク!$H:$H,"ベルシステム")</f>
        <v>0</v>
      </c>
      <c r="AE52" s="2">
        <f>COUNTIFS([4]流入チャネル別顧客一覧_ユニーク!$C:$C,"&gt;="&amp;AE$3,[4]流入チャネル別顧客一覧_ユニーク!$C:$C,"&lt;"&amp;EDATE(AE$3,1),[4]流入チャネル別顧客一覧_ユニーク!$H:$H,"オフラインソース")+COUNTIFS([4]流入チャネル別顧客一覧_ユニーク!$C:$C,"&gt;="&amp;AE$3,[4]流入チャネル別顧客一覧_ユニーク!$C:$C,"&lt;"&amp;EDATE(AE$3,1),[4]流入チャネル別顧客一覧_ユニーク!$H:$H,"ベルシステム")</f>
        <v>0</v>
      </c>
      <c r="AF52" s="2">
        <f>COUNTIFS([4]流入チャネル別顧客一覧_ユニーク!$C:$C,"&gt;="&amp;AF$3,[4]流入チャネル別顧客一覧_ユニーク!$C:$C,"&lt;"&amp;EDATE(AF$3,1),[4]流入チャネル別顧客一覧_ユニーク!$H:$H,"オフラインソース")+COUNTIFS([4]流入チャネル別顧客一覧_ユニーク!$C:$C,"&gt;="&amp;AF$3,[4]流入チャネル別顧客一覧_ユニーク!$C:$C,"&lt;"&amp;EDATE(AF$3,1),[4]流入チャネル別顧客一覧_ユニーク!$H:$H,"ベルシステム")</f>
        <v>0</v>
      </c>
      <c r="AG52" s="2">
        <f>COUNTIFS([4]流入チャネル別顧客一覧_ユニーク!$C:$C,"&gt;="&amp;AG$3,[4]流入チャネル別顧客一覧_ユニーク!$C:$C,"&lt;"&amp;EDATE(AG$3,1),[4]流入チャネル別顧客一覧_ユニーク!$H:$H,"オフラインソース")+COUNTIFS([4]流入チャネル別顧客一覧_ユニーク!$C:$C,"&gt;="&amp;AG$3,[4]流入チャネル別顧客一覧_ユニーク!$C:$C,"&lt;"&amp;EDATE(AG$3,1),[4]流入チャネル別顧客一覧_ユニーク!$H:$H,"ベルシステム")</f>
        <v>0</v>
      </c>
      <c r="AH52" s="2">
        <f>COUNTIFS([4]流入チャネル別顧客一覧_ユニーク!$C:$C,"&gt;="&amp;AH$3,[4]流入チャネル別顧客一覧_ユニーク!$C:$C,"&lt;"&amp;EDATE(AH$3,1),[4]流入チャネル別顧客一覧_ユニーク!$H:$H,"オフラインソース")+COUNTIFS([4]流入チャネル別顧客一覧_ユニーク!$C:$C,"&gt;="&amp;AH$3,[4]流入チャネル別顧客一覧_ユニーク!$C:$C,"&lt;"&amp;EDATE(AH$3,1),[4]流入チャネル別顧客一覧_ユニーク!$H:$H,"ベルシステム")</f>
        <v>0</v>
      </c>
      <c r="AI52" s="2">
        <f>COUNTIFS([4]流入チャネル別顧客一覧_ユニーク!$C:$C,"&gt;="&amp;AI$3,[4]流入チャネル別顧客一覧_ユニーク!$C:$C,"&lt;"&amp;EDATE(AI$3,1),[4]流入チャネル別顧客一覧_ユニーク!$H:$H,"オフラインソース")+COUNTIFS([4]流入チャネル別顧客一覧_ユニーク!$C:$C,"&gt;="&amp;AI$3,[4]流入チャネル別顧客一覧_ユニーク!$C:$C,"&lt;"&amp;EDATE(AI$3,1),[4]流入チャネル別顧客一覧_ユニーク!$H:$H,"ベルシステム")</f>
        <v>0</v>
      </c>
      <c r="AJ52" s="2">
        <f>COUNTIFS([4]流入チャネル別顧客一覧_ユニーク!$C:$C,"&gt;="&amp;AJ$3,[4]流入チャネル別顧客一覧_ユニーク!$C:$C,"&lt;"&amp;EDATE(AJ$3,1),[4]流入チャネル別顧客一覧_ユニーク!$H:$H,"オフラインソース")+COUNTIFS([4]流入チャネル別顧客一覧_ユニーク!$C:$C,"&gt;="&amp;AJ$3,[4]流入チャネル別顧客一覧_ユニーク!$C:$C,"&lt;"&amp;EDATE(AJ$3,1),[4]流入チャネル別顧客一覧_ユニーク!$H:$H,"ベルシステム")</f>
        <v>0</v>
      </c>
      <c r="AK52" s="2">
        <f>COUNTIFS([4]流入チャネル別顧客一覧_ユニーク!$C:$C,"&gt;="&amp;AK$3,[4]流入チャネル別顧客一覧_ユニーク!$C:$C,"&lt;"&amp;EDATE(AK$3,1),[4]流入チャネル別顧客一覧_ユニーク!$H:$H,"オフラインソース")+COUNTIFS([4]流入チャネル別顧客一覧_ユニーク!$C:$C,"&gt;="&amp;AK$3,[4]流入チャネル別顧客一覧_ユニーク!$C:$C,"&lt;"&amp;EDATE(AK$3,1),[4]流入チャネル別顧客一覧_ユニーク!$H:$H,"ベルシステム")</f>
        <v>0</v>
      </c>
      <c r="AL52" s="2">
        <f>COUNTIFS([4]流入チャネル別顧客一覧_ユニーク!$C:$C,"&gt;="&amp;AL$3,[4]流入チャネル別顧客一覧_ユニーク!$C:$C,"&lt;"&amp;EDATE(AL$3,1),[4]流入チャネル別顧客一覧_ユニーク!$H:$H,"オフラインソース")+COUNTIFS([4]流入チャネル別顧客一覧_ユニーク!$C:$C,"&gt;="&amp;AL$3,[4]流入チャネル別顧客一覧_ユニーク!$C:$C,"&lt;"&amp;EDATE(AL$3,1),[4]流入チャネル別顧客一覧_ユニーク!$H:$H,"ベルシステム")</f>
        <v>0</v>
      </c>
      <c r="AM52" s="2">
        <f t="shared" si="41"/>
        <v>9</v>
      </c>
      <c r="AN52" s="2">
        <f t="shared" si="42"/>
        <v>7</v>
      </c>
    </row>
    <row r="53" spans="1:50" ht="18">
      <c r="A53" s="1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2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f>COUNTIFS([4]流入チャネル別顧客一覧_ユニーク!$C:$C,"&gt;="&amp;N$3,[4]流入チャネル別顧客一覧_ユニーク!$C:$C,"&lt;"&amp;EDATE(N$3,1),[4]流入チャネル別顧客一覧_ユニーク!$H:$H,"他のキャンペーン")+COUNTIFS([4]流入チャネル別顧客一覧_ユニーク!$C:$C,"&gt;="&amp;N$3,[4]流入チャネル別顧客一覧_ユニーク!$C:$C,"&lt;"&amp;EDATE(N$3,1),[4]流入チャネル別顧客一覧_ユニーク!$H:$H,"others")</f>
        <v>2</v>
      </c>
      <c r="O53" s="2">
        <f>COUNTIFS([4]流入チャネル別顧客一覧_ユニーク!$C:$C,"&gt;="&amp;O$3,[4]流入チャネル別顧客一覧_ユニーク!$C:$C,"&lt;"&amp;EDATE(O$3,1),[4]流入チャネル別顧客一覧_ユニーク!$H:$H,"他のキャンペーン")+COUNTIFS([4]流入チャネル別顧客一覧_ユニーク!$C:$C,"&gt;="&amp;O$3,[4]流入チャネル別顧客一覧_ユニーク!$C:$C,"&lt;"&amp;EDATE(O$3,1),[4]流入チャネル別顧客一覧_ユニーク!$H:$H,"others")</f>
        <v>2</v>
      </c>
      <c r="P53" s="2">
        <f>COUNTIFS([4]流入チャネル別顧客一覧_ユニーク!$C:$C,"&gt;="&amp;P$3,[4]流入チャネル別顧客一覧_ユニーク!$C:$C,"&lt;"&amp;EDATE(P$3,1),[4]流入チャネル別顧客一覧_ユニーク!$H:$H,"他のキャンペーン")+COUNTIFS([4]流入チャネル別顧客一覧_ユニーク!$C:$C,"&gt;="&amp;P$3,[4]流入チャネル別顧客一覧_ユニーク!$C:$C,"&lt;"&amp;EDATE(P$3,1),[4]流入チャネル別顧客一覧_ユニーク!$H:$H,"others")</f>
        <v>1</v>
      </c>
      <c r="Q53" s="2">
        <f>COUNTIFS([4]流入チャネル別顧客一覧_ユニーク!$C:$C,"&gt;="&amp;Q$3,[4]流入チャネル別顧客一覧_ユニーク!$C:$C,"&lt;"&amp;EDATE(Q$3,1),[4]流入チャネル別顧客一覧_ユニーク!$H:$H,"他のキャンペーン")+COUNTIFS([4]流入チャネル別顧客一覧_ユニーク!$C:$C,"&gt;="&amp;Q$3,[4]流入チャネル別顧客一覧_ユニーク!$C:$C,"&lt;"&amp;EDATE(Q$3,1),[4]流入チャネル別顧客一覧_ユニーク!$H:$H,"others")</f>
        <v>2</v>
      </c>
      <c r="R53" s="2">
        <f>COUNTIFS([4]流入チャネル別顧客一覧_ユニーク!$C:$C,"&gt;="&amp;R$3,[4]流入チャネル別顧客一覧_ユニーク!$C:$C,"&lt;"&amp;EDATE(R$3,1),[4]流入チャネル別顧客一覧_ユニーク!$H:$H,"他のキャンペーン")+COUNTIFS([4]流入チャネル別顧客一覧_ユニーク!$C:$C,"&gt;="&amp;R$3,[4]流入チャネル別顧客一覧_ユニーク!$C:$C,"&lt;"&amp;EDATE(R$3,1),[4]流入チャネル別顧客一覧_ユニーク!$H:$H,"others")</f>
        <v>3</v>
      </c>
      <c r="S53" s="2">
        <f>COUNTIFS([4]流入チャネル別顧客一覧_ユニーク!$C:$C,"&gt;="&amp;S$3,[4]流入チャネル別顧客一覧_ユニーク!$C:$C,"&lt;"&amp;EDATE(S$3,1),[4]流入チャネル別顧客一覧_ユニーク!$H:$H,"他のキャンペーン")+COUNTIFS([4]流入チャネル別顧客一覧_ユニーク!$C:$C,"&gt;="&amp;S$3,[4]流入チャネル別顧客一覧_ユニーク!$C:$C,"&lt;"&amp;EDATE(S$3,1),[4]流入チャネル別顧客一覧_ユニーク!$H:$H,"others")</f>
        <v>0</v>
      </c>
      <c r="T53" s="2">
        <f>COUNTIFS([4]流入チャネル別顧客一覧_ユニーク!$C:$C,"&gt;="&amp;T$3,[4]流入チャネル別顧客一覧_ユニーク!$C:$C,"&lt;"&amp;EDATE(T$3,1),[4]流入チャネル別顧客一覧_ユニーク!$H:$H,"他のキャンペーン")+COUNTIFS([4]流入チャネル別顧客一覧_ユニーク!$C:$C,"&gt;="&amp;T$3,[4]流入チャネル別顧客一覧_ユニーク!$C:$C,"&lt;"&amp;EDATE(T$3,1),[4]流入チャネル別顧客一覧_ユニーク!$H:$H,"others")</f>
        <v>2</v>
      </c>
      <c r="U53" s="2">
        <f>COUNTIFS([4]流入チャネル別顧客一覧_ユニーク!$C:$C,"&gt;="&amp;U$3,[4]流入チャネル別顧客一覧_ユニーク!$C:$C,"&lt;"&amp;EDATE(U$3,1),[4]流入チャネル別顧客一覧_ユニーク!$H:$H,"他のキャンペーン")+COUNTIFS([4]流入チャネル別顧客一覧_ユニーク!$C:$C,"&gt;="&amp;U$3,[4]流入チャネル別顧客一覧_ユニーク!$C:$C,"&lt;"&amp;EDATE(U$3,1),[4]流入チャネル別顧客一覧_ユニーク!$H:$H,"others")</f>
        <v>10</v>
      </c>
      <c r="V53" s="2">
        <f>COUNTIFS([4]流入チャネル別顧客一覧_ユニーク!$C:$C,"&gt;="&amp;V$3,[4]流入チャネル別顧客一覧_ユニーク!$C:$C,"&lt;"&amp;EDATE(V$3,1),[4]流入チャネル別顧客一覧_ユニーク!$H:$H,"他のキャンペーン")+COUNTIFS([4]流入チャネル別顧客一覧_ユニーク!$C:$C,"&gt;="&amp;V$3,[4]流入チャネル別顧客一覧_ユニーク!$C:$C,"&lt;"&amp;EDATE(V$3,1),[4]流入チャネル別顧客一覧_ユニーク!$H:$H,"others")</f>
        <v>4</v>
      </c>
      <c r="W53" s="2">
        <f>COUNTIFS([4]流入チャネル別顧客一覧_ユニーク!$C:$C,"&gt;="&amp;W$3,[4]流入チャネル別顧客一覧_ユニーク!$C:$C,"&lt;"&amp;EDATE(W$3,1),[4]流入チャネル別顧客一覧_ユニーク!$H:$H,"他のキャンペーン")+COUNTIFS([4]流入チャネル別顧客一覧_ユニーク!$C:$C,"&gt;="&amp;W$3,[4]流入チャネル別顧客一覧_ユニーク!$C:$C,"&lt;"&amp;EDATE(W$3,1),[4]流入チャネル別顧客一覧_ユニーク!$H:$H,"others")</f>
        <v>0</v>
      </c>
      <c r="X53" s="2">
        <f>COUNTIFS([4]流入チャネル別顧客一覧_ユニーク!$C:$C,"&gt;="&amp;X$3,[4]流入チャネル別顧客一覧_ユニーク!$C:$C,"&lt;"&amp;EDATE(X$3,1),[4]流入チャネル別顧客一覧_ユニーク!$H:$H,"他のキャンペーン")+COUNTIFS([4]流入チャネル別顧客一覧_ユニーク!$C:$C,"&gt;="&amp;X$3,[4]流入チャネル別顧客一覧_ユニーク!$C:$C,"&lt;"&amp;EDATE(X$3,1),[4]流入チャネル別顧客一覧_ユニーク!$H:$H,"others")</f>
        <v>4</v>
      </c>
      <c r="Y53" s="2">
        <f>COUNTIFS([4]流入チャネル別顧客一覧_ユニーク!$C:$C,"&gt;="&amp;Y$3,[4]流入チャネル別顧客一覧_ユニーク!$C:$C,"&lt;"&amp;EDATE(Y$3,1),[4]流入チャネル別顧客一覧_ユニーク!$H:$H,"他のキャンペーン")+COUNTIFS([4]流入チャネル別顧客一覧_ユニーク!$C:$C,"&gt;="&amp;Y$3,[4]流入チャネル別顧客一覧_ユニーク!$C:$C,"&lt;"&amp;EDATE(Y$3,1),[4]流入チャネル別顧客一覧_ユニーク!$H:$H,"others")</f>
        <v>3</v>
      </c>
      <c r="Z53" s="2">
        <f>COUNTIFS([4]流入チャネル別顧客一覧_ユニーク!$C:$C,"&gt;="&amp;Z$3,[4]流入チャネル別顧客一覧_ユニーク!$C:$C,"&lt;"&amp;EDATE(Z$3,1),[4]流入チャネル別顧客一覧_ユニーク!$H:$H,"他のキャンペーン")+COUNTIFS([4]流入チャネル別顧客一覧_ユニーク!$C:$C,"&gt;="&amp;Z$3,[4]流入チャネル別顧客一覧_ユニーク!$C:$C,"&lt;"&amp;EDATE(Z$3,1),[4]流入チャネル別顧客一覧_ユニーク!$H:$H,"others")</f>
        <v>3</v>
      </c>
      <c r="AA53" s="2">
        <f>COUNTIFS([4]流入チャネル別顧客一覧_ユニーク!$C:$C,"&gt;="&amp;AA$3,[4]流入チャネル別顧客一覧_ユニーク!$C:$C,"&lt;"&amp;EDATE(AA$3,1),[4]流入チャネル別顧客一覧_ユニーク!$H:$H,"他のキャンペーン")+COUNTIFS([4]流入チャネル別顧客一覧_ユニーク!$C:$C,"&gt;="&amp;AA$3,[4]流入チャネル別顧客一覧_ユニーク!$C:$C,"&lt;"&amp;EDATE(AA$3,1),[4]流入チャネル別顧客一覧_ユニーク!$H:$H,"others")</f>
        <v>1</v>
      </c>
      <c r="AB53" s="2">
        <f>COUNTIFS([4]流入チャネル別顧客一覧_ユニーク!$C:$C,"&gt;="&amp;AB$3,[4]流入チャネル別顧客一覧_ユニーク!$C:$C,"&lt;"&amp;EDATE(AB$3,1),[4]流入チャネル別顧客一覧_ユニーク!$H:$H,"他のキャンペーン")+COUNTIFS([4]流入チャネル別顧客一覧_ユニーク!$C:$C,"&gt;="&amp;AB$3,[4]流入チャネル別顧客一覧_ユニーク!$C:$C,"&lt;"&amp;EDATE(AB$3,1),[4]流入チャネル別顧客一覧_ユニーク!$H:$H,"others")</f>
        <v>1</v>
      </c>
      <c r="AC53" s="2">
        <f>COUNTIFS([4]流入チャネル別顧客一覧_ユニーク!$C:$C,"&gt;="&amp;AC$3,[4]流入チャネル別顧客一覧_ユニーク!$C:$C,"&lt;"&amp;EDATE(AC$3,1),[4]流入チャネル別顧客一覧_ユニーク!$H:$H,"他のキャンペーン")+COUNTIFS([4]流入チャネル別顧客一覧_ユニーク!$C:$C,"&gt;="&amp;AC$3,[4]流入チャネル別顧客一覧_ユニーク!$C:$C,"&lt;"&amp;EDATE(AC$3,1),[4]流入チャネル別顧客一覧_ユニーク!$H:$H,"others")</f>
        <v>2</v>
      </c>
      <c r="AD53" s="2">
        <f>COUNTIFS([4]流入チャネル別顧客一覧_ユニーク!$C:$C,"&gt;="&amp;AD$3,[4]流入チャネル別顧客一覧_ユニーク!$C:$C,"&lt;"&amp;EDATE(AD$3,1),[4]流入チャネル別顧客一覧_ユニーク!$H:$H,"他のキャンペーン")+COUNTIFS([4]流入チャネル別顧客一覧_ユニーク!$C:$C,"&gt;="&amp;AD$3,[4]流入チャネル別顧客一覧_ユニーク!$C:$C,"&lt;"&amp;EDATE(AD$3,1),[4]流入チャネル別顧客一覧_ユニーク!$H:$H,"others")</f>
        <v>0</v>
      </c>
      <c r="AE53" s="2">
        <f>COUNTIFS([4]流入チャネル別顧客一覧_ユニーク!$C:$C,"&gt;="&amp;AE$3,[4]流入チャネル別顧客一覧_ユニーク!$C:$C,"&lt;"&amp;EDATE(AE$3,1),[4]流入チャネル別顧客一覧_ユニーク!$H:$H,"他のキャンペーン")+COUNTIFS([4]流入チャネル別顧客一覧_ユニーク!$C:$C,"&gt;="&amp;AE$3,[4]流入チャネル別顧客一覧_ユニーク!$C:$C,"&lt;"&amp;EDATE(AE$3,1),[4]流入チャネル別顧客一覧_ユニーク!$H:$H,"others")</f>
        <v>0</v>
      </c>
      <c r="AF53" s="2">
        <f>COUNTIFS([4]流入チャネル別顧客一覧_ユニーク!$C:$C,"&gt;="&amp;AF$3,[4]流入チャネル別顧客一覧_ユニーク!$C:$C,"&lt;"&amp;EDATE(AF$3,1),[4]流入チャネル別顧客一覧_ユニーク!$H:$H,"他のキャンペーン")+COUNTIFS([4]流入チャネル別顧客一覧_ユニーク!$C:$C,"&gt;="&amp;AF$3,[4]流入チャネル別顧客一覧_ユニーク!$C:$C,"&lt;"&amp;EDATE(AF$3,1),[4]流入チャネル別顧客一覧_ユニーク!$H:$H,"others")</f>
        <v>0</v>
      </c>
      <c r="AG53" s="2">
        <f>COUNTIFS([4]流入チャネル別顧客一覧_ユニーク!$C:$C,"&gt;="&amp;AG$3,[4]流入チャネル別顧客一覧_ユニーク!$C:$C,"&lt;"&amp;EDATE(AG$3,1),[4]流入チャネル別顧客一覧_ユニーク!$H:$H,"他のキャンペーン")+COUNTIFS([4]流入チャネル別顧客一覧_ユニーク!$C:$C,"&gt;="&amp;AG$3,[4]流入チャネル別顧客一覧_ユニーク!$C:$C,"&lt;"&amp;EDATE(AG$3,1),[4]流入チャネル別顧客一覧_ユニーク!$H:$H,"others")</f>
        <v>0</v>
      </c>
      <c r="AH53" s="2">
        <f>COUNTIFS([4]流入チャネル別顧客一覧_ユニーク!$C:$C,"&gt;="&amp;AH$3,[4]流入チャネル別顧客一覧_ユニーク!$C:$C,"&lt;"&amp;EDATE(AH$3,1),[4]流入チャネル別顧客一覧_ユニーク!$H:$H,"他のキャンペーン")+COUNTIFS([4]流入チャネル別顧客一覧_ユニーク!$C:$C,"&gt;="&amp;AH$3,[4]流入チャネル別顧客一覧_ユニーク!$C:$C,"&lt;"&amp;EDATE(AH$3,1),[4]流入チャネル別顧客一覧_ユニーク!$H:$H,"others")</f>
        <v>0</v>
      </c>
      <c r="AI53" s="2">
        <f>COUNTIFS([4]流入チャネル別顧客一覧_ユニーク!$C:$C,"&gt;="&amp;AI$3,[4]流入チャネル別顧客一覧_ユニーク!$C:$C,"&lt;"&amp;EDATE(AI$3,1),[4]流入チャネル別顧客一覧_ユニーク!$H:$H,"他のキャンペーン")+COUNTIFS([4]流入チャネル別顧客一覧_ユニーク!$C:$C,"&gt;="&amp;AI$3,[4]流入チャネル別顧客一覧_ユニーク!$C:$C,"&lt;"&amp;EDATE(AI$3,1),[4]流入チャネル別顧客一覧_ユニーク!$H:$H,"others")</f>
        <v>0</v>
      </c>
      <c r="AJ53" s="2">
        <f>COUNTIFS([4]流入チャネル別顧客一覧_ユニーク!$C:$C,"&gt;="&amp;AJ$3,[4]流入チャネル別顧客一覧_ユニーク!$C:$C,"&lt;"&amp;EDATE(AJ$3,1),[4]流入チャネル別顧客一覧_ユニーク!$H:$H,"他のキャンペーン")+COUNTIFS([4]流入チャネル別顧客一覧_ユニーク!$C:$C,"&gt;="&amp;AJ$3,[4]流入チャネル別顧客一覧_ユニーク!$C:$C,"&lt;"&amp;EDATE(AJ$3,1),[4]流入チャネル別顧客一覧_ユニーク!$H:$H,"others")</f>
        <v>0</v>
      </c>
      <c r="AK53" s="2">
        <f>COUNTIFS([4]流入チャネル別顧客一覧_ユニーク!$C:$C,"&gt;="&amp;AK$3,[4]流入チャネル別顧客一覧_ユニーク!$C:$C,"&lt;"&amp;EDATE(AK$3,1),[4]流入チャネル別顧客一覧_ユニーク!$H:$H,"他のキャンペーン")+COUNTIFS([4]流入チャネル別顧客一覧_ユニーク!$C:$C,"&gt;="&amp;AK$3,[4]流入チャネル別顧客一覧_ユニーク!$C:$C,"&lt;"&amp;EDATE(AK$3,1),[4]流入チャネル別顧客一覧_ユニーク!$H:$H,"others")</f>
        <v>0</v>
      </c>
      <c r="AL53" s="2">
        <f>COUNTIFS([4]流入チャネル別顧客一覧_ユニーク!$C:$C,"&gt;="&amp;AL$3,[4]流入チャネル別顧客一覧_ユニーク!$C:$C,"&lt;"&amp;EDATE(AL$3,1),[4]流入チャネル別顧客一覧_ユニーク!$H:$H,"他のキャンペーン")+COUNTIFS([4]流入チャネル別顧客一覧_ユニーク!$C:$C,"&gt;="&amp;AL$3,[4]流入チャネル別顧客一覧_ユニーク!$C:$C,"&lt;"&amp;EDATE(AL$3,1),[4]流入チャネル別顧客一覧_ユニーク!$H:$H,"others")</f>
        <v>0</v>
      </c>
      <c r="AM53" s="2">
        <f t="shared" si="41"/>
        <v>33</v>
      </c>
      <c r="AN53" s="2">
        <f t="shared" si="42"/>
        <v>7</v>
      </c>
    </row>
    <row r="54" spans="1:50" ht="18">
      <c r="A54" s="49"/>
      <c r="B54" s="2" t="s">
        <v>6</v>
      </c>
      <c r="C54" s="2" t="s">
        <v>7</v>
      </c>
      <c r="D54" s="2" t="s">
        <v>8</v>
      </c>
      <c r="E54" s="2" t="s">
        <v>9</v>
      </c>
      <c r="F54" s="2" t="s">
        <v>10</v>
      </c>
      <c r="G54" s="2" t="s">
        <v>11</v>
      </c>
      <c r="H54" s="2" t="s">
        <v>12</v>
      </c>
      <c r="I54" s="2" t="s">
        <v>13</v>
      </c>
      <c r="J54" s="2" t="s">
        <v>14</v>
      </c>
      <c r="K54" s="2" t="s">
        <v>15</v>
      </c>
      <c r="L54" s="2" t="s">
        <v>16</v>
      </c>
      <c r="M54" s="2" t="s">
        <v>17</v>
      </c>
      <c r="N54" s="118">
        <v>45717</v>
      </c>
      <c r="O54" s="118">
        <v>45748</v>
      </c>
      <c r="P54" s="118">
        <v>45778</v>
      </c>
      <c r="Q54" s="118">
        <v>45809</v>
      </c>
      <c r="R54" s="118">
        <v>45839</v>
      </c>
      <c r="S54" s="118">
        <v>45870</v>
      </c>
      <c r="T54" s="118">
        <v>45901</v>
      </c>
      <c r="U54" s="118">
        <v>45931</v>
      </c>
      <c r="V54" s="118">
        <v>45962</v>
      </c>
      <c r="W54" s="118">
        <v>45992</v>
      </c>
      <c r="X54" s="118">
        <v>46023</v>
      </c>
      <c r="Y54" s="118">
        <v>46054</v>
      </c>
      <c r="Z54" s="118">
        <v>46082</v>
      </c>
      <c r="AA54" s="118">
        <v>46113</v>
      </c>
      <c r="AB54" s="118">
        <v>46143</v>
      </c>
      <c r="AC54" s="118">
        <v>46174</v>
      </c>
      <c r="AD54" s="118">
        <v>46204</v>
      </c>
      <c r="AE54" s="118">
        <v>46235</v>
      </c>
      <c r="AF54" s="118">
        <v>46266</v>
      </c>
      <c r="AG54" s="118">
        <v>46296</v>
      </c>
      <c r="AH54" s="118">
        <v>46327</v>
      </c>
      <c r="AI54" s="118">
        <v>46357</v>
      </c>
      <c r="AJ54" s="118">
        <v>46388</v>
      </c>
      <c r="AK54" s="118">
        <v>46419</v>
      </c>
    </row>
    <row r="55" spans="1:50" ht="18">
      <c r="A55" s="1" t="s">
        <v>66</v>
      </c>
      <c r="B55" s="2">
        <v>2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10</v>
      </c>
      <c r="I55" s="2">
        <v>0</v>
      </c>
      <c r="J55" s="2">
        <v>0</v>
      </c>
      <c r="K55" s="2">
        <v>1</v>
      </c>
      <c r="L55" s="2">
        <v>0</v>
      </c>
      <c r="M55" s="2">
        <v>0</v>
      </c>
      <c r="N55" s="2">
        <v>1</v>
      </c>
      <c r="O55" s="2">
        <v>4</v>
      </c>
      <c r="P55" s="2">
        <v>7</v>
      </c>
      <c r="Q55" s="2">
        <v>8</v>
      </c>
      <c r="R55" s="2">
        <v>2</v>
      </c>
      <c r="S55" s="2">
        <v>1</v>
      </c>
      <c r="T55" s="2">
        <v>4</v>
      </c>
      <c r="U55" s="2">
        <v>3</v>
      </c>
      <c r="V55" s="2">
        <v>1</v>
      </c>
      <c r="W55" s="2">
        <v>0</v>
      </c>
      <c r="X55" s="2">
        <v>8</v>
      </c>
      <c r="Y55" s="2">
        <v>3</v>
      </c>
      <c r="Z55" s="2">
        <v>4</v>
      </c>
      <c r="AA55" s="2">
        <v>4</v>
      </c>
      <c r="AB55" s="2">
        <v>0</v>
      </c>
      <c r="AC55" s="2">
        <v>1</v>
      </c>
      <c r="AL55" s="8">
        <f t="shared" ref="AL55:AL59" si="43">SUM(B55:M55)</f>
        <v>17</v>
      </c>
    </row>
    <row r="56" spans="1:50" ht="18">
      <c r="A56" s="1" t="s">
        <v>67</v>
      </c>
      <c r="B56" s="2">
        <v>1</v>
      </c>
      <c r="C56" s="2">
        <v>0</v>
      </c>
      <c r="D56" s="2">
        <v>2</v>
      </c>
      <c r="E56" s="2">
        <v>1</v>
      </c>
      <c r="F56" s="2">
        <v>1</v>
      </c>
      <c r="G56" s="2">
        <v>0</v>
      </c>
      <c r="H56" s="2">
        <v>5</v>
      </c>
      <c r="I56" s="2">
        <v>21</v>
      </c>
      <c r="J56" s="2">
        <v>15</v>
      </c>
      <c r="K56" s="2">
        <v>8</v>
      </c>
      <c r="L56" s="2">
        <v>15</v>
      </c>
      <c r="M56" s="2">
        <v>10</v>
      </c>
      <c r="N56" s="2">
        <v>495</v>
      </c>
      <c r="O56" s="2">
        <v>295</v>
      </c>
      <c r="P56" s="2">
        <v>14</v>
      </c>
      <c r="Q56" s="2">
        <v>23</v>
      </c>
      <c r="R56" s="2">
        <v>47</v>
      </c>
      <c r="S56" s="2">
        <v>22</v>
      </c>
      <c r="T56" s="2">
        <v>26</v>
      </c>
      <c r="U56" s="2">
        <v>30</v>
      </c>
      <c r="V56" s="2">
        <v>8</v>
      </c>
      <c r="W56" s="2">
        <v>18</v>
      </c>
      <c r="X56" s="2">
        <v>21</v>
      </c>
      <c r="Y56" s="2">
        <v>27</v>
      </c>
      <c r="Z56" s="2">
        <v>15</v>
      </c>
      <c r="AA56" s="2">
        <v>3</v>
      </c>
      <c r="AB56" s="2">
        <v>14</v>
      </c>
      <c r="AC56" s="2">
        <v>15</v>
      </c>
      <c r="AL56" s="8">
        <f t="shared" si="43"/>
        <v>79</v>
      </c>
    </row>
    <row r="57" spans="1:50" ht="18">
      <c r="A57" s="1" t="s">
        <v>68</v>
      </c>
      <c r="B57" s="2">
        <v>0</v>
      </c>
      <c r="C57" s="2">
        <v>9</v>
      </c>
      <c r="D57" s="2">
        <v>19</v>
      </c>
      <c r="E57" s="2">
        <v>20</v>
      </c>
      <c r="F57" s="2">
        <v>35</v>
      </c>
      <c r="G57" s="2">
        <v>12</v>
      </c>
      <c r="H57" s="2">
        <v>30</v>
      </c>
      <c r="I57" s="2">
        <v>42</v>
      </c>
      <c r="J57" s="2">
        <v>37</v>
      </c>
      <c r="K57" s="2">
        <v>24</v>
      </c>
      <c r="L57" s="2">
        <v>23</v>
      </c>
      <c r="M57" s="2">
        <v>12</v>
      </c>
      <c r="N57" s="2">
        <v>31</v>
      </c>
      <c r="O57" s="2">
        <v>35</v>
      </c>
      <c r="P57" s="2">
        <v>44</v>
      </c>
      <c r="Q57" s="2">
        <v>34</v>
      </c>
      <c r="R57" s="2">
        <v>2</v>
      </c>
      <c r="S57" s="2">
        <v>0</v>
      </c>
      <c r="T57" s="2">
        <v>1</v>
      </c>
      <c r="U57" s="2">
        <v>0</v>
      </c>
      <c r="V57" s="2">
        <v>0</v>
      </c>
      <c r="W57" s="2">
        <v>0</v>
      </c>
      <c r="X57" s="2">
        <v>4</v>
      </c>
      <c r="Y57" s="2">
        <v>19</v>
      </c>
      <c r="Z57" s="2">
        <v>0</v>
      </c>
      <c r="AA57" s="2">
        <f>16+8</f>
        <v>24</v>
      </c>
      <c r="AB57" s="2">
        <v>21</v>
      </c>
      <c r="AC57" s="2">
        <v>11</v>
      </c>
      <c r="AL57" s="8">
        <f t="shared" si="43"/>
        <v>263</v>
      </c>
    </row>
    <row r="58" spans="1:50" s="5" customFormat="1" ht="18">
      <c r="A58" s="5" t="s">
        <v>69</v>
      </c>
      <c r="B58" s="6">
        <f>SUM(B55:B57)</f>
        <v>3</v>
      </c>
      <c r="C58" s="6">
        <f t="shared" ref="C58:N58" si="44">SUM(C55:C57)</f>
        <v>10</v>
      </c>
      <c r="D58" s="6">
        <f t="shared" si="44"/>
        <v>22</v>
      </c>
      <c r="E58" s="6">
        <f t="shared" si="44"/>
        <v>21</v>
      </c>
      <c r="F58" s="6">
        <f t="shared" si="44"/>
        <v>36</v>
      </c>
      <c r="G58" s="6">
        <f t="shared" si="44"/>
        <v>14</v>
      </c>
      <c r="H58" s="6">
        <f t="shared" si="44"/>
        <v>45</v>
      </c>
      <c r="I58" s="6">
        <f t="shared" si="44"/>
        <v>63</v>
      </c>
      <c r="J58" s="6">
        <f t="shared" si="44"/>
        <v>52</v>
      </c>
      <c r="K58" s="6">
        <f t="shared" si="44"/>
        <v>33</v>
      </c>
      <c r="L58" s="6">
        <f t="shared" si="44"/>
        <v>38</v>
      </c>
      <c r="M58" s="6">
        <f t="shared" si="44"/>
        <v>22</v>
      </c>
      <c r="N58" s="6">
        <f t="shared" si="44"/>
        <v>527</v>
      </c>
      <c r="O58" s="6">
        <f>SUM(O55:O57)</f>
        <v>334</v>
      </c>
      <c r="P58" s="6">
        <f t="shared" ref="P58:AK58" si="45">SUM(P55:P57)</f>
        <v>65</v>
      </c>
      <c r="Q58" s="6">
        <f t="shared" si="45"/>
        <v>65</v>
      </c>
      <c r="R58" s="6">
        <f t="shared" si="45"/>
        <v>51</v>
      </c>
      <c r="S58" s="6">
        <f t="shared" si="45"/>
        <v>23</v>
      </c>
      <c r="T58" s="6">
        <f t="shared" si="45"/>
        <v>31</v>
      </c>
      <c r="U58" s="6">
        <f t="shared" si="45"/>
        <v>33</v>
      </c>
      <c r="V58" s="6">
        <f t="shared" si="45"/>
        <v>9</v>
      </c>
      <c r="W58" s="6">
        <f>SUM(W55:W57)</f>
        <v>18</v>
      </c>
      <c r="X58" s="6">
        <f t="shared" si="45"/>
        <v>33</v>
      </c>
      <c r="Y58" s="6">
        <f t="shared" si="45"/>
        <v>49</v>
      </c>
      <c r="Z58" s="6">
        <f t="shared" si="45"/>
        <v>19</v>
      </c>
      <c r="AA58" s="6">
        <f t="shared" si="45"/>
        <v>31</v>
      </c>
      <c r="AB58" s="6">
        <f t="shared" si="45"/>
        <v>35</v>
      </c>
      <c r="AC58" s="6">
        <f t="shared" si="45"/>
        <v>27</v>
      </c>
      <c r="AD58" s="6">
        <f t="shared" si="45"/>
        <v>0</v>
      </c>
      <c r="AE58" s="6">
        <f t="shared" si="45"/>
        <v>0</v>
      </c>
      <c r="AF58" s="6">
        <f t="shared" si="45"/>
        <v>0</v>
      </c>
      <c r="AG58" s="6">
        <f t="shared" si="45"/>
        <v>0</v>
      </c>
      <c r="AH58" s="6">
        <f t="shared" si="45"/>
        <v>0</v>
      </c>
      <c r="AI58" s="6">
        <f t="shared" si="45"/>
        <v>0</v>
      </c>
      <c r="AJ58" s="6">
        <f t="shared" si="45"/>
        <v>0</v>
      </c>
      <c r="AK58" s="6">
        <f t="shared" si="45"/>
        <v>0</v>
      </c>
      <c r="AL58" s="8">
        <f t="shared" si="43"/>
        <v>359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 s="3" customFormat="1" ht="18" hidden="1">
      <c r="A59" s="3" t="s">
        <v>70</v>
      </c>
      <c r="B59" s="3">
        <v>4.5</v>
      </c>
      <c r="C59" s="3">
        <v>5.8</v>
      </c>
      <c r="D59" s="3">
        <v>6.8</v>
      </c>
      <c r="E59" s="4">
        <v>7.4</v>
      </c>
      <c r="F59" s="4">
        <v>8</v>
      </c>
      <c r="G59" s="4">
        <v>8.6999999999999993</v>
      </c>
      <c r="H59" s="4">
        <v>9.4</v>
      </c>
      <c r="I59" s="4">
        <v>9.8000000000000007</v>
      </c>
      <c r="J59" s="4">
        <v>10.6</v>
      </c>
      <c r="K59" s="4">
        <v>12.3</v>
      </c>
      <c r="L59" s="4">
        <v>13</v>
      </c>
      <c r="M59" s="4">
        <v>13</v>
      </c>
      <c r="N59" s="4">
        <v>17.5</v>
      </c>
      <c r="O59" s="4">
        <v>17.5</v>
      </c>
      <c r="P59" s="4">
        <v>17.5</v>
      </c>
      <c r="Q59" s="4">
        <v>17.5</v>
      </c>
      <c r="R59" s="4">
        <v>17.5</v>
      </c>
      <c r="S59" s="4">
        <v>17.5</v>
      </c>
      <c r="T59" s="4">
        <v>17.5</v>
      </c>
      <c r="U59" s="4">
        <v>17.5</v>
      </c>
      <c r="V59" s="4">
        <v>17.5</v>
      </c>
      <c r="W59" s="4">
        <v>17.5</v>
      </c>
      <c r="X59" s="4">
        <v>17.5</v>
      </c>
      <c r="Y59" s="4">
        <v>17.5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8">
        <f t="shared" si="43"/>
        <v>109.3</v>
      </c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1" spans="1:50" ht="18"/>
  </sheetData>
  <phoneticPr fontId="1"/>
  <conditionalFormatting sqref="A7:A8">
    <cfRule type="cellIs" dxfId="89" priority="19" operator="equal">
      <formula>#DIV/0!</formula>
    </cfRule>
  </conditionalFormatting>
  <conditionalFormatting sqref="A15 A17:A20">
    <cfRule type="cellIs" dxfId="88" priority="34" operator="equal">
      <formula>#DIV/0!</formula>
    </cfRule>
  </conditionalFormatting>
  <conditionalFormatting sqref="A22 A24:A27">
    <cfRule type="cellIs" dxfId="87" priority="24" operator="equal">
      <formula>#DIV/0!</formula>
    </cfRule>
  </conditionalFormatting>
  <conditionalFormatting sqref="B18:M20">
    <cfRule type="cellIs" dxfId="86" priority="23" operator="equal">
      <formula>#DIV/0!</formula>
    </cfRule>
  </conditionalFormatting>
  <conditionalFormatting sqref="B25:M27">
    <cfRule type="cellIs" dxfId="85" priority="22" operator="equal">
      <formula>#DIV/0!</formula>
    </cfRule>
  </conditionalFormatting>
  <conditionalFormatting sqref="B29:M39">
    <cfRule type="cellIs" dxfId="84" priority="16" operator="equal">
      <formula>#DIV/0!</formula>
    </cfRule>
  </conditionalFormatting>
  <conditionalFormatting sqref="D8:AK8">
    <cfRule type="cellIs" dxfId="83" priority="6" operator="equal">
      <formula>#DIV/0!</formula>
    </cfRule>
  </conditionalFormatting>
  <conditionalFormatting sqref="Z20:AK20 Z27:AK27">
    <cfRule type="cellIs" dxfId="82" priority="14" operator="equal">
      <formula>#DIV/0!</formula>
    </cfRule>
  </conditionalFormatting>
  <conditionalFormatting sqref="AL29:AL37">
    <cfRule type="cellIs" dxfId="81" priority="15" operator="equal">
      <formula>#DIV/0!</formula>
    </cfRule>
  </conditionalFormatting>
  <conditionalFormatting sqref="AM24:AX24">
    <cfRule type="cellIs" dxfId="80" priority="12" operator="equal">
      <formula>#DIV/0!</formula>
    </cfRule>
  </conditionalFormatting>
  <conditionalFormatting sqref="AN8">
    <cfRule type="cellIs" dxfId="79" priority="1" operator="equal">
      <formula>#DIV/0!</formula>
    </cfRule>
  </conditionalFormatting>
  <conditionalFormatting sqref="AN20 AN27">
    <cfRule type="cellIs" dxfId="78" priority="13" operator="equal">
      <formula>#DIV/0!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48C70-039E-4CA7-B7A0-BD03E1664D7D}">
  <sheetPr>
    <tabColor theme="5" tint="0.39997558519241921"/>
  </sheetPr>
  <dimension ref="A1:AX59"/>
  <sheetViews>
    <sheetView zoomScale="70" zoomScaleNormal="70" workbookViewId="0">
      <pane xSplit="13" ySplit="3" topLeftCell="Y4" activePane="bottomRight" state="frozen"/>
      <selection pane="bottomRight" activeCell="AC16" sqref="AC16"/>
      <selection pane="bottomLeft" activeCell="A4" sqref="A4"/>
      <selection pane="topRight" activeCell="N1" sqref="N1"/>
    </sheetView>
  </sheetViews>
  <sheetFormatPr defaultColWidth="9" defaultRowHeight="15.75" customHeight="1"/>
  <cols>
    <col min="1" max="1" width="24.375" style="1" customWidth="1"/>
    <col min="2" max="4" width="8.875" style="1" hidden="1" customWidth="1"/>
    <col min="5" max="5" width="9.625" style="2" hidden="1" customWidth="1"/>
    <col min="6" max="13" width="10" style="2" hidden="1" customWidth="1"/>
    <col min="14" max="25" width="12.125" style="2" customWidth="1"/>
    <col min="26" max="37" width="12" style="2" customWidth="1"/>
    <col min="38" max="38" width="11.375" style="8" hidden="1" customWidth="1"/>
    <col min="39" max="39" width="11.375" style="2" customWidth="1"/>
    <col min="40" max="40" width="13.5" style="2" customWidth="1"/>
    <col min="41" max="41" width="11.375" style="2" customWidth="1"/>
    <col min="42" max="50" width="9" style="2"/>
    <col min="51" max="16384" width="9" style="1"/>
  </cols>
  <sheetData>
    <row r="1" spans="1:50" ht="18"/>
    <row r="2" spans="1:50" ht="18">
      <c r="A2" s="49" t="s">
        <v>79</v>
      </c>
      <c r="B2" s="2" t="s">
        <v>1</v>
      </c>
      <c r="N2" s="2" t="s">
        <v>2</v>
      </c>
      <c r="Z2" s="2" t="s">
        <v>3</v>
      </c>
      <c r="AC2" s="2" t="s">
        <v>4</v>
      </c>
      <c r="AL2" s="101" t="s">
        <v>5</v>
      </c>
      <c r="AM2" s="76" t="s">
        <v>5</v>
      </c>
      <c r="AN2" s="76" t="s">
        <v>5</v>
      </c>
      <c r="AO2" s="15"/>
      <c r="AQ2" s="15"/>
      <c r="AS2" s="20"/>
    </row>
    <row r="3" spans="1:50" ht="18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118">
        <v>45717</v>
      </c>
      <c r="O3" s="118">
        <v>45748</v>
      </c>
      <c r="P3" s="118">
        <v>45778</v>
      </c>
      <c r="Q3" s="118">
        <v>45809</v>
      </c>
      <c r="R3" s="118">
        <v>45839</v>
      </c>
      <c r="S3" s="118">
        <v>45870</v>
      </c>
      <c r="T3" s="118">
        <v>45901</v>
      </c>
      <c r="U3" s="118">
        <v>45931</v>
      </c>
      <c r="V3" s="118">
        <v>45962</v>
      </c>
      <c r="W3" s="118">
        <v>45992</v>
      </c>
      <c r="X3" s="118">
        <v>46023</v>
      </c>
      <c r="Y3" s="118">
        <v>46054</v>
      </c>
      <c r="Z3" s="118">
        <v>46082</v>
      </c>
      <c r="AA3" s="118">
        <v>46113</v>
      </c>
      <c r="AB3" s="118">
        <v>46143</v>
      </c>
      <c r="AC3" s="118">
        <v>46174</v>
      </c>
      <c r="AD3" s="118">
        <v>46204</v>
      </c>
      <c r="AE3" s="118">
        <v>46235</v>
      </c>
      <c r="AF3" s="118">
        <v>46266</v>
      </c>
      <c r="AG3" s="118">
        <v>46296</v>
      </c>
      <c r="AH3" s="118">
        <v>46327</v>
      </c>
      <c r="AI3" s="118">
        <v>46357</v>
      </c>
      <c r="AJ3" s="118">
        <v>46388</v>
      </c>
      <c r="AK3" s="118">
        <v>46419</v>
      </c>
      <c r="AL3" s="8" t="s">
        <v>1</v>
      </c>
      <c r="AM3" s="2" t="s">
        <v>2</v>
      </c>
      <c r="AN3" s="2" t="s">
        <v>3</v>
      </c>
    </row>
    <row r="4" spans="1:50" ht="18">
      <c r="A4" s="1" t="s">
        <v>18</v>
      </c>
      <c r="B4" s="2" t="s">
        <v>19</v>
      </c>
      <c r="C4" s="2" t="s">
        <v>19</v>
      </c>
      <c r="D4" s="2" t="s">
        <v>19</v>
      </c>
      <c r="E4" s="2">
        <v>537</v>
      </c>
      <c r="F4" s="2">
        <v>371</v>
      </c>
      <c r="G4" s="2">
        <v>923</v>
      </c>
      <c r="H4" s="2">
        <v>712</v>
      </c>
      <c r="I4" s="2">
        <v>755</v>
      </c>
      <c r="J4" s="2">
        <v>4615</v>
      </c>
      <c r="K4" s="2">
        <v>1022</v>
      </c>
      <c r="L4" s="2">
        <v>759</v>
      </c>
      <c r="M4" s="2">
        <v>1100</v>
      </c>
      <c r="N4" s="2">
        <v>764</v>
      </c>
      <c r="O4" s="2">
        <v>1778</v>
      </c>
      <c r="P4" s="2">
        <v>972</v>
      </c>
      <c r="Q4" s="2">
        <v>1028</v>
      </c>
      <c r="R4" s="2">
        <v>3160</v>
      </c>
      <c r="S4" s="2">
        <v>1281</v>
      </c>
      <c r="T4" s="2">
        <v>1652</v>
      </c>
      <c r="U4" s="2">
        <v>1120</v>
      </c>
      <c r="V4" s="2">
        <v>1551</v>
      </c>
      <c r="W4" s="2">
        <v>1613</v>
      </c>
      <c r="X4" s="2">
        <v>1364</v>
      </c>
      <c r="Y4" s="2">
        <v>1222</v>
      </c>
      <c r="Z4" s="2">
        <v>1317</v>
      </c>
      <c r="AA4" s="2">
        <v>1450</v>
      </c>
      <c r="AB4" s="2">
        <v>1172</v>
      </c>
      <c r="AC4" s="2">
        <v>1452</v>
      </c>
      <c r="AL4" s="8">
        <f>SUM(E4:M4)</f>
        <v>10794</v>
      </c>
      <c r="AM4" s="2">
        <f>SUM(N4:Y4)</f>
        <v>17505</v>
      </c>
      <c r="AN4" s="2">
        <f>SUM(Z4:AK4)</f>
        <v>5391</v>
      </c>
    </row>
    <row r="5" spans="1:50" ht="18">
      <c r="A5" s="1" t="s">
        <v>20</v>
      </c>
      <c r="B5" s="2" t="s">
        <v>19</v>
      </c>
      <c r="C5" s="2" t="s">
        <v>19</v>
      </c>
      <c r="D5" s="2" t="s">
        <v>19</v>
      </c>
      <c r="E5" s="2">
        <v>0</v>
      </c>
      <c r="F5" s="2">
        <v>3</v>
      </c>
      <c r="G5" s="2">
        <v>5</v>
      </c>
      <c r="H5" s="2">
        <v>6</v>
      </c>
      <c r="I5" s="2">
        <v>3</v>
      </c>
      <c r="J5" s="2">
        <v>9</v>
      </c>
      <c r="K5" s="2">
        <v>17</v>
      </c>
      <c r="L5" s="2">
        <v>7</v>
      </c>
      <c r="M5" s="2">
        <v>69</v>
      </c>
      <c r="N5" s="2">
        <f>COUNTIFS(
[5]流入チャネル別顧客一覧_ユニーク!$C:$C,"&gt;="&amp;DATE(2025,3,1),
[5]流入チャネル別顧客一覧_ユニーク!$C:$C,"&lt;"&amp;DATE(2026,3,1),
[5]流入チャネル別顧客一覧_ユニーク!$C:$C,"&gt;="&amp;N$3,
[5]流入チャネル別顧客一覧_ユニーク!$C:$C,"&lt;"&amp;EDATE(N$3,1)
)</f>
        <v>4</v>
      </c>
      <c r="O5" s="2">
        <f>COUNTIFS(
[5]流入チャネル別顧客一覧_ユニーク!$C:$C,"&gt;="&amp;DATE(2025,3,1),
[5]流入チャネル別顧客一覧_ユニーク!$C:$C,"&lt;"&amp;DATE(2026,3,1),
[5]流入チャネル別顧客一覧_ユニーク!$C:$C,"&gt;="&amp;O$3,
[5]流入チャネル別顧客一覧_ユニーク!$C:$C,"&lt;"&amp;EDATE(O$3,1)
)</f>
        <v>6</v>
      </c>
      <c r="P5" s="2">
        <f>COUNTIFS(
[5]流入チャネル別顧客一覧_ユニーク!$C:$C,"&gt;="&amp;DATE(2025,3,1),
[5]流入チャネル別顧客一覧_ユニーク!$C:$C,"&lt;"&amp;DATE(2026,3,1),
[5]流入チャネル別顧客一覧_ユニーク!$C:$C,"&gt;="&amp;P$3,
[5]流入チャネル別顧客一覧_ユニーク!$C:$C,"&lt;"&amp;EDATE(P$3,1)
)</f>
        <v>5</v>
      </c>
      <c r="Q5" s="2">
        <f>COUNTIFS(
[5]流入チャネル別顧客一覧_ユニーク!$C:$C,"&gt;="&amp;DATE(2025,3,1),
[5]流入チャネル別顧客一覧_ユニーク!$C:$C,"&lt;"&amp;DATE(2026,3,1),
[5]流入チャネル別顧客一覧_ユニーク!$C:$C,"&gt;="&amp;Q$3,
[5]流入チャネル別顧客一覧_ユニーク!$C:$C,"&lt;"&amp;EDATE(Q$3,1)
)</f>
        <v>12</v>
      </c>
      <c r="R5" s="2">
        <f>COUNTIFS(
[5]流入チャネル別顧客一覧_ユニーク!$C:$C,"&gt;="&amp;DATE(2025,3,1),
[5]流入チャネル別顧客一覧_ユニーク!$C:$C,"&lt;"&amp;DATE(2026,3,1),
[5]流入チャネル別顧客一覧_ユニーク!$C:$C,"&gt;="&amp;R$3,
[5]流入チャネル別顧客一覧_ユニーク!$C:$C,"&lt;"&amp;EDATE(R$3,1)
)</f>
        <v>16</v>
      </c>
      <c r="S5" s="2">
        <f>COUNTIFS(
[5]流入チャネル別顧客一覧_ユニーク!$C:$C,"&gt;="&amp;DATE(2025,3,1),
[5]流入チャネル別顧客一覧_ユニーク!$C:$C,"&lt;"&amp;DATE(2026,3,1),
[5]流入チャネル別顧客一覧_ユニーク!$C:$C,"&gt;="&amp;S$3,
[5]流入チャネル別顧客一覧_ユニーク!$C:$C,"&lt;"&amp;EDATE(S$3,1)
)</f>
        <v>25</v>
      </c>
      <c r="T5" s="2">
        <f>COUNTIFS(
[5]流入チャネル別顧客一覧_ユニーク!$C:$C,"&gt;="&amp;DATE(2025,3,1),
[5]流入チャネル別顧客一覧_ユニーク!$C:$C,"&lt;"&amp;DATE(2026,3,1),
[5]流入チャネル別顧客一覧_ユニーク!$C:$C,"&gt;="&amp;T$3,
[5]流入チャネル別顧客一覧_ユニーク!$C:$C,"&lt;"&amp;EDATE(T$3,1)
)</f>
        <v>5</v>
      </c>
      <c r="U5" s="122">
        <v>15</v>
      </c>
      <c r="V5" s="2">
        <f>COUNTIFS(
[5]流入チャネル別顧客一覧_ユニーク!$C:$C,"&gt;="&amp;DATE(2025,3,1),
[5]流入チャネル別顧客一覧_ユニーク!$C:$C,"&lt;"&amp;DATE(2026,3,1),
[5]流入チャネル別顧客一覧_ユニーク!$C:$C,"&gt;="&amp;V$3,
[5]流入チャネル別顧客一覧_ユニーク!$C:$C,"&lt;"&amp;EDATE(V$3,1)
)</f>
        <v>9</v>
      </c>
      <c r="W5" s="2">
        <f>COUNTIFS(
[5]流入チャネル別顧客一覧_ユニーク!$C:$C,"&gt;="&amp;DATE(2025,3,1),
[5]流入チャネル別顧客一覧_ユニーク!$C:$C,"&lt;"&amp;DATE(2026,3,1),
[5]流入チャネル別顧客一覧_ユニーク!$C:$C,"&gt;="&amp;W$3,
[5]流入チャネル別顧客一覧_ユニーク!$C:$C,"&lt;"&amp;EDATE(W$3,1)
)</f>
        <v>24</v>
      </c>
      <c r="X5" s="2">
        <f>COUNTIFS(
[5]流入チャネル別顧客一覧_ユニーク!$C:$C,"&gt;="&amp;DATE(2025,3,1),
[5]流入チャネル別顧客一覧_ユニーク!$C:$C,"&lt;"&amp;DATE(2026,3,1),
[5]流入チャネル別顧客一覧_ユニーク!$C:$C,"&gt;="&amp;X$3,
[5]流入チャネル別顧客一覧_ユニーク!$C:$C,"&lt;"&amp;EDATE(X$3,1)
)</f>
        <v>32</v>
      </c>
      <c r="Y5" s="2">
        <f>COUNTIFS(
[5]流入チャネル別顧客一覧_ユニーク!$C:$C,"&gt;="&amp;DATE(2025,3,1),
[5]流入チャネル別顧客一覧_ユニーク!$C:$C,"&lt;"&amp;DATE(2026,3,1),
[5]流入チャネル別顧客一覧_ユニーク!$C:$C,"&gt;="&amp;Y$3,
[5]流入チャネル別顧客一覧_ユニーク!$C:$C,"&lt;"&amp;EDATE(Y$3,1)
)</f>
        <v>39</v>
      </c>
      <c r="Z5" s="2">
        <f>COUNTIFS(
[5]流入チャネル別顧客一覧_ユニーク!$C:$C,"&gt;="&amp;DATE(2026,3,1),
[5]流入チャネル別顧客一覧_ユニーク!$C:$C,"&lt;"&amp;DATE(2027,3,1),
[5]流入チャネル別顧客一覧_ユニーク!$C:$C,"&gt;="&amp;Z$3,
[5]流入チャネル別顧客一覧_ユニーク!$C:$C,"&lt;"&amp;EDATE(Z$3,1)
)</f>
        <v>13</v>
      </c>
      <c r="AA5" s="2">
        <f>COUNTIFS(
[5]流入チャネル別顧客一覧_ユニーク!$C:$C,"&gt;="&amp;DATE(2026,3,1),
[5]流入チャネル別顧客一覧_ユニーク!$C:$C,"&lt;"&amp;DATE(2027,3,1),
[5]流入チャネル別顧客一覧_ユニーク!$C:$C,"&gt;="&amp;AA$3,
[5]流入チャネル別顧客一覧_ユニーク!$C:$C,"&lt;"&amp;EDATE(AA$3,1)
)</f>
        <v>5</v>
      </c>
      <c r="AB5" s="2">
        <f>COUNTIFS(
[5]流入チャネル別顧客一覧_ユニーク!$C:$C,"&gt;="&amp;DATE(2026,3,1),
[5]流入チャネル別顧客一覧_ユニーク!$C:$C,"&lt;"&amp;DATE(2027,3,1),
[5]流入チャネル別顧客一覧_ユニーク!$C:$C,"&gt;="&amp;AB$3,
[5]流入チャネル別顧客一覧_ユニーク!$C:$C,"&lt;"&amp;EDATE(AB$3,1)
)</f>
        <v>14</v>
      </c>
      <c r="AC5" s="2">
        <f>COUNTIFS(
[5]流入チャネル別顧客一覧_ユニーク!$C:$C,"&gt;="&amp;DATE(2026,3,1),
[5]流入チャネル別顧客一覧_ユニーク!$C:$C,"&lt;"&amp;DATE(2027,3,1),
[5]流入チャネル別顧客一覧_ユニーク!$C:$C,"&gt;="&amp;AC$3,
[5]流入チャネル別顧客一覧_ユニーク!$C:$C,"&lt;"&amp;EDATE(AC$3,1)
)</f>
        <v>16</v>
      </c>
      <c r="AD5" s="2">
        <f>COUNTIFS(
[5]流入チャネル別顧客一覧_ユニーク!$C:$C,"&gt;="&amp;DATE(2026,3,1),
[5]流入チャネル別顧客一覧_ユニーク!$C:$C,"&lt;"&amp;DATE(2027,3,1),
[5]流入チャネル別顧客一覧_ユニーク!$C:$C,"&gt;="&amp;AD$3,
[5]流入チャネル別顧客一覧_ユニーク!$C:$C,"&lt;"&amp;EDATE(AD$3,1)
)</f>
        <v>0</v>
      </c>
      <c r="AE5" s="2">
        <f>COUNTIFS(
[5]流入チャネル別顧客一覧_ユニーク!$C:$C,"&gt;="&amp;DATE(2026,3,1),
[5]流入チャネル別顧客一覧_ユニーク!$C:$C,"&lt;"&amp;DATE(2027,3,1),
[5]流入チャネル別顧客一覧_ユニーク!$C:$C,"&gt;="&amp;AE$3,
[5]流入チャネル別顧客一覧_ユニーク!$C:$C,"&lt;"&amp;EDATE(AE$3,1)
)</f>
        <v>0</v>
      </c>
      <c r="AF5" s="2">
        <f>COUNTIFS(
[5]流入チャネル別顧客一覧_ユニーク!$C:$C,"&gt;="&amp;DATE(2026,3,1),
[5]流入チャネル別顧客一覧_ユニーク!$C:$C,"&lt;"&amp;DATE(2027,3,1),
[5]流入チャネル別顧客一覧_ユニーク!$C:$C,"&gt;="&amp;AF$3,
[5]流入チャネル別顧客一覧_ユニーク!$C:$C,"&lt;"&amp;EDATE(AF$3,1)
)</f>
        <v>0</v>
      </c>
      <c r="AG5" s="2">
        <f>COUNTIFS(
[5]流入チャネル別顧客一覧_ユニーク!$C:$C,"&gt;="&amp;DATE(2026,3,1),
[5]流入チャネル別顧客一覧_ユニーク!$C:$C,"&lt;"&amp;DATE(2027,3,1),
[5]流入チャネル別顧客一覧_ユニーク!$C:$C,"&gt;="&amp;AG$3,
[5]流入チャネル別顧客一覧_ユニーク!$C:$C,"&lt;"&amp;EDATE(AG$3,1)
)</f>
        <v>0</v>
      </c>
      <c r="AH5" s="2">
        <f>COUNTIFS(
[5]流入チャネル別顧客一覧_ユニーク!$C:$C,"&gt;="&amp;DATE(2026,3,1),
[5]流入チャネル別顧客一覧_ユニーク!$C:$C,"&lt;"&amp;DATE(2027,3,1),
[5]流入チャネル別顧客一覧_ユニーク!$C:$C,"&gt;="&amp;AH$3,
[5]流入チャネル別顧客一覧_ユニーク!$C:$C,"&lt;"&amp;EDATE(AH$3,1)
)</f>
        <v>0</v>
      </c>
      <c r="AI5" s="2">
        <f>COUNTIFS(
[5]流入チャネル別顧客一覧_ユニーク!$C:$C,"&gt;="&amp;DATE(2026,3,1),
[5]流入チャネル別顧客一覧_ユニーク!$C:$C,"&lt;"&amp;DATE(2027,3,1),
[5]流入チャネル別顧客一覧_ユニーク!$C:$C,"&gt;="&amp;AI$3,
[5]流入チャネル別顧客一覧_ユニーク!$C:$C,"&lt;"&amp;EDATE(AI$3,1)
)</f>
        <v>0</v>
      </c>
      <c r="AJ5" s="2">
        <f>COUNTIFS(
[5]流入チャネル別顧客一覧_ユニーク!$C:$C,"&gt;="&amp;DATE(2026,3,1),
[5]流入チャネル別顧客一覧_ユニーク!$C:$C,"&lt;"&amp;DATE(2027,3,1),
[5]流入チャネル別顧客一覧_ユニーク!$C:$C,"&gt;="&amp;AJ$3,
[5]流入チャネル別顧客一覧_ユニーク!$C:$C,"&lt;"&amp;EDATE(AJ$3,1)
)</f>
        <v>0</v>
      </c>
      <c r="AK5" s="2">
        <f>COUNTIFS(
[5]流入チャネル別顧客一覧_ユニーク!$C:$C,"&gt;="&amp;DATE(2026,3,1),
[5]流入チャネル別顧客一覧_ユニーク!$C:$C,"&lt;"&amp;DATE(2027,3,1),
[5]流入チャネル別顧客一覧_ユニーク!$C:$C,"&gt;="&amp;AK$3,
[5]流入チャネル別顧客一覧_ユニーク!$C:$C,"&lt;"&amp;EDATE(AK$3,1)
)</f>
        <v>0</v>
      </c>
      <c r="AL5" s="8">
        <f>SUM(E5:M5)</f>
        <v>119</v>
      </c>
      <c r="AM5" s="2">
        <f t="shared" ref="AM5:AM11" si="0">SUM(N5:Y5)</f>
        <v>192</v>
      </c>
      <c r="AN5" s="2">
        <f t="shared" ref="AN5:AN11" si="1">SUM(Z5:AK5)</f>
        <v>48</v>
      </c>
    </row>
    <row r="6" spans="1:50" s="10" customFormat="1" ht="18">
      <c r="A6" s="10" t="s">
        <v>21</v>
      </c>
      <c r="B6" s="11"/>
      <c r="C6" s="11"/>
      <c r="D6" s="11"/>
      <c r="E6" s="11"/>
      <c r="F6" s="11"/>
      <c r="G6" s="145"/>
      <c r="H6" s="11"/>
      <c r="I6" s="11"/>
      <c r="J6" s="11"/>
      <c r="K6" s="11"/>
      <c r="L6" s="11"/>
      <c r="M6" s="11"/>
      <c r="N6" s="146">
        <f>N5/N4</f>
        <v>5.235602094240838E-3</v>
      </c>
      <c r="O6" s="146">
        <f t="shared" ref="O6:AN6" si="2">O5/O4</f>
        <v>3.3745781777277839E-3</v>
      </c>
      <c r="P6" s="146">
        <f t="shared" si="2"/>
        <v>5.1440329218106996E-3</v>
      </c>
      <c r="Q6" s="146">
        <f t="shared" si="2"/>
        <v>1.1673151750972763E-2</v>
      </c>
      <c r="R6" s="146">
        <f t="shared" si="2"/>
        <v>5.0632911392405064E-3</v>
      </c>
      <c r="S6" s="146">
        <f t="shared" si="2"/>
        <v>1.95160031225605E-2</v>
      </c>
      <c r="T6" s="146">
        <f t="shared" si="2"/>
        <v>3.0266343825665859E-3</v>
      </c>
      <c r="U6" s="146">
        <f t="shared" si="2"/>
        <v>1.3392857142857142E-2</v>
      </c>
      <c r="V6" s="146">
        <f t="shared" si="2"/>
        <v>5.8027079303675051E-3</v>
      </c>
      <c r="W6" s="146">
        <f t="shared" si="2"/>
        <v>1.4879107253564786E-2</v>
      </c>
      <c r="X6" s="146">
        <f t="shared" si="2"/>
        <v>2.3460410557184751E-2</v>
      </c>
      <c r="Y6" s="146">
        <f t="shared" si="2"/>
        <v>3.1914893617021274E-2</v>
      </c>
      <c r="Z6" s="146">
        <f t="shared" si="2"/>
        <v>9.8709187547456334E-3</v>
      </c>
      <c r="AA6" s="146">
        <f t="shared" si="2"/>
        <v>3.4482758620689655E-3</v>
      </c>
      <c r="AB6" s="146">
        <f t="shared" si="2"/>
        <v>1.1945392491467578E-2</v>
      </c>
      <c r="AC6" s="146">
        <f t="shared" si="2"/>
        <v>1.1019283746556474E-2</v>
      </c>
      <c r="AD6" s="146" t="e">
        <f t="shared" si="2"/>
        <v>#DIV/0!</v>
      </c>
      <c r="AE6" s="146" t="e">
        <f t="shared" si="2"/>
        <v>#DIV/0!</v>
      </c>
      <c r="AF6" s="146" t="e">
        <f t="shared" si="2"/>
        <v>#DIV/0!</v>
      </c>
      <c r="AG6" s="146" t="e">
        <f t="shared" si="2"/>
        <v>#DIV/0!</v>
      </c>
      <c r="AH6" s="146" t="e">
        <f t="shared" si="2"/>
        <v>#DIV/0!</v>
      </c>
      <c r="AI6" s="146" t="e">
        <f t="shared" si="2"/>
        <v>#DIV/0!</v>
      </c>
      <c r="AJ6" s="146" t="e">
        <f t="shared" si="2"/>
        <v>#DIV/0!</v>
      </c>
      <c r="AK6" s="146" t="e">
        <f t="shared" si="2"/>
        <v>#DIV/0!</v>
      </c>
      <c r="AL6" s="146">
        <f t="shared" si="2"/>
        <v>1.1024643320363165E-2</v>
      </c>
      <c r="AM6" s="146">
        <f>AM5/AM4</f>
        <v>1.0968294772922021E-2</v>
      </c>
      <c r="AN6" s="146">
        <f t="shared" si="2"/>
        <v>8.9037284362826936E-3</v>
      </c>
      <c r="AO6" s="11"/>
      <c r="AP6" s="11"/>
      <c r="AQ6" s="11"/>
      <c r="AR6" s="11"/>
      <c r="AS6" s="11"/>
      <c r="AT6" s="11"/>
      <c r="AU6" s="11"/>
      <c r="AV6" s="11"/>
      <c r="AW6" s="11"/>
    </row>
    <row r="7" spans="1:50" ht="18">
      <c r="A7" s="124" t="s">
        <v>22</v>
      </c>
      <c r="B7" s="2"/>
      <c r="C7" s="2"/>
      <c r="D7" s="2"/>
      <c r="E7" s="2">
        <v>0</v>
      </c>
      <c r="F7" s="2">
        <v>0</v>
      </c>
      <c r="G7" s="2">
        <v>1</v>
      </c>
      <c r="H7" s="2">
        <v>1</v>
      </c>
      <c r="I7" s="2">
        <v>1</v>
      </c>
      <c r="J7" s="2">
        <v>1</v>
      </c>
      <c r="K7" s="2">
        <v>4</v>
      </c>
      <c r="L7" s="2">
        <v>0</v>
      </c>
      <c r="M7" s="2">
        <v>3</v>
      </c>
      <c r="N7" s="2">
        <f>COUNTIFS(
[5]流入チャネル別顧客一覧_ユニーク!$C:$C,"&gt;="&amp;DATE(2025,3,1),
[5]流入チャネル別顧客一覧_ユニーク!$C:$C,"&lt;"&amp;DATE(2026,3,1),
[5]流入チャネル別顧客一覧_ユニーク!$R:$R,"&gt;="&amp;EOMONTH(N$3,-1)+1,
[5]流入チャネル別顧客一覧_ユニーク!$R:$R,"&lt;"&amp;EOMONTH(N$3,0)+1
)</f>
        <v>0</v>
      </c>
      <c r="O7" s="2">
        <f>COUNTIFS(
[5]流入チャネル別顧客一覧_ユニーク!$C:$C,"&gt;="&amp;DATE(2025,3,1),
[5]流入チャネル別顧客一覧_ユニーク!$C:$C,"&lt;"&amp;DATE(2026,3,1),
[5]流入チャネル別顧客一覧_ユニーク!$R:$R,"&gt;="&amp;EOMONTH(O$3,-1)+1,
[5]流入チャネル別顧客一覧_ユニーク!$R:$R,"&lt;"&amp;EOMONTH(O$3,0)+1
)</f>
        <v>0</v>
      </c>
      <c r="P7" s="2">
        <f>COUNTIFS(
[5]流入チャネル別顧客一覧_ユニーク!$C:$C,"&gt;="&amp;DATE(2025,3,1),
[5]流入チャネル別顧客一覧_ユニーク!$C:$C,"&lt;"&amp;DATE(2026,3,1),
[5]流入チャネル別顧客一覧_ユニーク!$R:$R,"&gt;="&amp;EOMONTH(P$3,-1)+1,
[5]流入チャネル別顧客一覧_ユニーク!$R:$R,"&lt;"&amp;EOMONTH(P$3,0)+1
)</f>
        <v>1</v>
      </c>
      <c r="Q7" s="2">
        <f>COUNTIFS(
[5]流入チャネル別顧客一覧_ユニーク!$C:$C,"&gt;="&amp;DATE(2025,3,1),
[5]流入チャネル別顧客一覧_ユニーク!$C:$C,"&lt;"&amp;DATE(2026,3,1),
[5]流入チャネル別顧客一覧_ユニーク!$R:$R,"&gt;="&amp;EOMONTH(Q$3,-1)+1,
[5]流入チャネル別顧客一覧_ユニーク!$R:$R,"&lt;"&amp;EOMONTH(Q$3,0)+1
)</f>
        <v>2</v>
      </c>
      <c r="R7" s="2">
        <f>COUNTIFS(
[5]流入チャネル別顧客一覧_ユニーク!$C:$C,"&gt;="&amp;DATE(2025,3,1),
[5]流入チャネル別顧客一覧_ユニーク!$C:$C,"&lt;"&amp;DATE(2026,3,1),
[5]流入チャネル別顧客一覧_ユニーク!$R:$R,"&gt;="&amp;EOMONTH(R$3,-1)+1,
[5]流入チャネル別顧客一覧_ユニーク!$R:$R,"&lt;"&amp;EOMONTH(R$3,0)+1
)</f>
        <v>6</v>
      </c>
      <c r="S7" s="2">
        <f>COUNTIFS(
[5]流入チャネル別顧客一覧_ユニーク!$C:$C,"&gt;="&amp;DATE(2025,3,1),
[5]流入チャネル別顧客一覧_ユニーク!$C:$C,"&lt;"&amp;DATE(2026,3,1),
[5]流入チャネル別顧客一覧_ユニーク!$R:$R,"&gt;="&amp;EOMONTH(S$3,-1)+1,
[5]流入チャネル別顧客一覧_ユニーク!$R:$R,"&lt;"&amp;EOMONTH(S$3,0)+1
)</f>
        <v>2</v>
      </c>
      <c r="T7" s="2">
        <f>COUNTIFS(
[5]流入チャネル別顧客一覧_ユニーク!$C:$C,"&gt;="&amp;DATE(2025,3,1),
[5]流入チャネル別顧客一覧_ユニーク!$C:$C,"&lt;"&amp;DATE(2026,3,1),
[5]流入チャネル別顧客一覧_ユニーク!$R:$R,"&gt;="&amp;EOMONTH(T$3,-1)+1,
[5]流入チャネル別顧客一覧_ユニーク!$R:$R,"&lt;"&amp;EOMONTH(T$3,0)+1
)</f>
        <v>1</v>
      </c>
      <c r="U7" s="2">
        <f>COUNTIFS(
[5]流入チャネル別顧客一覧_ユニーク!$C:$C,"&gt;="&amp;DATE(2025,3,1),
[5]流入チャネル別顧客一覧_ユニーク!$C:$C,"&lt;"&amp;DATE(2026,3,1),
[5]流入チャネル別顧客一覧_ユニーク!$R:$R,"&gt;="&amp;EOMONTH(U$3,-1)+1,
[5]流入チャネル別顧客一覧_ユニーク!$R:$R,"&lt;"&amp;EOMONTH(U$3,0)+1
)</f>
        <v>4</v>
      </c>
      <c r="V7" s="2">
        <f>COUNTIFS(
[5]流入チャネル別顧客一覧_ユニーク!$C:$C,"&gt;="&amp;DATE(2025,3,1),
[5]流入チャネル別顧客一覧_ユニーク!$C:$C,"&lt;"&amp;DATE(2026,3,1),
[5]流入チャネル別顧客一覧_ユニーク!$R:$R,"&gt;="&amp;EOMONTH(V$3,-1)+1,
[5]流入チャネル別顧客一覧_ユニーク!$R:$R,"&lt;"&amp;EOMONTH(V$3,0)+1
)</f>
        <v>1</v>
      </c>
      <c r="W7" s="2">
        <f>COUNTIFS(
[5]流入チャネル別顧客一覧_ユニーク!$C:$C,"&gt;="&amp;DATE(2025,3,1),
[5]流入チャネル別顧客一覧_ユニーク!$C:$C,"&lt;"&amp;DATE(2026,3,1),
[5]流入チャネル別顧客一覧_ユニーク!$R:$R,"&gt;="&amp;EOMONTH(W$3,-1)+1,
[5]流入チャネル別顧客一覧_ユニーク!$R:$R,"&lt;"&amp;EOMONTH(W$3,0)+1
)</f>
        <v>3</v>
      </c>
      <c r="X7" s="2">
        <f>COUNTIFS(
[5]流入チャネル別顧客一覧_ユニーク!$C:$C,"&gt;="&amp;DATE(2025,3,1),
[5]流入チャネル別顧客一覧_ユニーク!$C:$C,"&lt;"&amp;DATE(2026,3,1),
[5]流入チャネル別顧客一覧_ユニーク!$R:$R,"&gt;="&amp;EOMONTH(X$3,-1)+1,
[5]流入チャネル別顧客一覧_ユニーク!$R:$R,"&lt;"&amp;EOMONTH(X$3,0)+1
)</f>
        <v>2</v>
      </c>
      <c r="Y7" s="2">
        <f>COUNTIFS(
[5]流入チャネル別顧客一覧_ユニーク!$C:$C,"&gt;="&amp;DATE(2025,3,1),
[5]流入チャネル別顧客一覧_ユニーク!$C:$C,"&lt;"&amp;DATE(2026,3,1),
[5]流入チャネル別顧客一覧_ユニーク!$R:$R,"&gt;="&amp;EOMONTH(Y$3,-1)+1,
[5]流入チャネル別顧客一覧_ユニーク!$R:$R,"&lt;"&amp;EOMONTH(Y$3,0)+1
)</f>
        <v>10</v>
      </c>
      <c r="Z7" s="2">
        <f>COUNTIFS(
[5]流入チャネル別顧客一覧_ユニーク!$C:$C,"&gt;="&amp;DATE(2026,3,1),
[5]流入チャネル別顧客一覧_ユニーク!$C:$C,"&lt;"&amp;DATE(2027,3,1),
[5]流入チャネル別顧客一覧_ユニーク!$R:$R,"&gt;="&amp;EOMONTH(Z$3,-1)+1,
[5]流入チャネル別顧客一覧_ユニーク!$R:$R,"&lt;"&amp;EOMONTH(Z$3,0)+1
)</f>
        <v>0</v>
      </c>
      <c r="AA7" s="2">
        <f>COUNTIFS(
[5]流入チャネル別顧客一覧_ユニーク!$C:$C,"&gt;="&amp;DATE(2026,3,1),
[5]流入チャネル別顧客一覧_ユニーク!$C:$C,"&lt;"&amp;DATE(2027,3,1),
[5]流入チャネル別顧客一覧_ユニーク!$R:$R,"&gt;="&amp;EOMONTH(AA$3,-1)+1,
[5]流入チャネル別顧客一覧_ユニーク!$R:$R,"&lt;"&amp;EOMONTH(AA$3,0)+1
)</f>
        <v>2</v>
      </c>
      <c r="AB7" s="2">
        <f>COUNTIFS(
[5]流入チャネル別顧客一覧_ユニーク!$C:$C,"&gt;="&amp;DATE(2026,3,1),
[5]流入チャネル別顧客一覧_ユニーク!$C:$C,"&lt;"&amp;DATE(2027,3,1),
[5]流入チャネル別顧客一覧_ユニーク!$R:$R,"&gt;="&amp;EOMONTH(AB$3,-1)+1,
[5]流入チャネル別顧客一覧_ユニーク!$R:$R,"&lt;"&amp;EOMONTH(AB$3,0)+1
)</f>
        <v>3</v>
      </c>
      <c r="AC7" s="2">
        <f>COUNTIFS(
[5]流入チャネル別顧客一覧_ユニーク!$C:$C,"&gt;="&amp;DATE(2026,3,1),
[5]流入チャネル別顧客一覧_ユニーク!$C:$C,"&lt;"&amp;DATE(2027,3,1),
[5]流入チャネル別顧客一覧_ユニーク!$R:$R,"&gt;="&amp;EOMONTH(AC$3,-1)+1,
[5]流入チャネル別顧客一覧_ユニーク!$R:$R,"&lt;"&amp;EOMONTH(AC$3,0)+1
)</f>
        <v>0</v>
      </c>
      <c r="AD7" s="2">
        <f>COUNTIFS(
[5]流入チャネル別顧客一覧_ユニーク!$C:$C,"&gt;="&amp;DATE(2026,3,1),
[5]流入チャネル別顧客一覧_ユニーク!$C:$C,"&lt;"&amp;DATE(2027,3,1),
[5]流入チャネル別顧客一覧_ユニーク!$R:$R,"&gt;="&amp;EOMONTH(AD$3,-1)+1,
[5]流入チャネル別顧客一覧_ユニーク!$R:$R,"&lt;"&amp;EOMONTH(AD$3,0)+1
)</f>
        <v>0</v>
      </c>
      <c r="AE7" s="2">
        <f>COUNTIFS(
[5]流入チャネル別顧客一覧_ユニーク!$C:$C,"&gt;="&amp;DATE(2026,3,1),
[5]流入チャネル別顧客一覧_ユニーク!$C:$C,"&lt;"&amp;DATE(2027,3,1),
[5]流入チャネル別顧客一覧_ユニーク!$R:$R,"&gt;="&amp;EOMONTH(AE$3,-1)+1,
[5]流入チャネル別顧客一覧_ユニーク!$R:$R,"&lt;"&amp;EOMONTH(AE$3,0)+1
)</f>
        <v>0</v>
      </c>
      <c r="AF7" s="2">
        <f>COUNTIFS(
[5]流入チャネル別顧客一覧_ユニーク!$C:$C,"&gt;="&amp;DATE(2026,3,1),
[5]流入チャネル別顧客一覧_ユニーク!$C:$C,"&lt;"&amp;DATE(2027,3,1),
[5]流入チャネル別顧客一覧_ユニーク!$R:$R,"&gt;="&amp;EOMONTH(AF$3,-1)+1,
[5]流入チャネル別顧客一覧_ユニーク!$R:$R,"&lt;"&amp;EOMONTH(AF$3,0)+1
)</f>
        <v>0</v>
      </c>
      <c r="AG7" s="2">
        <f>COUNTIFS(
[5]流入チャネル別顧客一覧_ユニーク!$C:$C,"&gt;="&amp;DATE(2026,3,1),
[5]流入チャネル別顧客一覧_ユニーク!$C:$C,"&lt;"&amp;DATE(2027,3,1),
[5]流入チャネル別顧客一覧_ユニーク!$R:$R,"&gt;="&amp;EOMONTH(AG$3,-1)+1,
[5]流入チャネル別顧客一覧_ユニーク!$R:$R,"&lt;"&amp;EOMONTH(AG$3,0)+1
)</f>
        <v>0</v>
      </c>
      <c r="AH7" s="2">
        <f>COUNTIFS(
[5]流入チャネル別顧客一覧_ユニーク!$C:$C,"&gt;="&amp;DATE(2026,3,1),
[5]流入チャネル別顧客一覧_ユニーク!$C:$C,"&lt;"&amp;DATE(2027,3,1),
[5]流入チャネル別顧客一覧_ユニーク!$R:$R,"&gt;="&amp;EOMONTH(AH$3,-1)+1,
[5]流入チャネル別顧客一覧_ユニーク!$R:$R,"&lt;"&amp;EOMONTH(AH$3,0)+1
)</f>
        <v>0</v>
      </c>
      <c r="AI7" s="2">
        <f>COUNTIFS(
[5]流入チャネル別顧客一覧_ユニーク!$C:$C,"&gt;="&amp;DATE(2026,3,1),
[5]流入チャネル別顧客一覧_ユニーク!$C:$C,"&lt;"&amp;DATE(2027,3,1),
[5]流入チャネル別顧客一覧_ユニーク!$R:$R,"&gt;="&amp;EOMONTH(AI$3,-1)+1,
[5]流入チャネル別顧客一覧_ユニーク!$R:$R,"&lt;"&amp;EOMONTH(AI$3,0)+1
)</f>
        <v>0</v>
      </c>
      <c r="AJ7" s="2">
        <f>COUNTIFS(
[5]流入チャネル別顧客一覧_ユニーク!$C:$C,"&gt;="&amp;DATE(2026,3,1),
[5]流入チャネル別顧客一覧_ユニーク!$C:$C,"&lt;"&amp;DATE(2027,3,1),
[5]流入チャネル別顧客一覧_ユニーク!$R:$R,"&gt;="&amp;EOMONTH(AJ$3,-1)+1,
[5]流入チャネル別顧客一覧_ユニーク!$R:$R,"&lt;"&amp;EOMONTH(AJ$3,0)+1
)</f>
        <v>0</v>
      </c>
      <c r="AK7" s="2">
        <f>COUNTIFS(
[5]流入チャネル別顧客一覧_ユニーク!$C:$C,"&gt;="&amp;DATE(2026,3,1),
[5]流入チャネル別顧客一覧_ユニーク!$C:$C,"&lt;"&amp;DATE(2027,3,1),
[5]流入チャネル別顧客一覧_ユニーク!$R:$R,"&gt;="&amp;EOMONTH(AK$3,-1)+1,
[5]流入チャネル別顧客一覧_ユニーク!$R:$R,"&lt;"&amp;EOMONTH(AK$3,0)+1
)</f>
        <v>0</v>
      </c>
      <c r="AM7" s="2">
        <f t="shared" si="0"/>
        <v>32</v>
      </c>
      <c r="AN7" s="2">
        <f t="shared" si="1"/>
        <v>5</v>
      </c>
    </row>
    <row r="8" spans="1:50" s="10" customFormat="1" ht="18">
      <c r="A8" s="10" t="s">
        <v>23</v>
      </c>
      <c r="B8" s="11"/>
      <c r="C8" s="11"/>
      <c r="D8" s="11"/>
      <c r="E8" s="12" t="str">
        <f t="shared" ref="E8:AK8" si="3">IF(E7=0,"0%",E7/E5)</f>
        <v>0%</v>
      </c>
      <c r="F8" s="12" t="str">
        <f t="shared" si="3"/>
        <v>0%</v>
      </c>
      <c r="G8" s="12">
        <f t="shared" si="3"/>
        <v>0.2</v>
      </c>
      <c r="H8" s="12">
        <f t="shared" si="3"/>
        <v>0.16666666666666666</v>
      </c>
      <c r="I8" s="12">
        <f t="shared" si="3"/>
        <v>0.33333333333333331</v>
      </c>
      <c r="J8" s="12">
        <f t="shared" si="3"/>
        <v>0.1111111111111111</v>
      </c>
      <c r="K8" s="12">
        <f t="shared" si="3"/>
        <v>0.23529411764705882</v>
      </c>
      <c r="L8" s="12" t="str">
        <f t="shared" si="3"/>
        <v>0%</v>
      </c>
      <c r="M8" s="12">
        <f t="shared" si="3"/>
        <v>4.3478260869565216E-2</v>
      </c>
      <c r="N8" s="12" t="str">
        <f t="shared" si="3"/>
        <v>0%</v>
      </c>
      <c r="O8" s="12" t="str">
        <f t="shared" si="3"/>
        <v>0%</v>
      </c>
      <c r="P8" s="12">
        <f t="shared" si="3"/>
        <v>0.2</v>
      </c>
      <c r="Q8" s="12">
        <f t="shared" si="3"/>
        <v>0.16666666666666666</v>
      </c>
      <c r="R8" s="12">
        <f t="shared" si="3"/>
        <v>0.375</v>
      </c>
      <c r="S8" s="12">
        <f t="shared" si="3"/>
        <v>0.08</v>
      </c>
      <c r="T8" s="12">
        <f t="shared" si="3"/>
        <v>0.2</v>
      </c>
      <c r="U8" s="12">
        <f t="shared" si="3"/>
        <v>0.26666666666666666</v>
      </c>
      <c r="V8" s="12">
        <f t="shared" si="3"/>
        <v>0.1111111111111111</v>
      </c>
      <c r="W8" s="12">
        <f t="shared" si="3"/>
        <v>0.125</v>
      </c>
      <c r="X8" s="12">
        <f t="shared" si="3"/>
        <v>6.25E-2</v>
      </c>
      <c r="Y8" s="12">
        <f t="shared" si="3"/>
        <v>0.25641025641025639</v>
      </c>
      <c r="Z8" s="12" t="str">
        <f t="shared" si="3"/>
        <v>0%</v>
      </c>
      <c r="AA8" s="12">
        <f t="shared" si="3"/>
        <v>0.4</v>
      </c>
      <c r="AB8" s="12">
        <f t="shared" si="3"/>
        <v>0.21428571428571427</v>
      </c>
      <c r="AC8" s="12" t="str">
        <f t="shared" si="3"/>
        <v>0%</v>
      </c>
      <c r="AD8" s="12" t="str">
        <f t="shared" si="3"/>
        <v>0%</v>
      </c>
      <c r="AE8" s="12" t="str">
        <f t="shared" si="3"/>
        <v>0%</v>
      </c>
      <c r="AF8" s="12" t="str">
        <f t="shared" si="3"/>
        <v>0%</v>
      </c>
      <c r="AG8" s="12" t="str">
        <f t="shared" si="3"/>
        <v>0%</v>
      </c>
      <c r="AH8" s="12" t="str">
        <f t="shared" si="3"/>
        <v>0%</v>
      </c>
      <c r="AI8" s="12" t="str">
        <f t="shared" si="3"/>
        <v>0%</v>
      </c>
      <c r="AJ8" s="12" t="str">
        <f t="shared" si="3"/>
        <v>0%</v>
      </c>
      <c r="AK8" s="12" t="str">
        <f t="shared" si="3"/>
        <v>0%</v>
      </c>
      <c r="AL8" s="109"/>
      <c r="AM8" s="11"/>
      <c r="AN8" s="12">
        <f>IF(AN7=0,"0%",AN7/AN5)</f>
        <v>0.10416666666666667</v>
      </c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ht="18">
      <c r="A9" s="124" t="s">
        <v>80</v>
      </c>
      <c r="B9" s="2" t="s">
        <v>19</v>
      </c>
      <c r="C9" s="2" t="s">
        <v>19</v>
      </c>
      <c r="D9" s="2" t="s">
        <v>19</v>
      </c>
      <c r="E9" s="2">
        <v>1</v>
      </c>
      <c r="F9" s="2">
        <v>0</v>
      </c>
      <c r="G9" s="2">
        <v>0</v>
      </c>
      <c r="H9" s="2">
        <v>1</v>
      </c>
      <c r="I9" s="2">
        <v>1</v>
      </c>
      <c r="J9" s="2">
        <v>0</v>
      </c>
      <c r="K9" s="2">
        <v>2</v>
      </c>
      <c r="L9" s="2">
        <v>0</v>
      </c>
      <c r="M9" s="2">
        <v>1</v>
      </c>
      <c r="N9" s="2">
        <f>COUNTIFS(
[5]流入チャネル別顧客一覧_ユニーク!$C:$C,"&gt;="&amp;DATE(2025,3,1),
[5]流入チャネル別顧客一覧_ユニーク!$C:$C,"&lt;"&amp;DATE(2026,3,1),
[5]流入チャネル別顧客一覧_ユニーク!$S:$S,"&gt;="&amp;EOMONTH(N$3,-1)+1,
[5]流入チャネル別顧客一覧_ユニーク!$S:$S,"&lt;"&amp;EOMONTH(N$3,0)+1
)</f>
        <v>0</v>
      </c>
      <c r="O9" s="2">
        <f>COUNTIFS(
[5]流入チャネル別顧客一覧_ユニーク!$C:$C,"&gt;="&amp;DATE(2025,3,1),
[5]流入チャネル別顧客一覧_ユニーク!$C:$C,"&lt;"&amp;DATE(2026,3,1),
[5]流入チャネル別顧客一覧_ユニーク!$S:$S,"&gt;="&amp;EOMONTH(O$3,-1)+1,
[5]流入チャネル別顧客一覧_ユニーク!$S:$S,"&lt;"&amp;EOMONTH(O$3,0)+1
)</f>
        <v>0</v>
      </c>
      <c r="P9" s="2">
        <f>COUNTIFS(
[5]流入チャネル別顧客一覧_ユニーク!$C:$C,"&gt;="&amp;DATE(2025,3,1),
[5]流入チャネル別顧客一覧_ユニーク!$C:$C,"&lt;"&amp;DATE(2026,3,1),
[5]流入チャネル別顧客一覧_ユニーク!$S:$S,"&gt;="&amp;EOMONTH(P$3,-1)+1,
[5]流入チャネル別顧客一覧_ユニーク!$S:$S,"&lt;"&amp;EOMONTH(P$3,0)+1
)</f>
        <v>0</v>
      </c>
      <c r="Q9" s="2">
        <f>COUNTIFS(
[5]流入チャネル別顧客一覧_ユニーク!$C:$C,"&gt;="&amp;DATE(2025,3,1),
[5]流入チャネル別顧客一覧_ユニーク!$C:$C,"&lt;"&amp;DATE(2026,3,1),
[5]流入チャネル別顧客一覧_ユニーク!$S:$S,"&gt;="&amp;EOMONTH(Q$3,-1)+1,
[5]流入チャネル別顧客一覧_ユニーク!$S:$S,"&lt;"&amp;EOMONTH(Q$3,0)+1
)</f>
        <v>1</v>
      </c>
      <c r="R9" s="2">
        <f>COUNTIFS(
[5]流入チャネル別顧客一覧_ユニーク!$C:$C,"&gt;="&amp;DATE(2025,3,1),
[5]流入チャネル別顧客一覧_ユニーク!$C:$C,"&lt;"&amp;DATE(2026,3,1),
[5]流入チャネル別顧客一覧_ユニーク!$S:$S,"&gt;="&amp;EOMONTH(R$3,-1)+1,
[5]流入チャネル別顧客一覧_ユニーク!$S:$S,"&lt;"&amp;EOMONTH(R$3,0)+1
)</f>
        <v>0</v>
      </c>
      <c r="S9" s="2">
        <f>COUNTIFS(
[5]流入チャネル別顧客一覧_ユニーク!$C:$C,"&gt;="&amp;DATE(2025,3,1),
[5]流入チャネル別顧客一覧_ユニーク!$C:$C,"&lt;"&amp;DATE(2026,3,1),
[5]流入チャネル別顧客一覧_ユニーク!$S:$S,"&gt;="&amp;EOMONTH(S$3,-1)+1,
[5]流入チャネル別顧客一覧_ユニーク!$S:$S,"&lt;"&amp;EOMONTH(S$3,0)+1
)</f>
        <v>0</v>
      </c>
      <c r="T9" s="2">
        <f>COUNTIFS(
[5]流入チャネル別顧客一覧_ユニーク!$C:$C,"&gt;="&amp;DATE(2025,3,1),
[5]流入チャネル別顧客一覧_ユニーク!$C:$C,"&lt;"&amp;DATE(2026,3,1),
[5]流入チャネル別顧客一覧_ユニーク!$S:$S,"&gt;="&amp;EOMONTH(T$3,-1)+1,
[5]流入チャネル別顧客一覧_ユニーク!$S:$S,"&lt;"&amp;EOMONTH(T$3,0)+1
)</f>
        <v>1</v>
      </c>
      <c r="U9" s="2">
        <f>COUNTIFS(
[5]流入チャネル別顧客一覧_ユニーク!$C:$C,"&gt;="&amp;DATE(2025,3,1),
[5]流入チャネル別顧客一覧_ユニーク!$C:$C,"&lt;"&amp;DATE(2026,3,1),
[5]流入チャネル別顧客一覧_ユニーク!$S:$S,"&gt;="&amp;EOMONTH(U$3,-1)+1,
[5]流入チャネル別顧客一覧_ユニーク!$S:$S,"&lt;"&amp;EOMONTH(U$3,0)+1
)</f>
        <v>1</v>
      </c>
      <c r="V9" s="2">
        <f>COUNTIFS(
[5]流入チャネル別顧客一覧_ユニーク!$C:$C,"&gt;="&amp;DATE(2025,3,1),
[5]流入チャネル別顧客一覧_ユニーク!$C:$C,"&lt;"&amp;DATE(2026,3,1),
[5]流入チャネル別顧客一覧_ユニーク!$S:$S,"&gt;="&amp;EOMONTH(V$3,-1)+1,
[5]流入チャネル別顧客一覧_ユニーク!$S:$S,"&lt;"&amp;EOMONTH(V$3,0)+1
)</f>
        <v>0</v>
      </c>
      <c r="W9" s="2">
        <f>COUNTIFS(
[5]流入チャネル別顧客一覧_ユニーク!$C:$C,"&gt;="&amp;DATE(2025,3,1),
[5]流入チャネル別顧客一覧_ユニーク!$C:$C,"&lt;"&amp;DATE(2026,3,1),
[5]流入チャネル別顧客一覧_ユニーク!$S:$S,"&gt;="&amp;EOMONTH(W$3,-1)+1,
[5]流入チャネル別顧客一覧_ユニーク!$S:$S,"&lt;"&amp;EOMONTH(W$3,0)+1
)</f>
        <v>0</v>
      </c>
      <c r="X9" s="2">
        <f>COUNTIFS(
[5]流入チャネル別顧客一覧_ユニーク!$C:$C,"&gt;="&amp;DATE(2025,3,1),
[5]流入チャネル別顧客一覧_ユニーク!$C:$C,"&lt;"&amp;DATE(2026,3,1),
[5]流入チャネル別顧客一覧_ユニーク!$S:$S,"&gt;="&amp;EOMONTH(X$3,-1)+1,
[5]流入チャネル別顧客一覧_ユニーク!$S:$S,"&lt;"&amp;EOMONTH(X$3,0)+1
)</f>
        <v>1</v>
      </c>
      <c r="Y9" s="2">
        <v>3</v>
      </c>
      <c r="Z9" s="2">
        <f>COUNTIFS(
[5]流入チャネル別顧客一覧_ユニーク!$C:$C,"&gt;="&amp;DATE(2026,3,1),
[5]流入チャネル別顧客一覧_ユニーク!$C:$C,"&lt;"&amp;DATE(2027,3,1),
[5]流入チャネル別顧客一覧_ユニーク!$S:$S,"&gt;="&amp;EOMONTH(Z$3,-1)+1,
[5]流入チャネル別顧客一覧_ユニーク!$S:$S,"&lt;"&amp;EOMONTH(Z$3,0)+1
)</f>
        <v>0</v>
      </c>
      <c r="AA9" s="2">
        <f>COUNTIFS(
[5]流入チャネル別顧客一覧_ユニーク!$C:$C,"&gt;="&amp;DATE(2026,3,1),
[5]流入チャネル別顧客一覧_ユニーク!$C:$C,"&lt;"&amp;DATE(2027,3,1),
[5]流入チャネル別顧客一覧_ユニーク!$S:$S,"&gt;="&amp;EOMONTH(AA$3,-1)+1,
[5]流入チャネル別顧客一覧_ユニーク!$S:$S,"&lt;"&amp;EOMONTH(AA$3,0)+1
)</f>
        <v>1</v>
      </c>
      <c r="AB9" s="2">
        <f>COUNTIFS(
[5]流入チャネル別顧客一覧_ユニーク!$C:$C,"&gt;="&amp;DATE(2026,3,1),
[5]流入チャネル別顧客一覧_ユニーク!$C:$C,"&lt;"&amp;DATE(2027,3,1),
[5]流入チャネル別顧客一覧_ユニーク!$S:$S,"&gt;="&amp;EOMONTH(AB$3,-1)+1,
[5]流入チャネル別顧客一覧_ユニーク!$S:$S,"&lt;"&amp;EOMONTH(AB$3,0)+1
)</f>
        <v>0</v>
      </c>
      <c r="AC9" s="2">
        <f>COUNTIFS(
[5]流入チャネル別顧客一覧_ユニーク!$C:$C,"&gt;="&amp;DATE(2026,3,1),
[5]流入チャネル別顧客一覧_ユニーク!$C:$C,"&lt;"&amp;DATE(2027,3,1),
[5]流入チャネル別顧客一覧_ユニーク!$S:$S,"&gt;="&amp;EOMONTH(AC$3,-1)+1,
[5]流入チャネル別顧客一覧_ユニーク!$S:$S,"&lt;"&amp;EOMONTH(AC$3,0)+1
)</f>
        <v>2</v>
      </c>
      <c r="AD9" s="2">
        <f>COUNTIFS(
[5]流入チャネル別顧客一覧_ユニーク!$C:$C,"&gt;="&amp;DATE(2026,3,1),
[5]流入チャネル別顧客一覧_ユニーク!$C:$C,"&lt;"&amp;DATE(2027,3,1),
[5]流入チャネル別顧客一覧_ユニーク!$S:$S,"&gt;="&amp;EOMONTH(AD$3,-1)+1,
[5]流入チャネル別顧客一覧_ユニーク!$S:$S,"&lt;"&amp;EOMONTH(AD$3,0)+1
)</f>
        <v>0</v>
      </c>
      <c r="AE9" s="2">
        <f>COUNTIFS(
[5]流入チャネル別顧客一覧_ユニーク!$C:$C,"&gt;="&amp;DATE(2026,3,1),
[5]流入チャネル別顧客一覧_ユニーク!$C:$C,"&lt;"&amp;DATE(2027,3,1),
[5]流入チャネル別顧客一覧_ユニーク!$S:$S,"&gt;="&amp;EOMONTH(AE$3,-1)+1,
[5]流入チャネル別顧客一覧_ユニーク!$S:$S,"&lt;"&amp;EOMONTH(AE$3,0)+1
)</f>
        <v>0</v>
      </c>
      <c r="AF9" s="2">
        <f>COUNTIFS(
[5]流入チャネル別顧客一覧_ユニーク!$C:$C,"&gt;="&amp;DATE(2026,3,1),
[5]流入チャネル別顧客一覧_ユニーク!$C:$C,"&lt;"&amp;DATE(2027,3,1),
[5]流入チャネル別顧客一覧_ユニーク!$S:$S,"&gt;="&amp;EOMONTH(AF$3,-1)+1,
[5]流入チャネル別顧客一覧_ユニーク!$S:$S,"&lt;"&amp;EOMONTH(AF$3,0)+1
)</f>
        <v>0</v>
      </c>
      <c r="AG9" s="2">
        <f>COUNTIFS(
[5]流入チャネル別顧客一覧_ユニーク!$C:$C,"&gt;="&amp;DATE(2026,3,1),
[5]流入チャネル別顧客一覧_ユニーク!$C:$C,"&lt;"&amp;DATE(2027,3,1),
[5]流入チャネル別顧客一覧_ユニーク!$S:$S,"&gt;="&amp;EOMONTH(AG$3,-1)+1,
[5]流入チャネル別顧客一覧_ユニーク!$S:$S,"&lt;"&amp;EOMONTH(AG$3,0)+1
)</f>
        <v>0</v>
      </c>
      <c r="AH9" s="2">
        <f>COUNTIFS(
[5]流入チャネル別顧客一覧_ユニーク!$C:$C,"&gt;="&amp;DATE(2026,3,1),
[5]流入チャネル別顧客一覧_ユニーク!$C:$C,"&lt;"&amp;DATE(2027,3,1),
[5]流入チャネル別顧客一覧_ユニーク!$S:$S,"&gt;="&amp;EOMONTH(AH$3,-1)+1,
[5]流入チャネル別顧客一覧_ユニーク!$S:$S,"&lt;"&amp;EOMONTH(AH$3,0)+1
)</f>
        <v>0</v>
      </c>
      <c r="AI9" s="2">
        <f>COUNTIFS(
[5]流入チャネル別顧客一覧_ユニーク!$C:$C,"&gt;="&amp;DATE(2026,3,1),
[5]流入チャネル別顧客一覧_ユニーク!$C:$C,"&lt;"&amp;DATE(2027,3,1),
[5]流入チャネル別顧客一覧_ユニーク!$S:$S,"&gt;="&amp;EOMONTH(AI$3,-1)+1,
[5]流入チャネル別顧客一覧_ユニーク!$S:$S,"&lt;"&amp;EOMONTH(AI$3,0)+1
)</f>
        <v>0</v>
      </c>
      <c r="AJ9" s="2">
        <f>COUNTIFS(
[5]流入チャネル別顧客一覧_ユニーク!$C:$C,"&gt;="&amp;DATE(2026,3,1),
[5]流入チャネル別顧客一覧_ユニーク!$C:$C,"&lt;"&amp;DATE(2027,3,1),
[5]流入チャネル別顧客一覧_ユニーク!$S:$S,"&gt;="&amp;EOMONTH(AJ$3,-1)+1,
[5]流入チャネル別顧客一覧_ユニーク!$S:$S,"&lt;"&amp;EOMONTH(AJ$3,0)+1
)</f>
        <v>0</v>
      </c>
      <c r="AK9" s="2">
        <f>COUNTIFS(
[5]流入チャネル別顧客一覧_ユニーク!$C:$C,"&gt;="&amp;DATE(2026,3,1),
[5]流入チャネル別顧客一覧_ユニーク!$C:$C,"&lt;"&amp;DATE(2027,3,1),
[5]流入チャネル別顧客一覧_ユニーク!$S:$S,"&gt;="&amp;EOMONTH(AK$3,-1)+1,
[5]流入チャネル別顧客一覧_ユニーク!$S:$S,"&lt;"&amp;EOMONTH(AK$3,0)+1
)</f>
        <v>0</v>
      </c>
      <c r="AL9" s="8">
        <f>SUM(E9:M9)</f>
        <v>6</v>
      </c>
      <c r="AM9" s="2">
        <f t="shared" si="0"/>
        <v>7</v>
      </c>
      <c r="AN9" s="2">
        <f t="shared" si="1"/>
        <v>3</v>
      </c>
    </row>
    <row r="10" spans="1:50" s="10" customFormat="1" ht="18">
      <c r="A10" s="10" t="s">
        <v>25</v>
      </c>
      <c r="B10" s="11" t="s">
        <v>19</v>
      </c>
      <c r="C10" s="11" t="s">
        <v>19</v>
      </c>
      <c r="D10" s="11" t="s">
        <v>19</v>
      </c>
      <c r="E10" s="12" t="e">
        <f t="shared" ref="E10:AK10" si="4">IF(E9=0,"0%",E9/E5)</f>
        <v>#DIV/0!</v>
      </c>
      <c r="F10" s="12" t="str">
        <f t="shared" si="4"/>
        <v>0%</v>
      </c>
      <c r="G10" s="12" t="str">
        <f t="shared" si="4"/>
        <v>0%</v>
      </c>
      <c r="H10" s="12">
        <f t="shared" si="4"/>
        <v>0.16666666666666666</v>
      </c>
      <c r="I10" s="12">
        <f t="shared" si="4"/>
        <v>0.33333333333333331</v>
      </c>
      <c r="J10" s="12" t="str">
        <f t="shared" si="4"/>
        <v>0%</v>
      </c>
      <c r="K10" s="12">
        <f t="shared" si="4"/>
        <v>0.11764705882352941</v>
      </c>
      <c r="L10" s="12" t="str">
        <f t="shared" si="4"/>
        <v>0%</v>
      </c>
      <c r="M10" s="12">
        <f t="shared" si="4"/>
        <v>1.4492753623188406E-2</v>
      </c>
      <c r="N10" s="12" t="str">
        <f t="shared" si="4"/>
        <v>0%</v>
      </c>
      <c r="O10" s="12" t="str">
        <f t="shared" si="4"/>
        <v>0%</v>
      </c>
      <c r="P10" s="12" t="str">
        <f t="shared" si="4"/>
        <v>0%</v>
      </c>
      <c r="Q10" s="12">
        <f t="shared" si="4"/>
        <v>8.3333333333333329E-2</v>
      </c>
      <c r="R10" s="12" t="str">
        <f t="shared" si="4"/>
        <v>0%</v>
      </c>
      <c r="S10" s="12" t="str">
        <f t="shared" si="4"/>
        <v>0%</v>
      </c>
      <c r="T10" s="12">
        <f t="shared" si="4"/>
        <v>0.2</v>
      </c>
      <c r="U10" s="12">
        <f t="shared" si="4"/>
        <v>6.6666666666666666E-2</v>
      </c>
      <c r="V10" s="12" t="str">
        <f t="shared" si="4"/>
        <v>0%</v>
      </c>
      <c r="W10" s="12" t="str">
        <f t="shared" si="4"/>
        <v>0%</v>
      </c>
      <c r="X10" s="12">
        <f t="shared" si="4"/>
        <v>3.125E-2</v>
      </c>
      <c r="Y10" s="12">
        <f t="shared" si="4"/>
        <v>7.6923076923076927E-2</v>
      </c>
      <c r="Z10" s="12" t="str">
        <f t="shared" si="4"/>
        <v>0%</v>
      </c>
      <c r="AA10" s="12">
        <f t="shared" si="4"/>
        <v>0.2</v>
      </c>
      <c r="AB10" s="12" t="str">
        <f t="shared" si="4"/>
        <v>0%</v>
      </c>
      <c r="AC10" s="12">
        <f t="shared" si="4"/>
        <v>0.125</v>
      </c>
      <c r="AD10" s="12" t="str">
        <f t="shared" si="4"/>
        <v>0%</v>
      </c>
      <c r="AE10" s="12" t="str">
        <f t="shared" si="4"/>
        <v>0%</v>
      </c>
      <c r="AF10" s="12" t="str">
        <f t="shared" si="4"/>
        <v>0%</v>
      </c>
      <c r="AG10" s="12" t="str">
        <f t="shared" si="4"/>
        <v>0%</v>
      </c>
      <c r="AH10" s="12" t="str">
        <f t="shared" si="4"/>
        <v>0%</v>
      </c>
      <c r="AI10" s="12" t="str">
        <f t="shared" si="4"/>
        <v>0%</v>
      </c>
      <c r="AJ10" s="12" t="str">
        <f t="shared" si="4"/>
        <v>0%</v>
      </c>
      <c r="AK10" s="12" t="str">
        <f t="shared" si="4"/>
        <v>0%</v>
      </c>
      <c r="AL10" s="110">
        <f>AL9/AL5</f>
        <v>5.0420168067226892E-2</v>
      </c>
      <c r="AM10" s="11"/>
      <c r="AN10" s="12">
        <f>IF(AN9=0,"0%",AN9/AN5)</f>
        <v>6.25E-2</v>
      </c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ht="18">
      <c r="A11" s="124" t="s">
        <v>26</v>
      </c>
      <c r="B11" s="2" t="s">
        <v>19</v>
      </c>
      <c r="C11" s="2" t="s">
        <v>19</v>
      </c>
      <c r="D11" s="2" t="s">
        <v>19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f>COUNTIFS(
[5]流入チャネル別顧客一覧_ユニーク!$U:$U,"&gt;="&amp;EOMONTH(N$3,-1)+1,
[5]流入チャネル別顧客一覧_ユニーク!$U:$U,"&lt;"&amp;EOMONTH(N$3,0)+1
)</f>
        <v>0</v>
      </c>
      <c r="O11" s="2">
        <f>COUNTIFS(
[5]流入チャネル別顧客一覧_ユニーク!$U:$U,"&gt;="&amp;EOMONTH(O$3,-1)+1,
[5]流入チャネル別顧客一覧_ユニーク!$U:$U,"&lt;"&amp;EOMONTH(O$3,0)+1
)</f>
        <v>0</v>
      </c>
      <c r="P11" s="2">
        <f>COUNTIFS(
[5]流入チャネル別顧客一覧_ユニーク!$U:$U,"&gt;="&amp;EOMONTH(P$3,-1)+1,
[5]流入チャネル別顧客一覧_ユニーク!$U:$U,"&lt;"&amp;EOMONTH(P$3,0)+1
)</f>
        <v>0</v>
      </c>
      <c r="Q11" s="2">
        <f>COUNTIFS(
[5]流入チャネル別顧客一覧_ユニーク!$U:$U,"&gt;="&amp;EOMONTH(Q$3,-1)+1,
[5]流入チャネル別顧客一覧_ユニーク!$U:$U,"&lt;"&amp;EOMONTH(Q$3,0)+1
)</f>
        <v>0</v>
      </c>
      <c r="R11" s="2">
        <f>COUNTIFS(
[5]流入チャネル別顧客一覧_ユニーク!$U:$U,"&gt;="&amp;EOMONTH(R$3,-1)+1,
[5]流入チャネル別顧客一覧_ユニーク!$U:$U,"&lt;"&amp;EOMONTH(R$3,0)+1
)</f>
        <v>0</v>
      </c>
      <c r="S11" s="2">
        <f>COUNTIFS(
[5]流入チャネル別顧客一覧_ユニーク!$U:$U,"&gt;="&amp;EOMONTH(S$3,-1)+1,
[5]流入チャネル別顧客一覧_ユニーク!$U:$U,"&lt;"&amp;EOMONTH(S$3,0)+1
)</f>
        <v>0</v>
      </c>
      <c r="T11" s="2">
        <f>COUNTIFS(
[5]流入チャネル別顧客一覧_ユニーク!$U:$U,"&gt;="&amp;EOMONTH(T$3,-1)+1,
[5]流入チャネル別顧客一覧_ユニーク!$U:$U,"&lt;"&amp;EOMONTH(T$3,0)+1
)</f>
        <v>0</v>
      </c>
      <c r="U11" s="2">
        <f>COUNTIFS(
[5]流入チャネル別顧客一覧_ユニーク!$U:$U,"&gt;="&amp;EOMONTH(U$3,-1)+1,
[5]流入チャネル別顧客一覧_ユニーク!$U:$U,"&lt;"&amp;EOMONTH(U$3,0)+1
)</f>
        <v>0</v>
      </c>
      <c r="V11" s="2">
        <f>COUNTIFS(
[5]流入チャネル別顧客一覧_ユニーク!$U:$U,"&gt;="&amp;EOMONTH(V$3,-1)+1,
[5]流入チャネル別顧客一覧_ユニーク!$U:$U,"&lt;"&amp;EOMONTH(V$3,0)+1
)</f>
        <v>0</v>
      </c>
      <c r="W11" s="2">
        <f>COUNTIFS(
[5]流入チャネル別顧客一覧_ユニーク!$U:$U,"&gt;="&amp;EOMONTH(W$3,-1)+1,
[5]流入チャネル別顧客一覧_ユニーク!$U:$U,"&lt;"&amp;EOMONTH(W$3,0)+1
)</f>
        <v>0</v>
      </c>
      <c r="X11" s="2">
        <f>COUNTIFS(
[5]流入チャネル別顧客一覧_ユニーク!$U:$U,"&gt;="&amp;EOMONTH(X$3,-1)+1,
[5]流入チャネル別顧客一覧_ユニーク!$U:$U,"&lt;"&amp;EOMONTH(X$3,0)+1
)</f>
        <v>0</v>
      </c>
      <c r="Y11" s="2">
        <f>COUNTIFS(
[5]流入チャネル別顧客一覧_ユニーク!$U:$U,"&gt;="&amp;EOMONTH(Y$3,-1)+1,
[5]流入チャネル別顧客一覧_ユニーク!$U:$U,"&lt;"&amp;EOMONTH(Y$3,0)+1
)</f>
        <v>0</v>
      </c>
      <c r="Z11" s="2">
        <f>COUNTIFS(
[5]流入チャネル別顧客一覧_ユニーク!$U:$U,"&gt;="&amp;EOMONTH(Z$3,-1)+1,
[5]流入チャネル別顧客一覧_ユニーク!$U:$U,"&lt;"&amp;EOMONTH(Z$3,0)+1
)</f>
        <v>1</v>
      </c>
      <c r="AA11" s="2">
        <f>COUNTIFS(
[5]流入チャネル別顧客一覧_ユニーク!$U:$U,"&gt;="&amp;EOMONTH(AA$3,-1)+1,
[5]流入チャネル別顧客一覧_ユニーク!$U:$U,"&lt;"&amp;EOMONTH(AA$3,0)+1
)</f>
        <v>0</v>
      </c>
      <c r="AB11" s="2">
        <f>COUNTIFS(
[5]流入チャネル別顧客一覧_ユニーク!$U:$U,"&gt;="&amp;EOMONTH(AB$3,-1)+1,
[5]流入チャネル別顧客一覧_ユニーク!$U:$U,"&lt;"&amp;EOMONTH(AB$3,0)+1
)</f>
        <v>0</v>
      </c>
      <c r="AC11" s="2">
        <f>COUNTIFS(
[5]流入チャネル別顧客一覧_ユニーク!$U:$U,"&gt;="&amp;EOMONTH(AC$3,-1)+1,
[5]流入チャネル別顧客一覧_ユニーク!$U:$U,"&lt;"&amp;EOMONTH(AC$3,0)+1
)</f>
        <v>0</v>
      </c>
      <c r="AD11" s="2">
        <f>COUNTIFS(
[5]流入チャネル別顧客一覧_ユニーク!$U:$U,"&gt;="&amp;EOMONTH(AD$3,-1)+1,
[5]流入チャネル別顧客一覧_ユニーク!$U:$U,"&lt;"&amp;EOMONTH(AD$3,0)+1
)</f>
        <v>0</v>
      </c>
      <c r="AE11" s="2">
        <f>COUNTIFS(
[5]流入チャネル別顧客一覧_ユニーク!$U:$U,"&gt;="&amp;EOMONTH(AE$3,-1)+1,
[5]流入チャネル別顧客一覧_ユニーク!$U:$U,"&lt;"&amp;EOMONTH(AE$3,0)+1
)</f>
        <v>0</v>
      </c>
      <c r="AF11" s="2">
        <f>COUNTIFS(
[5]流入チャネル別顧客一覧_ユニーク!$U:$U,"&gt;="&amp;EOMONTH(AF$3,-1)+1,
[5]流入チャネル別顧客一覧_ユニーク!$U:$U,"&lt;"&amp;EOMONTH(AF$3,0)+1
)</f>
        <v>0</v>
      </c>
      <c r="AG11" s="2">
        <f>COUNTIFS(
[5]流入チャネル別顧客一覧_ユニーク!$U:$U,"&gt;="&amp;EOMONTH(AG$3,-1)+1,
[5]流入チャネル別顧客一覧_ユニーク!$U:$U,"&lt;"&amp;EOMONTH(AG$3,0)+1
)</f>
        <v>0</v>
      </c>
      <c r="AH11" s="2">
        <f>COUNTIFS(
[5]流入チャネル別顧客一覧_ユニーク!$U:$U,"&gt;="&amp;EOMONTH(AH$3,-1)+1,
[5]流入チャネル別顧客一覧_ユニーク!$U:$U,"&lt;"&amp;EOMONTH(AH$3,0)+1
)</f>
        <v>0</v>
      </c>
      <c r="AI11" s="2">
        <f>COUNTIFS(
[5]流入チャネル別顧客一覧_ユニーク!$U:$U,"&gt;="&amp;EOMONTH(AI$3,-1)+1,
[5]流入チャネル別顧客一覧_ユニーク!$U:$U,"&lt;"&amp;EOMONTH(AI$3,0)+1
)</f>
        <v>0</v>
      </c>
      <c r="AJ11" s="2">
        <f>COUNTIFS(
[5]流入チャネル別顧客一覧_ユニーク!$U:$U,"&gt;="&amp;EOMONTH(AJ$3,-1)+1,
[5]流入チャネル別顧客一覧_ユニーク!$U:$U,"&lt;"&amp;EOMONTH(AJ$3,0)+1
)</f>
        <v>0</v>
      </c>
      <c r="AK11" s="2">
        <f>COUNTIFS(
[5]流入チャネル別顧客一覧_ユニーク!$U:$U,"&gt;="&amp;EOMONTH(AK$3,-1)+1,
[5]流入チャネル別顧客一覧_ユニーク!$U:$U,"&lt;"&amp;EOMONTH(AK$3,0)+1
)</f>
        <v>0</v>
      </c>
      <c r="AL11" s="8">
        <f t="shared" ref="AL11" si="5">SUM(E11:M11)</f>
        <v>0</v>
      </c>
      <c r="AM11" s="2">
        <f t="shared" si="0"/>
        <v>0</v>
      </c>
      <c r="AN11" s="2">
        <f t="shared" si="1"/>
        <v>1</v>
      </c>
    </row>
    <row r="12" spans="1:50" s="10" customFormat="1" ht="18">
      <c r="A12" s="10" t="s">
        <v>27</v>
      </c>
      <c r="B12" s="11" t="s">
        <v>19</v>
      </c>
      <c r="C12" s="11" t="s">
        <v>19</v>
      </c>
      <c r="D12" s="11" t="s">
        <v>19</v>
      </c>
      <c r="E12" s="12" t="str">
        <f t="shared" ref="E12:AM12" si="6">IF(E11=0,"0%",E11/E5)</f>
        <v>0%</v>
      </c>
      <c r="F12" s="12" t="str">
        <f t="shared" si="6"/>
        <v>0%</v>
      </c>
      <c r="G12" s="12" t="str">
        <f t="shared" si="6"/>
        <v>0%</v>
      </c>
      <c r="H12" s="12" t="str">
        <f t="shared" si="6"/>
        <v>0%</v>
      </c>
      <c r="I12" s="12" t="str">
        <f t="shared" si="6"/>
        <v>0%</v>
      </c>
      <c r="J12" s="12" t="str">
        <f t="shared" si="6"/>
        <v>0%</v>
      </c>
      <c r="K12" s="12" t="str">
        <f t="shared" si="6"/>
        <v>0%</v>
      </c>
      <c r="L12" s="12" t="str">
        <f t="shared" si="6"/>
        <v>0%</v>
      </c>
      <c r="M12" s="12" t="str">
        <f t="shared" si="6"/>
        <v>0%</v>
      </c>
      <c r="N12" s="12" t="str">
        <f t="shared" si="6"/>
        <v>0%</v>
      </c>
      <c r="O12" s="12" t="str">
        <f t="shared" si="6"/>
        <v>0%</v>
      </c>
      <c r="P12" s="12" t="str">
        <f t="shared" si="6"/>
        <v>0%</v>
      </c>
      <c r="Q12" s="12" t="str">
        <f t="shared" si="6"/>
        <v>0%</v>
      </c>
      <c r="R12" s="12" t="str">
        <f t="shared" si="6"/>
        <v>0%</v>
      </c>
      <c r="S12" s="12" t="str">
        <f t="shared" si="6"/>
        <v>0%</v>
      </c>
      <c r="T12" s="12" t="str">
        <f t="shared" si="6"/>
        <v>0%</v>
      </c>
      <c r="U12" s="12" t="str">
        <f t="shared" si="6"/>
        <v>0%</v>
      </c>
      <c r="V12" s="12" t="str">
        <f t="shared" si="6"/>
        <v>0%</v>
      </c>
      <c r="W12" s="12" t="str">
        <f t="shared" si="6"/>
        <v>0%</v>
      </c>
      <c r="X12" s="12" t="str">
        <f t="shared" si="6"/>
        <v>0%</v>
      </c>
      <c r="Y12" s="12" t="str">
        <f t="shared" si="6"/>
        <v>0%</v>
      </c>
      <c r="Z12" s="12">
        <f t="shared" si="6"/>
        <v>7.6923076923076927E-2</v>
      </c>
      <c r="AA12" s="12" t="str">
        <f t="shared" si="6"/>
        <v>0%</v>
      </c>
      <c r="AB12" s="12" t="str">
        <f t="shared" si="6"/>
        <v>0%</v>
      </c>
      <c r="AC12" s="12" t="str">
        <f t="shared" si="6"/>
        <v>0%</v>
      </c>
      <c r="AD12" s="12" t="str">
        <f t="shared" si="6"/>
        <v>0%</v>
      </c>
      <c r="AE12" s="12" t="str">
        <f t="shared" si="6"/>
        <v>0%</v>
      </c>
      <c r="AF12" s="12" t="str">
        <f t="shared" si="6"/>
        <v>0%</v>
      </c>
      <c r="AG12" s="12" t="str">
        <f t="shared" si="6"/>
        <v>0%</v>
      </c>
      <c r="AH12" s="12" t="str">
        <f t="shared" si="6"/>
        <v>0%</v>
      </c>
      <c r="AI12" s="12" t="str">
        <f t="shared" si="6"/>
        <v>0%</v>
      </c>
      <c r="AJ12" s="12" t="str">
        <f t="shared" si="6"/>
        <v>0%</v>
      </c>
      <c r="AK12" s="12" t="str">
        <f t="shared" si="6"/>
        <v>0%</v>
      </c>
      <c r="AL12" s="12" t="str">
        <f t="shared" si="6"/>
        <v>0%</v>
      </c>
      <c r="AM12" s="12" t="str">
        <f t="shared" si="6"/>
        <v>0%</v>
      </c>
      <c r="AN12" s="12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s="3" customFormat="1" ht="18">
      <c r="A13" s="3" t="s">
        <v>28</v>
      </c>
      <c r="B13" s="3">
        <v>269</v>
      </c>
      <c r="C13" s="3">
        <v>349</v>
      </c>
      <c r="D13" s="3">
        <v>404</v>
      </c>
      <c r="E13" s="4">
        <v>454</v>
      </c>
      <c r="F13" s="4">
        <v>504</v>
      </c>
      <c r="G13" s="4">
        <v>564</v>
      </c>
      <c r="H13" s="4">
        <v>614</v>
      </c>
      <c r="I13" s="4">
        <v>664</v>
      </c>
      <c r="J13" s="4">
        <v>724</v>
      </c>
      <c r="K13" s="4">
        <v>874</v>
      </c>
      <c r="L13" s="4">
        <v>924</v>
      </c>
      <c r="M13" s="4">
        <v>924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27">
        <f t="shared" ref="Z13:AK13" si="7">$AN13/12</f>
        <v>2096.9166666666665</v>
      </c>
      <c r="AA13" s="127">
        <f t="shared" si="7"/>
        <v>2096.9166666666665</v>
      </c>
      <c r="AB13" s="127">
        <f t="shared" si="7"/>
        <v>2096.9166666666665</v>
      </c>
      <c r="AC13" s="127">
        <f t="shared" si="7"/>
        <v>2096.9166666666665</v>
      </c>
      <c r="AD13" s="127">
        <f t="shared" si="7"/>
        <v>2096.9166666666665</v>
      </c>
      <c r="AE13" s="127">
        <f t="shared" si="7"/>
        <v>2096.9166666666665</v>
      </c>
      <c r="AF13" s="127">
        <f t="shared" si="7"/>
        <v>2096.9166666666665</v>
      </c>
      <c r="AG13" s="127">
        <f t="shared" si="7"/>
        <v>2096.9166666666665</v>
      </c>
      <c r="AH13" s="127">
        <f t="shared" si="7"/>
        <v>2096.9166666666665</v>
      </c>
      <c r="AI13" s="127">
        <f t="shared" si="7"/>
        <v>2096.9166666666665</v>
      </c>
      <c r="AJ13" s="127">
        <f t="shared" si="7"/>
        <v>2096.9166666666665</v>
      </c>
      <c r="AK13" s="127">
        <f t="shared" si="7"/>
        <v>2096.9166666666665</v>
      </c>
      <c r="AL13" s="4"/>
      <c r="AM13" s="4"/>
      <c r="AN13" s="4">
        <v>25163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s="34" customFormat="1" ht="18">
      <c r="A14" s="34" t="s">
        <v>29</v>
      </c>
      <c r="E14" s="129"/>
      <c r="F14" s="129"/>
      <c r="G14" s="129"/>
      <c r="H14" s="130">
        <f t="shared" ref="H14:Y14" si="8">IF(H13=0,"0%",H4/H13)</f>
        <v>1.1596091205211727</v>
      </c>
      <c r="I14" s="130">
        <f t="shared" si="8"/>
        <v>1.1370481927710843</v>
      </c>
      <c r="J14" s="130">
        <f t="shared" si="8"/>
        <v>6.374309392265193</v>
      </c>
      <c r="K14" s="130">
        <f t="shared" si="8"/>
        <v>1.1693363844393592</v>
      </c>
      <c r="L14" s="130">
        <f t="shared" si="8"/>
        <v>0.8214285714285714</v>
      </c>
      <c r="M14" s="130">
        <f t="shared" si="8"/>
        <v>1.1904761904761905</v>
      </c>
      <c r="N14" s="130" t="str">
        <f t="shared" si="8"/>
        <v>0%</v>
      </c>
      <c r="O14" s="130" t="str">
        <f t="shared" si="8"/>
        <v>0%</v>
      </c>
      <c r="P14" s="130" t="str">
        <f t="shared" si="8"/>
        <v>0%</v>
      </c>
      <c r="Q14" s="130" t="str">
        <f t="shared" si="8"/>
        <v>0%</v>
      </c>
      <c r="R14" s="130" t="str">
        <f t="shared" si="8"/>
        <v>0%</v>
      </c>
      <c r="S14" s="130" t="str">
        <f t="shared" si="8"/>
        <v>0%</v>
      </c>
      <c r="T14" s="130" t="str">
        <f t="shared" si="8"/>
        <v>0%</v>
      </c>
      <c r="U14" s="130" t="str">
        <f t="shared" si="8"/>
        <v>0%</v>
      </c>
      <c r="V14" s="130" t="str">
        <f t="shared" si="8"/>
        <v>0%</v>
      </c>
      <c r="W14" s="130" t="str">
        <f t="shared" si="8"/>
        <v>0%</v>
      </c>
      <c r="X14" s="130" t="str">
        <f t="shared" si="8"/>
        <v>0%</v>
      </c>
      <c r="Y14" s="130" t="str">
        <f t="shared" si="8"/>
        <v>0%</v>
      </c>
      <c r="Z14" s="130">
        <f>SUM($Z4:Z4)/SUM($Z13:Z13)</f>
        <v>0.62806501609506027</v>
      </c>
      <c r="AA14" s="130">
        <f>SUM($Z4:AA4)/SUM($Z13:AA13)</f>
        <v>0.65977824583714184</v>
      </c>
      <c r="AB14" s="130">
        <f>SUM($Z4:AB4)/SUM($Z13:AB13)</f>
        <v>0.62615745340380713</v>
      </c>
      <c r="AC14" s="130">
        <f>SUM($Z4:AC4)/SUM($Z13:AC13)</f>
        <v>0.64272940428406788</v>
      </c>
      <c r="AD14" s="130">
        <f>SUM($Z4:AD4)/SUM($Z13:AD13)</f>
        <v>0.51418352342725437</v>
      </c>
      <c r="AE14" s="130">
        <f>SUM($Z4:AE4)/SUM($Z13:AE13)</f>
        <v>0.42848626952271196</v>
      </c>
      <c r="AF14" s="130">
        <f>SUM($Z4:AF4)/SUM($Z13:AF13)</f>
        <v>0.3672739453051817</v>
      </c>
      <c r="AG14" s="130">
        <f>SUM($Z4:AG4)/SUM($Z13:AG13)</f>
        <v>0.32136470214203394</v>
      </c>
      <c r="AH14" s="130">
        <f>SUM($Z4:AH4)/SUM($Z13:AH13)</f>
        <v>0.28565751301514125</v>
      </c>
      <c r="AI14" s="130">
        <f>SUM($Z4:AI4)/SUM($Z13:AI13)</f>
        <v>0.25709176171362713</v>
      </c>
      <c r="AJ14" s="130">
        <f>SUM($Z4:AJ4)/SUM($Z13:AJ13)</f>
        <v>0.23371978337602467</v>
      </c>
      <c r="AK14" s="130">
        <f>SUM($Z4:AK4)/SUM($Z13:AK13)</f>
        <v>0.21424313476135592</v>
      </c>
      <c r="AL14" s="130" t="str">
        <f>IF(AL13=0,"0%",AL4/AL13)</f>
        <v>0%</v>
      </c>
      <c r="AM14" s="130" t="str">
        <f>IF(AM13=0,"0%",AM4/AM13)</f>
        <v>0%</v>
      </c>
      <c r="AN14" s="130">
        <f>IF(AN13=0,"0%",AN4/AN13)</f>
        <v>0.21424313476135595</v>
      </c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</row>
    <row r="15" spans="1:50" s="3" customFormat="1" ht="18">
      <c r="A15" s="117" t="s">
        <v>78</v>
      </c>
      <c r="B15" s="41">
        <v>3</v>
      </c>
      <c r="C15" s="41">
        <v>4</v>
      </c>
      <c r="D15" s="41">
        <v>4</v>
      </c>
      <c r="E15" s="14">
        <v>4</v>
      </c>
      <c r="F15" s="14">
        <v>4</v>
      </c>
      <c r="G15" s="14">
        <v>4</v>
      </c>
      <c r="H15" s="14">
        <v>5</v>
      </c>
      <c r="I15" s="14">
        <v>5</v>
      </c>
      <c r="J15" s="14">
        <v>5</v>
      </c>
      <c r="K15" s="14">
        <v>6</v>
      </c>
      <c r="L15" s="14">
        <v>7</v>
      </c>
      <c r="M15" s="14">
        <v>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126">
        <f t="shared" ref="Z15:AK15" si="9">$AN15/12</f>
        <v>23</v>
      </c>
      <c r="AA15" s="126">
        <f t="shared" si="9"/>
        <v>23</v>
      </c>
      <c r="AB15" s="126">
        <f t="shared" si="9"/>
        <v>23</v>
      </c>
      <c r="AC15" s="126">
        <f t="shared" si="9"/>
        <v>23</v>
      </c>
      <c r="AD15" s="126">
        <f t="shared" si="9"/>
        <v>23</v>
      </c>
      <c r="AE15" s="126">
        <f t="shared" si="9"/>
        <v>23</v>
      </c>
      <c r="AF15" s="126">
        <f t="shared" si="9"/>
        <v>23</v>
      </c>
      <c r="AG15" s="126">
        <f t="shared" si="9"/>
        <v>23</v>
      </c>
      <c r="AH15" s="126">
        <f t="shared" si="9"/>
        <v>23</v>
      </c>
      <c r="AI15" s="126">
        <f t="shared" si="9"/>
        <v>23</v>
      </c>
      <c r="AJ15" s="126">
        <f t="shared" si="9"/>
        <v>23</v>
      </c>
      <c r="AK15" s="126">
        <f t="shared" si="9"/>
        <v>23</v>
      </c>
      <c r="AL15" s="8"/>
      <c r="AM15" s="4"/>
      <c r="AN15" s="4">
        <v>276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s="34" customFormat="1" ht="18">
      <c r="A16" s="34" t="s">
        <v>31</v>
      </c>
      <c r="E16" s="129"/>
      <c r="F16" s="129"/>
      <c r="G16" s="129"/>
      <c r="H16" s="130">
        <f t="shared" ref="H16:Y16" si="10">IF(H15=0,"0%",H5/H15)</f>
        <v>1.2</v>
      </c>
      <c r="I16" s="130">
        <f t="shared" si="10"/>
        <v>0.6</v>
      </c>
      <c r="J16" s="130">
        <f t="shared" si="10"/>
        <v>1.8</v>
      </c>
      <c r="K16" s="130">
        <f t="shared" si="10"/>
        <v>2.8333333333333335</v>
      </c>
      <c r="L16" s="130">
        <f t="shared" si="10"/>
        <v>1</v>
      </c>
      <c r="M16" s="130">
        <f t="shared" si="10"/>
        <v>9.8571428571428577</v>
      </c>
      <c r="N16" s="130" t="str">
        <f t="shared" si="10"/>
        <v>0%</v>
      </c>
      <c r="O16" s="130" t="str">
        <f t="shared" si="10"/>
        <v>0%</v>
      </c>
      <c r="P16" s="130" t="str">
        <f t="shared" si="10"/>
        <v>0%</v>
      </c>
      <c r="Q16" s="130" t="str">
        <f t="shared" si="10"/>
        <v>0%</v>
      </c>
      <c r="R16" s="130" t="str">
        <f t="shared" si="10"/>
        <v>0%</v>
      </c>
      <c r="S16" s="130" t="str">
        <f t="shared" si="10"/>
        <v>0%</v>
      </c>
      <c r="T16" s="130" t="str">
        <f t="shared" si="10"/>
        <v>0%</v>
      </c>
      <c r="U16" s="130" t="str">
        <f t="shared" si="10"/>
        <v>0%</v>
      </c>
      <c r="V16" s="130" t="str">
        <f t="shared" si="10"/>
        <v>0%</v>
      </c>
      <c r="W16" s="130" t="str">
        <f t="shared" si="10"/>
        <v>0%</v>
      </c>
      <c r="X16" s="130" t="str">
        <f t="shared" si="10"/>
        <v>0%</v>
      </c>
      <c r="Y16" s="130" t="str">
        <f t="shared" si="10"/>
        <v>0%</v>
      </c>
      <c r="Z16" s="130">
        <f>SUM($Z5:Z5)/SUM($Z15:Z15)</f>
        <v>0.56521739130434778</v>
      </c>
      <c r="AA16" s="130">
        <f>SUM($Z5:AA5)/SUM($Z15:AA15)</f>
        <v>0.39130434782608697</v>
      </c>
      <c r="AB16" s="130">
        <f>SUM($Z5:AB5)/SUM($Z15:AB15)</f>
        <v>0.46376811594202899</v>
      </c>
      <c r="AC16" s="130">
        <f>SUM($Z5:AC5)/SUM($Z15:AC15)</f>
        <v>0.52173913043478259</v>
      </c>
      <c r="AD16" s="130">
        <f>SUM($Z5:AD5)/SUM($Z15:AD15)</f>
        <v>0.41739130434782606</v>
      </c>
      <c r="AE16" s="130">
        <f>SUM($Z5:AE5)/SUM($Z15:AE15)</f>
        <v>0.34782608695652173</v>
      </c>
      <c r="AF16" s="130">
        <f>SUM($Z5:AF5)/SUM($Z15:AF15)</f>
        <v>0.29813664596273293</v>
      </c>
      <c r="AG16" s="130">
        <f>SUM($Z5:AG5)/SUM($Z15:AG15)</f>
        <v>0.2608695652173913</v>
      </c>
      <c r="AH16" s="130">
        <f>SUM($Z5:AH5)/SUM($Z15:AH15)</f>
        <v>0.2318840579710145</v>
      </c>
      <c r="AI16" s="130">
        <f>SUM($Z5:AI5)/SUM($Z15:AI15)</f>
        <v>0.20869565217391303</v>
      </c>
      <c r="AJ16" s="130">
        <f>SUM($Z5:AJ5)/SUM($Z15:AJ15)</f>
        <v>0.18972332015810275</v>
      </c>
      <c r="AK16" s="130">
        <f>SUM($Z5:AK5)/SUM($Z15:AK15)</f>
        <v>0.17391304347826086</v>
      </c>
      <c r="AL16" s="130" t="str">
        <f>IF(AL15=0,"0%",AL5/AL15)</f>
        <v>0%</v>
      </c>
      <c r="AM16" s="130" t="str">
        <f>IF(AM15=0,"0%",AM5/AM15)</f>
        <v>0%</v>
      </c>
      <c r="AN16" s="130">
        <f>IF(AN15=0,"0%",AN5/AN15)</f>
        <v>0.17391304347826086</v>
      </c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</row>
    <row r="17" spans="1:50" s="3" customFormat="1" ht="18" hidden="1">
      <c r="A17" s="3" t="s">
        <v>32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4" t="str">
        <f t="shared" ref="N17:Y17" si="11">IFERROR(B5*1.2,"")</f>
        <v/>
      </c>
      <c r="O17" s="4" t="str">
        <f t="shared" si="11"/>
        <v/>
      </c>
      <c r="P17" s="4" t="str">
        <f t="shared" si="11"/>
        <v/>
      </c>
      <c r="Q17" s="4">
        <f t="shared" si="11"/>
        <v>0</v>
      </c>
      <c r="R17" s="4">
        <f t="shared" si="11"/>
        <v>3.5999999999999996</v>
      </c>
      <c r="S17" s="4">
        <f t="shared" si="11"/>
        <v>6</v>
      </c>
      <c r="T17" s="4">
        <f t="shared" si="11"/>
        <v>7.1999999999999993</v>
      </c>
      <c r="U17" s="4">
        <f t="shared" si="11"/>
        <v>3.5999999999999996</v>
      </c>
      <c r="V17" s="4">
        <f t="shared" si="11"/>
        <v>10.799999999999999</v>
      </c>
      <c r="W17" s="4">
        <f t="shared" si="11"/>
        <v>20.399999999999999</v>
      </c>
      <c r="X17" s="4">
        <f t="shared" si="11"/>
        <v>8.4</v>
      </c>
      <c r="Y17" s="4">
        <f t="shared" si="11"/>
        <v>82.8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7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s="3" customFormat="1" ht="18" hidden="1">
      <c r="A18" s="3" t="s">
        <v>33</v>
      </c>
      <c r="B18" s="7"/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4">
        <f t="shared" ref="N18:P18" si="12">0.575*2</f>
        <v>1.1499999999999999</v>
      </c>
      <c r="O18" s="4">
        <f t="shared" si="12"/>
        <v>1.1499999999999999</v>
      </c>
      <c r="P18" s="4">
        <f t="shared" si="12"/>
        <v>1.1499999999999999</v>
      </c>
      <c r="Q18" s="4">
        <f>0.575*2</f>
        <v>1.1499999999999999</v>
      </c>
      <c r="R18" s="4">
        <f t="shared" ref="R18:Y18" si="13">0.575*2</f>
        <v>1.1499999999999999</v>
      </c>
      <c r="S18" s="4">
        <f t="shared" si="13"/>
        <v>1.1499999999999999</v>
      </c>
      <c r="T18" s="4">
        <f t="shared" si="13"/>
        <v>1.1499999999999999</v>
      </c>
      <c r="U18" s="4">
        <f t="shared" si="13"/>
        <v>1.1499999999999999</v>
      </c>
      <c r="V18" s="4">
        <f t="shared" si="13"/>
        <v>1.1499999999999999</v>
      </c>
      <c r="W18" s="4">
        <f t="shared" si="13"/>
        <v>1.1499999999999999</v>
      </c>
      <c r="X18" s="4">
        <f t="shared" si="13"/>
        <v>1.1499999999999999</v>
      </c>
      <c r="Y18" s="4">
        <f t="shared" si="13"/>
        <v>1.1499999999999999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8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s="3" customFormat="1" ht="18" hidden="1">
      <c r="A19" s="3" t="s">
        <v>34</v>
      </c>
      <c r="B19" s="7"/>
      <c r="C19" s="7"/>
      <c r="D19" s="7"/>
      <c r="E19" s="8"/>
      <c r="F19" s="8"/>
      <c r="G19" s="8"/>
      <c r="H19" s="8"/>
      <c r="I19" s="8"/>
      <c r="J19" s="8"/>
      <c r="K19" s="8"/>
      <c r="L19" s="8"/>
      <c r="M19" s="8"/>
      <c r="N19" s="39">
        <f>ROUNDUP(693/12,0)</f>
        <v>58</v>
      </c>
      <c r="O19" s="39">
        <f t="shared" ref="O19:Y19" si="14">ROUNDUP(693/12,0)</f>
        <v>58</v>
      </c>
      <c r="P19" s="39">
        <f t="shared" si="14"/>
        <v>58</v>
      </c>
      <c r="Q19" s="39">
        <f t="shared" si="14"/>
        <v>58</v>
      </c>
      <c r="R19" s="39">
        <f t="shared" si="14"/>
        <v>58</v>
      </c>
      <c r="S19" s="39">
        <f t="shared" si="14"/>
        <v>58</v>
      </c>
      <c r="T19" s="39">
        <f t="shared" si="14"/>
        <v>58</v>
      </c>
      <c r="U19" s="39">
        <f t="shared" si="14"/>
        <v>58</v>
      </c>
      <c r="V19" s="39">
        <f t="shared" si="14"/>
        <v>58</v>
      </c>
      <c r="W19" s="39">
        <f>ROUNDUP(693/12,0)</f>
        <v>58</v>
      </c>
      <c r="X19" s="39">
        <f t="shared" si="14"/>
        <v>58</v>
      </c>
      <c r="Y19" s="39">
        <f t="shared" si="14"/>
        <v>58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8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s="3" customFormat="1" ht="18" hidden="1">
      <c r="A20" s="3" t="s">
        <v>35</v>
      </c>
      <c r="B20" s="7"/>
      <c r="C20" s="7"/>
      <c r="D20" s="7"/>
      <c r="E20" s="8"/>
      <c r="F20" s="8"/>
      <c r="G20" s="8"/>
      <c r="H20" s="8"/>
      <c r="I20" s="8"/>
      <c r="J20" s="8"/>
      <c r="K20" s="8"/>
      <c r="L20" s="8"/>
      <c r="M20" s="8"/>
      <c r="N20" s="39">
        <f>AVERAGE(N17:N19)</f>
        <v>29.574999999999999</v>
      </c>
      <c r="O20" s="39">
        <f t="shared" ref="O20:Y20" si="15">AVERAGE(O17:O19)</f>
        <v>29.574999999999999</v>
      </c>
      <c r="P20" s="39">
        <f t="shared" si="15"/>
        <v>29.574999999999999</v>
      </c>
      <c r="Q20" s="39">
        <f t="shared" si="15"/>
        <v>19.716666666666665</v>
      </c>
      <c r="R20" s="39">
        <f t="shared" si="15"/>
        <v>20.916666666666668</v>
      </c>
      <c r="S20" s="39">
        <f t="shared" si="15"/>
        <v>21.716666666666669</v>
      </c>
      <c r="T20" s="39">
        <f t="shared" si="15"/>
        <v>22.116666666666664</v>
      </c>
      <c r="U20" s="39">
        <f t="shared" si="15"/>
        <v>20.916666666666668</v>
      </c>
      <c r="V20" s="39">
        <f t="shared" si="15"/>
        <v>23.316666666666666</v>
      </c>
      <c r="W20" s="39">
        <f t="shared" si="15"/>
        <v>26.516666666666666</v>
      </c>
      <c r="X20" s="39">
        <f t="shared" si="15"/>
        <v>22.516666666666666</v>
      </c>
      <c r="Y20" s="39">
        <f t="shared" si="15"/>
        <v>47.316666666666663</v>
      </c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8"/>
      <c r="AM20" s="4"/>
      <c r="AN20" s="39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s="7" customFormat="1" ht="18" hidden="1">
      <c r="A21" s="7" t="s">
        <v>36</v>
      </c>
      <c r="B21" s="7">
        <v>1.3</v>
      </c>
      <c r="C21" s="7">
        <v>2.2999999999999998</v>
      </c>
      <c r="D21" s="7">
        <v>3</v>
      </c>
      <c r="E21" s="8">
        <v>3.4</v>
      </c>
      <c r="F21" s="8">
        <v>3.9</v>
      </c>
      <c r="G21" s="8">
        <v>4.3</v>
      </c>
      <c r="H21" s="8">
        <v>4.5999999999999996</v>
      </c>
      <c r="I21" s="8">
        <v>4.9000000000000004</v>
      </c>
      <c r="J21" s="8">
        <v>5.2</v>
      </c>
      <c r="K21" s="8">
        <v>6.2</v>
      </c>
      <c r="L21" s="8">
        <v>6.2</v>
      </c>
      <c r="M21" s="8">
        <v>6.2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s="3" customFormat="1" ht="18">
      <c r="A22" s="117" t="s">
        <v>37</v>
      </c>
      <c r="B22" s="41">
        <v>0.5</v>
      </c>
      <c r="C22" s="41">
        <v>0.8</v>
      </c>
      <c r="D22" s="41">
        <v>0.9</v>
      </c>
      <c r="E22" s="14">
        <v>1.1000000000000001</v>
      </c>
      <c r="F22" s="14">
        <v>1.2</v>
      </c>
      <c r="G22" s="14">
        <v>1.3</v>
      </c>
      <c r="H22" s="14">
        <v>1.4</v>
      </c>
      <c r="I22" s="14">
        <v>1.5</v>
      </c>
      <c r="J22" s="14">
        <v>1.6</v>
      </c>
      <c r="K22" s="14">
        <v>1.9</v>
      </c>
      <c r="L22" s="14">
        <v>1.9</v>
      </c>
      <c r="M22" s="14">
        <v>1.9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126">
        <f t="shared" ref="Z22:AK22" si="16">$AN22/12</f>
        <v>1</v>
      </c>
      <c r="AA22" s="126">
        <f t="shared" si="16"/>
        <v>1</v>
      </c>
      <c r="AB22" s="126">
        <f t="shared" si="16"/>
        <v>1</v>
      </c>
      <c r="AC22" s="126">
        <f t="shared" si="16"/>
        <v>1</v>
      </c>
      <c r="AD22" s="126">
        <f t="shared" si="16"/>
        <v>1</v>
      </c>
      <c r="AE22" s="126">
        <f t="shared" si="16"/>
        <v>1</v>
      </c>
      <c r="AF22" s="126">
        <f t="shared" si="16"/>
        <v>1</v>
      </c>
      <c r="AG22" s="126">
        <f t="shared" si="16"/>
        <v>1</v>
      </c>
      <c r="AH22" s="126">
        <f t="shared" si="16"/>
        <v>1</v>
      </c>
      <c r="AI22" s="126">
        <f t="shared" si="16"/>
        <v>1</v>
      </c>
      <c r="AJ22" s="126">
        <f t="shared" si="16"/>
        <v>1</v>
      </c>
      <c r="AK22" s="126">
        <f t="shared" si="16"/>
        <v>1</v>
      </c>
      <c r="AL22" s="8"/>
      <c r="AM22" s="4"/>
      <c r="AN22" s="4">
        <v>12</v>
      </c>
      <c r="AO22" s="4"/>
      <c r="AP22" s="4"/>
      <c r="AQ22" s="4"/>
      <c r="AR22" s="4"/>
      <c r="AS22" s="4"/>
      <c r="AT22" s="4"/>
      <c r="AU22" s="4"/>
    </row>
    <row r="23" spans="1:50" s="34" customFormat="1" ht="18">
      <c r="A23" s="34" t="s">
        <v>38</v>
      </c>
      <c r="E23" s="129"/>
      <c r="F23" s="129"/>
      <c r="G23" s="129"/>
      <c r="H23" s="130">
        <f>IF(H15=0,"0%",H9/H22)</f>
        <v>0.7142857142857143</v>
      </c>
      <c r="I23" s="130">
        <f t="shared" ref="I23:AN23" si="17">IF(I15=0,"0%",I9/I22)</f>
        <v>0.66666666666666663</v>
      </c>
      <c r="J23" s="130">
        <f t="shared" si="17"/>
        <v>0</v>
      </c>
      <c r="K23" s="130">
        <f t="shared" si="17"/>
        <v>1.0526315789473684</v>
      </c>
      <c r="L23" s="130">
        <f t="shared" si="17"/>
        <v>0</v>
      </c>
      <c r="M23" s="130">
        <f t="shared" si="17"/>
        <v>0.52631578947368418</v>
      </c>
      <c r="N23" s="130" t="str">
        <f t="shared" si="17"/>
        <v>0%</v>
      </c>
      <c r="O23" s="130" t="str">
        <f t="shared" si="17"/>
        <v>0%</v>
      </c>
      <c r="P23" s="130" t="str">
        <f t="shared" si="17"/>
        <v>0%</v>
      </c>
      <c r="Q23" s="130" t="str">
        <f t="shared" si="17"/>
        <v>0%</v>
      </c>
      <c r="R23" s="130" t="str">
        <f t="shared" si="17"/>
        <v>0%</v>
      </c>
      <c r="S23" s="130" t="str">
        <f t="shared" si="17"/>
        <v>0%</v>
      </c>
      <c r="T23" s="130" t="str">
        <f t="shared" si="17"/>
        <v>0%</v>
      </c>
      <c r="U23" s="130" t="str">
        <f t="shared" si="17"/>
        <v>0%</v>
      </c>
      <c r="V23" s="130" t="str">
        <f t="shared" si="17"/>
        <v>0%</v>
      </c>
      <c r="W23" s="130" t="str">
        <f t="shared" si="17"/>
        <v>0%</v>
      </c>
      <c r="X23" s="130" t="str">
        <f t="shared" si="17"/>
        <v>0%</v>
      </c>
      <c r="Y23" s="130" t="str">
        <f t="shared" si="17"/>
        <v>0%</v>
      </c>
      <c r="Z23" s="130">
        <f>SUM($Z9:Z9)/SUM($Z22:Z22)</f>
        <v>0</v>
      </c>
      <c r="AA23" s="130">
        <f>SUM($Z9:AA9)/SUM($Z22:AA22)</f>
        <v>0.5</v>
      </c>
      <c r="AB23" s="130">
        <f>SUM($Z9:AB9)/SUM($Z22:AB22)</f>
        <v>0.33333333333333331</v>
      </c>
      <c r="AC23" s="130">
        <f>SUM($Z9:AC9)/SUM($Z22:AC22)</f>
        <v>0.75</v>
      </c>
      <c r="AD23" s="130">
        <f>SUM($Z9:AD9)/SUM($Z22:AD22)</f>
        <v>0.6</v>
      </c>
      <c r="AE23" s="130">
        <f>SUM($Z9:AE9)/SUM($Z22:AE22)</f>
        <v>0.5</v>
      </c>
      <c r="AF23" s="130">
        <f>SUM($Z9:AF9)/SUM($Z22:AF22)</f>
        <v>0.42857142857142855</v>
      </c>
      <c r="AG23" s="130">
        <f>SUM($Z9:AG9)/SUM($Z22:AG22)</f>
        <v>0.375</v>
      </c>
      <c r="AH23" s="130">
        <f>SUM($Z9:AH9)/SUM($Z22:AH22)</f>
        <v>0.33333333333333331</v>
      </c>
      <c r="AI23" s="130">
        <f>SUM($Z9:AI9)/SUM($Z22:AI22)</f>
        <v>0.3</v>
      </c>
      <c r="AJ23" s="130">
        <f>SUM($Z9:AJ9)/SUM($Z22:AJ22)</f>
        <v>0.27272727272727271</v>
      </c>
      <c r="AK23" s="130">
        <f>SUM($Z9:AK9)/SUM($Z22:AK22)</f>
        <v>0.25</v>
      </c>
      <c r="AL23" s="130" t="str">
        <f t="shared" si="17"/>
        <v>0%</v>
      </c>
      <c r="AM23" s="130" t="str">
        <f t="shared" si="17"/>
        <v>0%</v>
      </c>
      <c r="AN23" s="130">
        <f t="shared" si="17"/>
        <v>0.25</v>
      </c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</row>
    <row r="24" spans="1:50" s="3" customFormat="1" ht="18" hidden="1">
      <c r="A24" s="3" t="s">
        <v>39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4" cm="1">
        <f t="array" ref="N24">ROUNDUP(SUM(($E$9:$M$9)*1.2)/12,0)</f>
        <v>1</v>
      </c>
      <c r="O24" s="4" cm="1">
        <f t="array" ref="O24">ROUNDUP(SUM(($E$9:$M$9)*1.2)/12,0)</f>
        <v>1</v>
      </c>
      <c r="P24" s="4" cm="1">
        <f t="array" ref="P24">ROUNDUP(SUM(($E$9:$M$9)*1.2)/12,0)</f>
        <v>1</v>
      </c>
      <c r="Q24" s="4" cm="1">
        <f t="array" ref="Q24">ROUNDUP(SUM(($E$9:$M$9)*1.2)/12,0)</f>
        <v>1</v>
      </c>
      <c r="R24" s="4" cm="1">
        <f t="array" ref="R24">ROUNDUP(SUM(($E$9:$M$9)*1.2)/12,0)</f>
        <v>1</v>
      </c>
      <c r="S24" s="4" cm="1">
        <f t="array" ref="S24">ROUNDUP(SUM(($E$9:$M$9)*1.2)/12,0)</f>
        <v>1</v>
      </c>
      <c r="T24" s="4" cm="1">
        <f t="array" ref="T24">ROUNDUP(SUM(($E$9:$M$9)*1.2)/12,0)</f>
        <v>1</v>
      </c>
      <c r="U24" s="4" cm="1">
        <f t="array" ref="U24">ROUNDUP(SUM(($E$9:$M$9)*1.2)/12,0)</f>
        <v>1</v>
      </c>
      <c r="V24" s="4" cm="1">
        <f t="array" ref="V24">ROUNDUP(SUM(($E$9:$M$9)*1.2)/12,0)</f>
        <v>1</v>
      </c>
      <c r="W24" s="4" cm="1">
        <f t="array" ref="W24">ROUNDUP(SUM(($E$9:$M$9)*1.2)/12,0)</f>
        <v>1</v>
      </c>
      <c r="X24" s="4" cm="1">
        <f t="array" ref="X24">ROUNDUP(SUM(($E$9:$M$9)*1.2)/12,0)</f>
        <v>1</v>
      </c>
      <c r="Y24" s="4" cm="1">
        <f t="array" ref="Y24">ROUNDUP(SUM(($E$9:$M$9)*1.2)/12,0)</f>
        <v>1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7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s="3" customFormat="1" ht="18" hidden="1">
      <c r="A25" s="3" t="s">
        <v>40</v>
      </c>
      <c r="B25" s="7"/>
      <c r="C25" s="7"/>
      <c r="D25" s="7"/>
      <c r="E25" s="8"/>
      <c r="F25" s="8"/>
      <c r="G25" s="8"/>
      <c r="H25" s="8"/>
      <c r="I25" s="8"/>
      <c r="J25" s="8"/>
      <c r="K25" s="8"/>
      <c r="L25" s="8"/>
      <c r="M25" s="8"/>
      <c r="N25" s="4">
        <f>N18*0.101*1.2</f>
        <v>0.13938</v>
      </c>
      <c r="O25" s="4">
        <f t="shared" ref="O25:Y25" si="18">O18*0.101*1.2</f>
        <v>0.13938</v>
      </c>
      <c r="P25" s="4">
        <f t="shared" si="18"/>
        <v>0.13938</v>
      </c>
      <c r="Q25" s="4">
        <f t="shared" si="18"/>
        <v>0.13938</v>
      </c>
      <c r="R25" s="4">
        <f t="shared" si="18"/>
        <v>0.13938</v>
      </c>
      <c r="S25" s="4">
        <f t="shared" si="18"/>
        <v>0.13938</v>
      </c>
      <c r="T25" s="4">
        <f t="shared" si="18"/>
        <v>0.13938</v>
      </c>
      <c r="U25" s="4">
        <f t="shared" si="18"/>
        <v>0.13938</v>
      </c>
      <c r="V25" s="4">
        <f t="shared" si="18"/>
        <v>0.13938</v>
      </c>
      <c r="W25" s="4">
        <f t="shared" si="18"/>
        <v>0.13938</v>
      </c>
      <c r="X25" s="4">
        <f t="shared" si="18"/>
        <v>0.13938</v>
      </c>
      <c r="Y25" s="4">
        <f t="shared" si="18"/>
        <v>0.13938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8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s="3" customFormat="1" ht="18" hidden="1">
      <c r="A26" s="3" t="s">
        <v>41</v>
      </c>
      <c r="B26" s="7"/>
      <c r="C26" s="7"/>
      <c r="D26" s="7"/>
      <c r="E26" s="8"/>
      <c r="F26" s="8"/>
      <c r="G26" s="8"/>
      <c r="H26" s="8"/>
      <c r="I26" s="8"/>
      <c r="J26" s="8"/>
      <c r="K26" s="8"/>
      <c r="L26" s="8"/>
      <c r="M26" s="8"/>
      <c r="N26" s="39">
        <f>ROUNDUP(37/12,0)</f>
        <v>4</v>
      </c>
      <c r="O26" s="39">
        <f t="shared" ref="O26:Y26" si="19">ROUNDUP(37/12,0)</f>
        <v>4</v>
      </c>
      <c r="P26" s="39">
        <f t="shared" si="19"/>
        <v>4</v>
      </c>
      <c r="Q26" s="39">
        <f t="shared" si="19"/>
        <v>4</v>
      </c>
      <c r="R26" s="39">
        <f t="shared" si="19"/>
        <v>4</v>
      </c>
      <c r="S26" s="39">
        <f t="shared" si="19"/>
        <v>4</v>
      </c>
      <c r="T26" s="39">
        <f t="shared" si="19"/>
        <v>4</v>
      </c>
      <c r="U26" s="39">
        <f t="shared" si="19"/>
        <v>4</v>
      </c>
      <c r="V26" s="39">
        <f t="shared" si="19"/>
        <v>4</v>
      </c>
      <c r="W26" s="39">
        <f t="shared" si="19"/>
        <v>4</v>
      </c>
      <c r="X26" s="39">
        <f t="shared" si="19"/>
        <v>4</v>
      </c>
      <c r="Y26" s="39">
        <f t="shared" si="19"/>
        <v>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8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s="3" customFormat="1" ht="18" hidden="1">
      <c r="A27" s="3" t="s">
        <v>42</v>
      </c>
      <c r="B27" s="7"/>
      <c r="C27" s="7"/>
      <c r="D27" s="7"/>
      <c r="E27" s="8"/>
      <c r="F27" s="8"/>
      <c r="G27" s="8"/>
      <c r="H27" s="8"/>
      <c r="I27" s="8"/>
      <c r="J27" s="8"/>
      <c r="K27" s="8"/>
      <c r="L27" s="8"/>
      <c r="M27" s="8"/>
      <c r="N27" s="39">
        <f>AVERAGE(N24:N26)</f>
        <v>1.7131266666666667</v>
      </c>
      <c r="O27" s="39">
        <f t="shared" ref="O27:X27" si="20">AVERAGE(O24:O26)</f>
        <v>1.7131266666666667</v>
      </c>
      <c r="P27" s="39">
        <f t="shared" si="20"/>
        <v>1.7131266666666667</v>
      </c>
      <c r="Q27" s="39">
        <f t="shared" si="20"/>
        <v>1.7131266666666667</v>
      </c>
      <c r="R27" s="39">
        <f t="shared" si="20"/>
        <v>1.7131266666666667</v>
      </c>
      <c r="S27" s="39">
        <f t="shared" si="20"/>
        <v>1.7131266666666667</v>
      </c>
      <c r="T27" s="39">
        <f t="shared" si="20"/>
        <v>1.7131266666666667</v>
      </c>
      <c r="U27" s="39">
        <f t="shared" si="20"/>
        <v>1.7131266666666667</v>
      </c>
      <c r="V27" s="39">
        <f t="shared" si="20"/>
        <v>1.7131266666666667</v>
      </c>
      <c r="W27" s="39">
        <f t="shared" si="20"/>
        <v>1.7131266666666667</v>
      </c>
      <c r="X27" s="39">
        <f t="shared" si="20"/>
        <v>1.7131266666666667</v>
      </c>
      <c r="Y27" s="39">
        <f>AVERAGE(Y24:Y26)</f>
        <v>1.7131266666666667</v>
      </c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8"/>
      <c r="AM27" s="4"/>
      <c r="AN27" s="39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s="3" customFormat="1" ht="18">
      <c r="A28" s="3" t="s">
        <v>72</v>
      </c>
      <c r="E28" s="4"/>
      <c r="F28" s="4"/>
      <c r="G28" s="4"/>
      <c r="H28" s="4"/>
      <c r="I28" s="4"/>
      <c r="J28" s="4"/>
      <c r="K28" s="4"/>
      <c r="L28" s="4"/>
      <c r="M28" s="4"/>
      <c r="N28" s="86">
        <v>1287500</v>
      </c>
      <c r="O28" s="86">
        <v>1287500</v>
      </c>
      <c r="P28" s="86">
        <v>1175000</v>
      </c>
      <c r="Q28" s="86">
        <v>1175000</v>
      </c>
      <c r="R28" s="86">
        <v>1175000</v>
      </c>
      <c r="S28" s="86">
        <v>1175000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8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s="132" customFormat="1" ht="18">
      <c r="A29" s="131" t="s">
        <v>73</v>
      </c>
      <c r="B29" s="132" t="e">
        <f>SUM(#REF!,#REF!,#REF!)</f>
        <v>#REF!</v>
      </c>
      <c r="C29" s="132" t="e">
        <f>SUM(#REF!,#REF!,#REF!)</f>
        <v>#REF!</v>
      </c>
      <c r="D29" s="132" t="e">
        <f>SUM(#REF!,#REF!,#REF!)</f>
        <v>#REF!</v>
      </c>
      <c r="E29" s="132" t="e">
        <f>SUM(#REF!,#REF!,#REF!)</f>
        <v>#REF!</v>
      </c>
      <c r="F29" s="132" t="e">
        <f>SUM(#REF!,#REF!,#REF!)</f>
        <v>#REF!</v>
      </c>
      <c r="G29" s="132" t="e">
        <f>SUM(#REF!,#REF!,#REF!)</f>
        <v>#REF!</v>
      </c>
      <c r="H29" s="132" t="e">
        <f>SUM(#REF!,#REF!,#REF!)</f>
        <v>#REF!</v>
      </c>
      <c r="I29" s="132" t="e">
        <f>SUM(#REF!,#REF!,#REF!)</f>
        <v>#REF!</v>
      </c>
      <c r="J29" s="132" t="e">
        <f>SUM(#REF!,#REF!,#REF!)</f>
        <v>#REF!</v>
      </c>
      <c r="K29" s="132" t="e">
        <f>SUM(#REF!,#REF!,#REF!)</f>
        <v>#REF!</v>
      </c>
      <c r="L29" s="132" t="e">
        <f>SUM(#REF!,#REF!,#REF!)</f>
        <v>#REF!</v>
      </c>
      <c r="M29" s="132" t="e">
        <f>SUM(#REF!,#REF!,#REF!)</f>
        <v>#REF!</v>
      </c>
      <c r="N29" s="133">
        <f>SUM(N30:N37)</f>
        <v>643070</v>
      </c>
      <c r="O29" s="133">
        <f>SUM(O30:O37)</f>
        <v>672413</v>
      </c>
      <c r="P29" s="133">
        <f t="shared" ref="P29:Y29" si="21">SUM(P30:P37)</f>
        <v>560138</v>
      </c>
      <c r="Q29" s="133">
        <f t="shared" si="21"/>
        <v>549931</v>
      </c>
      <c r="R29" s="133">
        <f t="shared" si="21"/>
        <v>543762</v>
      </c>
      <c r="S29" s="133">
        <f t="shared" si="21"/>
        <v>482401</v>
      </c>
      <c r="T29" s="133">
        <f t="shared" si="21"/>
        <v>385000</v>
      </c>
      <c r="U29" s="133">
        <f t="shared" si="21"/>
        <v>295000</v>
      </c>
      <c r="V29" s="133">
        <f t="shared" si="21"/>
        <v>592046</v>
      </c>
      <c r="W29" s="133">
        <f t="shared" si="21"/>
        <v>449972</v>
      </c>
      <c r="X29" s="133">
        <f t="shared" si="21"/>
        <v>686179</v>
      </c>
      <c r="Y29" s="133">
        <f t="shared" si="21"/>
        <v>906333</v>
      </c>
      <c r="Z29" s="133">
        <f t="shared" ref="Z29:AK29" si="22">SUM(Z30:Z37)</f>
        <v>5172481</v>
      </c>
      <c r="AA29" s="133">
        <f t="shared" si="22"/>
        <v>1143883</v>
      </c>
      <c r="AB29" s="133">
        <f t="shared" si="22"/>
        <v>691258</v>
      </c>
      <c r="AC29" s="133">
        <f t="shared" si="22"/>
        <v>449972</v>
      </c>
      <c r="AD29" s="133">
        <f t="shared" si="22"/>
        <v>255000</v>
      </c>
      <c r="AE29" s="133">
        <f t="shared" si="22"/>
        <v>255000</v>
      </c>
      <c r="AF29" s="133">
        <f t="shared" si="22"/>
        <v>255000</v>
      </c>
      <c r="AG29" s="133">
        <f t="shared" si="22"/>
        <v>255000</v>
      </c>
      <c r="AH29" s="133">
        <f t="shared" si="22"/>
        <v>255000</v>
      </c>
      <c r="AI29" s="133">
        <f t="shared" si="22"/>
        <v>255000</v>
      </c>
      <c r="AJ29" s="133">
        <f t="shared" si="22"/>
        <v>255000</v>
      </c>
      <c r="AK29" s="133">
        <f t="shared" si="22"/>
        <v>255000</v>
      </c>
      <c r="AL29" s="134" t="e">
        <f>SUM(B29:M29)</f>
        <v>#REF!</v>
      </c>
      <c r="AM29" s="135">
        <f>SUM(N29:Y29)</f>
        <v>6766245</v>
      </c>
      <c r="AN29" s="98">
        <f>SUM(Z29:AK29)</f>
        <v>9497594</v>
      </c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</row>
    <row r="30" spans="1:50" s="23" customFormat="1" ht="18">
      <c r="A30" s="125" t="s">
        <v>45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9">
        <f>'[2]2025'!Z$78</f>
        <v>0</v>
      </c>
      <c r="O30" s="99">
        <f>'[2]2025'!AA$78</f>
        <v>0</v>
      </c>
      <c r="P30" s="99">
        <f>'[2]2025'!AB$78</f>
        <v>0</v>
      </c>
      <c r="Q30" s="99">
        <f>'[2]2025'!AC$78</f>
        <v>0</v>
      </c>
      <c r="R30" s="99">
        <f>'[2]2025'!AD$78</f>
        <v>0</v>
      </c>
      <c r="S30" s="99">
        <f>'[2]2025'!AE$78</f>
        <v>0</v>
      </c>
      <c r="T30" s="99">
        <f>'[2]2025'!AF$78</f>
        <v>70000</v>
      </c>
      <c r="U30" s="99">
        <f>'[2]2025'!AG$78</f>
        <v>0</v>
      </c>
      <c r="V30" s="99">
        <f>'[2]2025'!AH$78</f>
        <v>110000</v>
      </c>
      <c r="W30" s="99">
        <f>'[2]2025'!AI$78</f>
        <v>0</v>
      </c>
      <c r="X30" s="99">
        <f>'[2]2025'!AJ$78</f>
        <v>220000</v>
      </c>
      <c r="Y30" s="99">
        <f>'[2]2025'!AK$78</f>
        <v>55000</v>
      </c>
      <c r="Z30" s="99">
        <f>'[2]2026'!F$16</f>
        <v>378000</v>
      </c>
      <c r="AA30" s="99">
        <f>'[2]2026'!G$16</f>
        <v>143000</v>
      </c>
      <c r="AB30" s="99">
        <f>'[2]2026'!H$16</f>
        <v>198000</v>
      </c>
      <c r="AC30" s="99">
        <f>'[2]2026'!I$16</f>
        <v>0</v>
      </c>
      <c r="AD30" s="99">
        <f>'[2]2026'!J$16</f>
        <v>0</v>
      </c>
      <c r="AE30" s="99">
        <f>'[2]2026'!K$16</f>
        <v>0</v>
      </c>
      <c r="AF30" s="99">
        <f>'[2]2026'!L$16</f>
        <v>0</v>
      </c>
      <c r="AG30" s="99">
        <f>'[2]2026'!M$16</f>
        <v>0</v>
      </c>
      <c r="AH30" s="99">
        <f>'[2]2026'!N$16</f>
        <v>0</v>
      </c>
      <c r="AI30" s="99">
        <f>'[2]2026'!O$16</f>
        <v>0</v>
      </c>
      <c r="AJ30" s="99">
        <f>'[2]2026'!P$16</f>
        <v>0</v>
      </c>
      <c r="AK30" s="99">
        <f>'[2]2026'!Q$16</f>
        <v>0</v>
      </c>
      <c r="AL30" s="103"/>
      <c r="AM30" s="116">
        <f t="shared" ref="AM30:AM37" si="23">SUM(N30:Y30)</f>
        <v>455000</v>
      </c>
      <c r="AN30" s="98">
        <f t="shared" ref="AN30:AN37" si="24">SUM(Z30:AK30)</f>
        <v>719000</v>
      </c>
      <c r="AO30" s="93"/>
      <c r="AP30" s="93"/>
      <c r="AQ30" s="93"/>
      <c r="AR30" s="93"/>
      <c r="AS30" s="93"/>
      <c r="AT30" s="93"/>
      <c r="AU30" s="93"/>
      <c r="AV30" s="93"/>
      <c r="AW30" s="93"/>
      <c r="AX30" s="93"/>
    </row>
    <row r="31" spans="1:50" s="23" customFormat="1" ht="18">
      <c r="A31" s="125" t="s">
        <v>46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9">
        <f>'[2]2025'!Z$133</f>
        <v>0</v>
      </c>
      <c r="O31" s="99">
        <f>'[2]2025'!AA$133</f>
        <v>30000</v>
      </c>
      <c r="P31" s="99">
        <f>'[2]2025'!AB$133</f>
        <v>30000</v>
      </c>
      <c r="Q31" s="99">
        <f>'[2]2025'!AC$133</f>
        <v>60000</v>
      </c>
      <c r="R31" s="99">
        <f>'[2]2025'!AD$133</f>
        <v>35000</v>
      </c>
      <c r="S31" s="99">
        <f>'[2]2025'!AE$133</f>
        <v>35000</v>
      </c>
      <c r="T31" s="99">
        <f>'[2]2025'!AF$133</f>
        <v>0</v>
      </c>
      <c r="U31" s="99">
        <f>'[2]2025'!AG$133</f>
        <v>30000</v>
      </c>
      <c r="V31" s="99">
        <f>'[2]2025'!AH$133</f>
        <v>30000</v>
      </c>
      <c r="W31" s="99">
        <f>'[2]2025'!AI$133</f>
        <v>15000</v>
      </c>
      <c r="X31" s="99">
        <f>'[2]2025'!AJ$133</f>
        <v>60000</v>
      </c>
      <c r="Y31" s="99">
        <f>'[2]2025'!AK$133</f>
        <v>90000</v>
      </c>
      <c r="Z31" s="99">
        <f>'[2]2026'!F$83</f>
        <v>45000</v>
      </c>
      <c r="AA31" s="99">
        <f>'[2]2026'!G$83</f>
        <v>45000</v>
      </c>
      <c r="AB31" s="99">
        <f>'[2]2026'!H$83</f>
        <v>45000</v>
      </c>
      <c r="AC31" s="99">
        <f>'[2]2026'!I$83</f>
        <v>0</v>
      </c>
      <c r="AD31" s="99">
        <f>'[2]2026'!J$83</f>
        <v>0</v>
      </c>
      <c r="AE31" s="99">
        <f>'[2]2026'!K$83</f>
        <v>0</v>
      </c>
      <c r="AF31" s="99">
        <f>'[2]2026'!L$83</f>
        <v>0</v>
      </c>
      <c r="AG31" s="99">
        <f>'[2]2026'!M$83</f>
        <v>0</v>
      </c>
      <c r="AH31" s="99">
        <f>'[2]2026'!N$83</f>
        <v>0</v>
      </c>
      <c r="AI31" s="99">
        <f>'[2]2026'!O$83</f>
        <v>0</v>
      </c>
      <c r="AJ31" s="99">
        <f>'[2]2026'!P$83</f>
        <v>0</v>
      </c>
      <c r="AK31" s="99">
        <f>'[2]2026'!Q$83</f>
        <v>0</v>
      </c>
      <c r="AL31" s="103"/>
      <c r="AM31" s="116">
        <f t="shared" si="23"/>
        <v>415000</v>
      </c>
      <c r="AN31" s="98">
        <f t="shared" si="24"/>
        <v>135000</v>
      </c>
      <c r="AO31" s="93"/>
      <c r="AP31" s="93"/>
      <c r="AQ31" s="93"/>
      <c r="AR31" s="93"/>
      <c r="AS31" s="93"/>
      <c r="AT31" s="93"/>
      <c r="AU31" s="93"/>
      <c r="AV31" s="93"/>
      <c r="AW31" s="93"/>
      <c r="AX31" s="93"/>
    </row>
    <row r="32" spans="1:50" s="23" customFormat="1" ht="18">
      <c r="A32" s="125" t="s">
        <v>47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9">
        <f>'[2]2025'!Z$105</f>
        <v>0</v>
      </c>
      <c r="O32" s="99">
        <f>'[2]2025'!AA$105</f>
        <v>0</v>
      </c>
      <c r="P32" s="99">
        <f>'[2]2025'!AB$105</f>
        <v>0</v>
      </c>
      <c r="Q32" s="99">
        <f>'[2]2025'!AC$105</f>
        <v>0</v>
      </c>
      <c r="R32" s="99">
        <f>'[2]2025'!AD$105</f>
        <v>0</v>
      </c>
      <c r="S32" s="99">
        <f>'[2]2025'!AE$105</f>
        <v>0</v>
      </c>
      <c r="T32" s="99">
        <f>'[2]2025'!AF$105</f>
        <v>0</v>
      </c>
      <c r="U32" s="99">
        <f>'[2]2025'!AG$105</f>
        <v>0</v>
      </c>
      <c r="V32" s="99">
        <f>'[2]2025'!AH$105</f>
        <v>0</v>
      </c>
      <c r="W32" s="99">
        <f>'[2]2025'!AI$105</f>
        <v>0</v>
      </c>
      <c r="X32" s="99">
        <f>'[2]2025'!AJ$105</f>
        <v>0</v>
      </c>
      <c r="Y32" s="99">
        <f>'[2]2025'!AK$105</f>
        <v>0</v>
      </c>
      <c r="Z32" s="99">
        <f>'[2]2026'!F$49</f>
        <v>250000</v>
      </c>
      <c r="AA32" s="99">
        <f>'[2]2026'!G$49</f>
        <v>500000</v>
      </c>
      <c r="AB32" s="99">
        <f>'[2]2026'!H$49</f>
        <v>0</v>
      </c>
      <c r="AC32" s="99">
        <f>'[2]2026'!I$49</f>
        <v>0</v>
      </c>
      <c r="AD32" s="99">
        <f>'[2]2026'!J$49</f>
        <v>0</v>
      </c>
      <c r="AE32" s="99">
        <f>'[2]2026'!K$49</f>
        <v>0</v>
      </c>
      <c r="AF32" s="99">
        <f>'[2]2026'!L$49</f>
        <v>0</v>
      </c>
      <c r="AG32" s="99">
        <f>'[2]2026'!M$49</f>
        <v>0</v>
      </c>
      <c r="AH32" s="99">
        <f>'[2]2026'!N$49</f>
        <v>0</v>
      </c>
      <c r="AI32" s="99">
        <f>'[2]2026'!O$49</f>
        <v>0</v>
      </c>
      <c r="AJ32" s="99">
        <f>'[2]2026'!P$49</f>
        <v>0</v>
      </c>
      <c r="AK32" s="99">
        <f>'[2]2026'!Q$49</f>
        <v>0</v>
      </c>
      <c r="AL32" s="103"/>
      <c r="AM32" s="116">
        <f t="shared" si="23"/>
        <v>0</v>
      </c>
      <c r="AN32" s="98">
        <f t="shared" si="24"/>
        <v>750000</v>
      </c>
      <c r="AO32" s="93"/>
      <c r="AP32" s="93"/>
      <c r="AQ32" s="93"/>
      <c r="AR32" s="93"/>
      <c r="AS32" s="93"/>
      <c r="AT32" s="93"/>
      <c r="AU32" s="93"/>
      <c r="AV32" s="93"/>
      <c r="AW32" s="93"/>
      <c r="AX32" s="93"/>
    </row>
    <row r="33" spans="1:50" s="23" customFormat="1" ht="18">
      <c r="A33" s="125" t="s">
        <v>48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9">
        <f>'[2]2025'!Z$156</f>
        <v>0</v>
      </c>
      <c r="O33" s="99">
        <f>'[2]2025'!AA$156</f>
        <v>0</v>
      </c>
      <c r="P33" s="99">
        <f>'[2]2025'!AB$156</f>
        <v>0</v>
      </c>
      <c r="Q33" s="99">
        <f>'[2]2025'!AC$156</f>
        <v>0</v>
      </c>
      <c r="R33" s="99">
        <f>'[2]2025'!AD$156</f>
        <v>0</v>
      </c>
      <c r="S33" s="99">
        <f>'[2]2025'!AE$156</f>
        <v>0</v>
      </c>
      <c r="T33" s="99">
        <f>'[2]2025'!AF$156</f>
        <v>60000</v>
      </c>
      <c r="U33" s="99">
        <f>'[2]2025'!AG$156</f>
        <v>10000</v>
      </c>
      <c r="V33" s="99">
        <f>'[2]2025'!AH$156</f>
        <v>10000</v>
      </c>
      <c r="W33" s="99">
        <f>'[2]2025'!AI$156</f>
        <v>10000</v>
      </c>
      <c r="X33" s="99">
        <f>'[2]2025'!AJ$156</f>
        <v>0</v>
      </c>
      <c r="Y33" s="99">
        <f>'[2]2025'!AK$156</f>
        <v>355000</v>
      </c>
      <c r="Z33" s="99">
        <f>'[2]2026'!F$108</f>
        <v>1065000</v>
      </c>
      <c r="AA33" s="99">
        <f>'[2]2026'!G$108</f>
        <v>0</v>
      </c>
      <c r="AB33" s="99">
        <f>'[2]2026'!H$108</f>
        <v>0</v>
      </c>
      <c r="AC33" s="99">
        <f>'[2]2026'!I$108</f>
        <v>0</v>
      </c>
      <c r="AD33" s="99">
        <f>'[2]2026'!J$108</f>
        <v>0</v>
      </c>
      <c r="AE33" s="99">
        <f>'[2]2026'!K$108</f>
        <v>0</v>
      </c>
      <c r="AF33" s="99">
        <f>'[2]2026'!L$108</f>
        <v>0</v>
      </c>
      <c r="AG33" s="99">
        <f>'[2]2026'!M$108</f>
        <v>0</v>
      </c>
      <c r="AH33" s="99">
        <f>'[2]2026'!N$108</f>
        <v>0</v>
      </c>
      <c r="AI33" s="99">
        <f>'[2]2026'!O$108</f>
        <v>0</v>
      </c>
      <c r="AJ33" s="99">
        <f>'[2]2026'!P$108</f>
        <v>0</v>
      </c>
      <c r="AK33" s="99">
        <f>'[2]2026'!Q$108</f>
        <v>0</v>
      </c>
      <c r="AL33" s="103"/>
      <c r="AM33" s="116">
        <f t="shared" si="23"/>
        <v>445000</v>
      </c>
      <c r="AN33" s="98">
        <f t="shared" si="24"/>
        <v>1065000</v>
      </c>
      <c r="AO33" s="93"/>
      <c r="AP33" s="93"/>
      <c r="AQ33" s="93"/>
      <c r="AR33" s="93"/>
      <c r="AS33" s="93"/>
      <c r="AT33" s="93"/>
      <c r="AU33" s="93"/>
      <c r="AV33" s="93"/>
      <c r="AW33" s="93"/>
      <c r="AX33" s="93"/>
    </row>
    <row r="34" spans="1:50" s="23" customFormat="1" ht="18">
      <c r="A34" s="125" t="s">
        <v>49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9">
        <v>155570</v>
      </c>
      <c r="O34" s="99">
        <v>154913</v>
      </c>
      <c r="P34" s="99">
        <v>155138</v>
      </c>
      <c r="Q34" s="99">
        <v>114931</v>
      </c>
      <c r="R34" s="99">
        <v>133762</v>
      </c>
      <c r="S34" s="99">
        <v>72401</v>
      </c>
      <c r="T34" s="99">
        <v>0</v>
      </c>
      <c r="U34" s="99">
        <v>0</v>
      </c>
      <c r="V34" s="99">
        <v>187046</v>
      </c>
      <c r="W34" s="99">
        <v>169972</v>
      </c>
      <c r="X34" s="99">
        <v>151179</v>
      </c>
      <c r="Y34" s="99">
        <v>151333</v>
      </c>
      <c r="Z34" s="99">
        <v>201481</v>
      </c>
      <c r="AA34" s="99">
        <v>200883</v>
      </c>
      <c r="AB34" s="99">
        <v>193258</v>
      </c>
      <c r="AC34" s="99">
        <v>194972</v>
      </c>
      <c r="AD34" s="99"/>
      <c r="AE34" s="99"/>
      <c r="AF34" s="99"/>
      <c r="AG34" s="99"/>
      <c r="AH34" s="99"/>
      <c r="AI34" s="99"/>
      <c r="AJ34" s="99"/>
      <c r="AK34" s="99"/>
      <c r="AL34" s="103"/>
      <c r="AM34" s="116">
        <f>SUM(N34:Z34)</f>
        <v>1647726</v>
      </c>
      <c r="AN34" s="98">
        <f t="shared" si="24"/>
        <v>790594</v>
      </c>
      <c r="AO34" s="93"/>
      <c r="AP34" s="93"/>
      <c r="AQ34" s="93"/>
      <c r="AR34" s="93"/>
      <c r="AS34" s="93"/>
      <c r="AT34" s="93"/>
      <c r="AU34" s="93"/>
      <c r="AV34" s="93"/>
      <c r="AW34" s="93"/>
      <c r="AX34" s="93"/>
    </row>
    <row r="35" spans="1:50" s="23" customFormat="1" ht="18">
      <c r="A35" s="125" t="s">
        <v>50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9">
        <v>0</v>
      </c>
      <c r="O35" s="99">
        <v>0</v>
      </c>
      <c r="P35" s="99">
        <v>0</v>
      </c>
      <c r="Q35" s="99">
        <v>0</v>
      </c>
      <c r="R35" s="99">
        <v>0</v>
      </c>
      <c r="S35" s="99">
        <v>0</v>
      </c>
      <c r="T35" s="99">
        <v>55000</v>
      </c>
      <c r="U35" s="99">
        <v>55000</v>
      </c>
      <c r="V35" s="99">
        <v>55000</v>
      </c>
      <c r="W35" s="99">
        <v>55000</v>
      </c>
      <c r="X35" s="99">
        <v>55000</v>
      </c>
      <c r="Y35" s="99">
        <v>55000</v>
      </c>
      <c r="Z35" s="99">
        <v>55000</v>
      </c>
      <c r="AA35" s="99">
        <v>55000</v>
      </c>
      <c r="AB35" s="99">
        <v>55000</v>
      </c>
      <c r="AC35" s="99">
        <v>55000</v>
      </c>
      <c r="AD35" s="99">
        <v>55000</v>
      </c>
      <c r="AE35" s="99">
        <v>55000</v>
      </c>
      <c r="AF35" s="99">
        <v>55000</v>
      </c>
      <c r="AG35" s="99">
        <v>55000</v>
      </c>
      <c r="AH35" s="99">
        <v>55000</v>
      </c>
      <c r="AI35" s="99">
        <v>55000</v>
      </c>
      <c r="AJ35" s="99">
        <v>55000</v>
      </c>
      <c r="AK35" s="99">
        <v>55000</v>
      </c>
      <c r="AL35" s="103"/>
      <c r="AM35" s="116">
        <f t="shared" si="23"/>
        <v>330000</v>
      </c>
      <c r="AN35" s="98">
        <f t="shared" si="24"/>
        <v>660000</v>
      </c>
      <c r="AO35" s="93"/>
      <c r="AP35" s="93"/>
      <c r="AQ35" s="93"/>
      <c r="AR35" s="93"/>
      <c r="AS35" s="93"/>
      <c r="AT35" s="93"/>
      <c r="AU35" s="93"/>
      <c r="AV35" s="93"/>
      <c r="AW35" s="93"/>
      <c r="AX35" s="93"/>
    </row>
    <row r="36" spans="1:50" s="23" customFormat="1" ht="18">
      <c r="A36" s="125" t="s">
        <v>51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9">
        <v>487500</v>
      </c>
      <c r="O36" s="99">
        <v>487500</v>
      </c>
      <c r="P36" s="99">
        <v>375000</v>
      </c>
      <c r="Q36" s="99">
        <v>375000</v>
      </c>
      <c r="R36" s="99">
        <v>375000</v>
      </c>
      <c r="S36" s="99">
        <v>375000</v>
      </c>
      <c r="T36" s="99">
        <v>200000</v>
      </c>
      <c r="U36" s="99">
        <v>200000</v>
      </c>
      <c r="V36" s="99">
        <v>200000</v>
      </c>
      <c r="W36" s="99">
        <v>200000</v>
      </c>
      <c r="X36" s="99">
        <v>200000</v>
      </c>
      <c r="Y36" s="99">
        <v>200000</v>
      </c>
      <c r="Z36" s="99">
        <v>200000</v>
      </c>
      <c r="AA36" s="99">
        <v>200000</v>
      </c>
      <c r="AB36" s="99">
        <v>200000</v>
      </c>
      <c r="AC36" s="99">
        <v>200000</v>
      </c>
      <c r="AD36" s="99">
        <v>200000</v>
      </c>
      <c r="AE36" s="99">
        <v>200000</v>
      </c>
      <c r="AF36" s="99">
        <v>200000</v>
      </c>
      <c r="AG36" s="99">
        <v>200000</v>
      </c>
      <c r="AH36" s="99">
        <v>200000</v>
      </c>
      <c r="AI36" s="99">
        <v>200000</v>
      </c>
      <c r="AJ36" s="99">
        <v>200000</v>
      </c>
      <c r="AK36" s="99">
        <v>200000</v>
      </c>
      <c r="AL36" s="103"/>
      <c r="AM36" s="116">
        <f t="shared" si="23"/>
        <v>3675000</v>
      </c>
      <c r="AN36" s="98">
        <f t="shared" si="24"/>
        <v>2400000</v>
      </c>
      <c r="AO36" s="93"/>
      <c r="AP36" s="93"/>
      <c r="AQ36" s="93"/>
      <c r="AR36" s="93"/>
      <c r="AS36" s="93"/>
      <c r="AT36" s="93"/>
      <c r="AU36" s="93"/>
      <c r="AV36" s="93"/>
      <c r="AW36" s="93"/>
      <c r="AX36" s="93"/>
    </row>
    <row r="37" spans="1:50" s="23" customFormat="1" ht="18">
      <c r="A37" s="125" t="s">
        <v>52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Z37" s="99">
        <f>2450000+528000</f>
        <v>2978000</v>
      </c>
      <c r="AA37" s="99">
        <v>0</v>
      </c>
      <c r="AB37" s="99">
        <v>0</v>
      </c>
      <c r="AC37" s="99">
        <v>0</v>
      </c>
      <c r="AD37" s="99">
        <v>0</v>
      </c>
      <c r="AE37" s="99">
        <v>0</v>
      </c>
      <c r="AF37" s="99">
        <v>0</v>
      </c>
      <c r="AG37" s="99">
        <v>0</v>
      </c>
      <c r="AH37" s="99">
        <v>0</v>
      </c>
      <c r="AI37" s="99">
        <v>0</v>
      </c>
      <c r="AJ37" s="99">
        <v>0</v>
      </c>
      <c r="AK37" s="99">
        <v>0</v>
      </c>
      <c r="AL37" s="103"/>
      <c r="AM37" s="116">
        <f t="shared" si="23"/>
        <v>0</v>
      </c>
      <c r="AN37" s="98">
        <f t="shared" si="24"/>
        <v>2978000</v>
      </c>
      <c r="AO37" s="93"/>
      <c r="AP37" s="93"/>
      <c r="AQ37" s="93"/>
      <c r="AR37" s="93"/>
      <c r="AS37" s="93"/>
      <c r="AT37" s="93"/>
      <c r="AU37" s="93"/>
      <c r="AV37" s="93"/>
      <c r="AW37" s="93"/>
      <c r="AX37" s="93"/>
    </row>
    <row r="38" spans="1:50" s="88" customFormat="1" ht="18">
      <c r="A38" s="88" t="s">
        <v>74</v>
      </c>
      <c r="B38" s="88" t="str">
        <f t="shared" ref="B38:M38" si="25">IFERROR(B$29/B58, "")</f>
        <v/>
      </c>
      <c r="C38" s="88" t="str">
        <f t="shared" si="25"/>
        <v/>
      </c>
      <c r="D38" s="88" t="str">
        <f t="shared" si="25"/>
        <v/>
      </c>
      <c r="E38" s="88" t="str">
        <f t="shared" si="25"/>
        <v/>
      </c>
      <c r="F38" s="88" t="str">
        <f t="shared" si="25"/>
        <v/>
      </c>
      <c r="G38" s="88" t="str">
        <f t="shared" si="25"/>
        <v/>
      </c>
      <c r="H38" s="88" t="str">
        <f t="shared" si="25"/>
        <v/>
      </c>
      <c r="I38" s="88" t="str">
        <f t="shared" si="25"/>
        <v/>
      </c>
      <c r="J38" s="88" t="str">
        <f t="shared" si="25"/>
        <v/>
      </c>
      <c r="K38" s="88" t="str">
        <f t="shared" si="25"/>
        <v/>
      </c>
      <c r="L38" s="88" t="str">
        <f t="shared" si="25"/>
        <v/>
      </c>
      <c r="M38" s="88" t="str">
        <f t="shared" si="25"/>
        <v/>
      </c>
      <c r="N38" s="100">
        <f t="shared" ref="N38:AK38" si="26">IF(N5=0,0,N$29/N5)</f>
        <v>160767.5</v>
      </c>
      <c r="O38" s="100">
        <f t="shared" si="26"/>
        <v>112068.83333333333</v>
      </c>
      <c r="P38" s="100">
        <f t="shared" si="26"/>
        <v>112027.6</v>
      </c>
      <c r="Q38" s="100">
        <f t="shared" si="26"/>
        <v>45827.583333333336</v>
      </c>
      <c r="R38" s="100">
        <f t="shared" si="26"/>
        <v>33985.125</v>
      </c>
      <c r="S38" s="100">
        <f t="shared" si="26"/>
        <v>19296.04</v>
      </c>
      <c r="T38" s="90">
        <f t="shared" si="26"/>
        <v>77000</v>
      </c>
      <c r="U38" s="90">
        <f t="shared" si="26"/>
        <v>19666.666666666668</v>
      </c>
      <c r="V38" s="90">
        <f t="shared" si="26"/>
        <v>65782.888888888891</v>
      </c>
      <c r="W38" s="90">
        <f t="shared" si="26"/>
        <v>18748.833333333332</v>
      </c>
      <c r="X38" s="90">
        <f t="shared" si="26"/>
        <v>21443.09375</v>
      </c>
      <c r="Y38" s="90">
        <f t="shared" si="26"/>
        <v>23239.307692307691</v>
      </c>
      <c r="Z38" s="90">
        <f t="shared" si="26"/>
        <v>397883.15384615387</v>
      </c>
      <c r="AA38" s="90">
        <f t="shared" si="26"/>
        <v>228776.6</v>
      </c>
      <c r="AB38" s="90">
        <f t="shared" si="26"/>
        <v>49375.571428571428</v>
      </c>
      <c r="AC38" s="90">
        <f t="shared" si="26"/>
        <v>28123.25</v>
      </c>
      <c r="AD38" s="90">
        <f t="shared" si="26"/>
        <v>0</v>
      </c>
      <c r="AE38" s="90">
        <f t="shared" si="26"/>
        <v>0</v>
      </c>
      <c r="AF38" s="90">
        <f t="shared" si="26"/>
        <v>0</v>
      </c>
      <c r="AG38" s="90">
        <f t="shared" si="26"/>
        <v>0</v>
      </c>
      <c r="AH38" s="90">
        <f t="shared" si="26"/>
        <v>0</v>
      </c>
      <c r="AI38" s="90">
        <f t="shared" si="26"/>
        <v>0</v>
      </c>
      <c r="AJ38" s="90">
        <f t="shared" si="26"/>
        <v>0</v>
      </c>
      <c r="AK38" s="90">
        <f t="shared" si="26"/>
        <v>0</v>
      </c>
      <c r="AL38" s="104" t="e">
        <f>AVERAGE(B38:M38)</f>
        <v>#DIV/0!</v>
      </c>
      <c r="AM38" s="100">
        <f>IF(AM5=0,0,AM$29/AM5)</f>
        <v>35240.859375</v>
      </c>
      <c r="AN38" s="100">
        <f>IF(AN5=0,0,AN$29/AN5)</f>
        <v>197866.54166666666</v>
      </c>
      <c r="AO38" s="90"/>
      <c r="AP38" s="90"/>
      <c r="AQ38" s="90"/>
      <c r="AR38" s="90"/>
      <c r="AS38" s="90"/>
      <c r="AT38" s="90"/>
      <c r="AU38" s="90"/>
      <c r="AV38" s="90"/>
      <c r="AW38" s="90"/>
      <c r="AX38" s="90"/>
    </row>
    <row r="39" spans="1:50" s="87" customFormat="1" ht="18">
      <c r="A39" s="87" t="s">
        <v>75</v>
      </c>
      <c r="B39" s="88" t="str">
        <f t="shared" ref="B39:M39" si="27">IFERROR(B$29/B9, "")</f>
        <v/>
      </c>
      <c r="C39" s="88" t="str">
        <f t="shared" si="27"/>
        <v/>
      </c>
      <c r="D39" s="88" t="str">
        <f t="shared" si="27"/>
        <v/>
      </c>
      <c r="E39" s="88" t="str">
        <f t="shared" si="27"/>
        <v/>
      </c>
      <c r="F39" s="88" t="str">
        <f t="shared" si="27"/>
        <v/>
      </c>
      <c r="G39" s="88" t="str">
        <f t="shared" si="27"/>
        <v/>
      </c>
      <c r="H39" s="88" t="str">
        <f t="shared" si="27"/>
        <v/>
      </c>
      <c r="I39" s="88" t="str">
        <f t="shared" si="27"/>
        <v/>
      </c>
      <c r="J39" s="88" t="str">
        <f t="shared" si="27"/>
        <v/>
      </c>
      <c r="K39" s="88" t="str">
        <f t="shared" si="27"/>
        <v/>
      </c>
      <c r="L39" s="88" t="str">
        <f t="shared" si="27"/>
        <v/>
      </c>
      <c r="M39" s="88" t="str">
        <f t="shared" si="27"/>
        <v/>
      </c>
      <c r="N39" s="100">
        <f t="shared" ref="N39:AK39" si="28">IF(N9=0,0,N$29/N9)</f>
        <v>0</v>
      </c>
      <c r="O39" s="100">
        <f t="shared" si="28"/>
        <v>0</v>
      </c>
      <c r="P39" s="100">
        <f t="shared" si="28"/>
        <v>0</v>
      </c>
      <c r="Q39" s="100">
        <f t="shared" si="28"/>
        <v>549931</v>
      </c>
      <c r="R39" s="100">
        <f t="shared" si="28"/>
        <v>0</v>
      </c>
      <c r="S39" s="100">
        <f t="shared" si="28"/>
        <v>0</v>
      </c>
      <c r="T39" s="89">
        <f t="shared" si="28"/>
        <v>385000</v>
      </c>
      <c r="U39" s="89">
        <f t="shared" si="28"/>
        <v>295000</v>
      </c>
      <c r="V39" s="89">
        <f t="shared" si="28"/>
        <v>0</v>
      </c>
      <c r="W39" s="89">
        <f t="shared" si="28"/>
        <v>0</v>
      </c>
      <c r="X39" s="89">
        <f t="shared" si="28"/>
        <v>686179</v>
      </c>
      <c r="Y39" s="89">
        <f t="shared" si="28"/>
        <v>302111</v>
      </c>
      <c r="Z39" s="89">
        <f t="shared" si="28"/>
        <v>0</v>
      </c>
      <c r="AA39" s="89">
        <f t="shared" si="28"/>
        <v>1143883</v>
      </c>
      <c r="AB39" s="89">
        <f t="shared" si="28"/>
        <v>0</v>
      </c>
      <c r="AC39" s="89">
        <f t="shared" si="28"/>
        <v>224986</v>
      </c>
      <c r="AD39" s="89">
        <f t="shared" si="28"/>
        <v>0</v>
      </c>
      <c r="AE39" s="89">
        <f t="shared" si="28"/>
        <v>0</v>
      </c>
      <c r="AF39" s="89">
        <f t="shared" si="28"/>
        <v>0</v>
      </c>
      <c r="AG39" s="89">
        <f t="shared" si="28"/>
        <v>0</v>
      </c>
      <c r="AH39" s="89">
        <f t="shared" si="28"/>
        <v>0</v>
      </c>
      <c r="AI39" s="89">
        <f t="shared" si="28"/>
        <v>0</v>
      </c>
      <c r="AJ39" s="89">
        <f t="shared" si="28"/>
        <v>0</v>
      </c>
      <c r="AK39" s="89">
        <f t="shared" si="28"/>
        <v>0</v>
      </c>
      <c r="AL39" s="104" t="e">
        <f>AVERAGE(B39:M39)</f>
        <v>#DIV/0!</v>
      </c>
      <c r="AM39" s="100">
        <f>IF(AM9=0,0,AM$29/AM9)</f>
        <v>966606.42857142852</v>
      </c>
      <c r="AN39" s="100">
        <f>IF(AN9=0,0,AN$29/AN9)</f>
        <v>3165864.6666666665</v>
      </c>
      <c r="AO39" s="89"/>
      <c r="AP39" s="89"/>
      <c r="AQ39" s="89"/>
      <c r="AR39" s="89"/>
      <c r="AS39" s="89"/>
      <c r="AT39" s="89"/>
      <c r="AU39" s="89"/>
      <c r="AV39" s="89"/>
      <c r="AW39" s="89"/>
      <c r="AX39" s="89"/>
    </row>
    <row r="40" spans="1:50" s="87" customFormat="1" ht="18">
      <c r="A40" s="87" t="s">
        <v>76</v>
      </c>
      <c r="B40" s="88" t="str">
        <f t="shared" ref="B40:M40" si="29">IFERROR(B$29/B11, "")</f>
        <v/>
      </c>
      <c r="C40" s="88" t="str">
        <f t="shared" si="29"/>
        <v/>
      </c>
      <c r="D40" s="88" t="str">
        <f t="shared" si="29"/>
        <v/>
      </c>
      <c r="E40" s="88" t="str">
        <f t="shared" si="29"/>
        <v/>
      </c>
      <c r="F40" s="88" t="str">
        <f t="shared" si="29"/>
        <v/>
      </c>
      <c r="G40" s="88" t="str">
        <f t="shared" si="29"/>
        <v/>
      </c>
      <c r="H40" s="88" t="str">
        <f t="shared" si="29"/>
        <v/>
      </c>
      <c r="I40" s="88" t="str">
        <f t="shared" si="29"/>
        <v/>
      </c>
      <c r="J40" s="88" t="str">
        <f t="shared" si="29"/>
        <v/>
      </c>
      <c r="K40" s="88" t="str">
        <f t="shared" si="29"/>
        <v/>
      </c>
      <c r="L40" s="88" t="str">
        <f t="shared" si="29"/>
        <v/>
      </c>
      <c r="M40" s="88" t="str">
        <f t="shared" si="29"/>
        <v/>
      </c>
      <c r="N40" s="100">
        <f t="shared" ref="N40:AK40" si="30">IF(N11=0,0,N$29/N11)</f>
        <v>0</v>
      </c>
      <c r="O40" s="100">
        <f t="shared" si="30"/>
        <v>0</v>
      </c>
      <c r="P40" s="100">
        <f t="shared" si="30"/>
        <v>0</v>
      </c>
      <c r="Q40" s="100">
        <f t="shared" si="30"/>
        <v>0</v>
      </c>
      <c r="R40" s="100">
        <f t="shared" si="30"/>
        <v>0</v>
      </c>
      <c r="S40" s="100">
        <f t="shared" si="30"/>
        <v>0</v>
      </c>
      <c r="T40" s="89">
        <f t="shared" si="30"/>
        <v>0</v>
      </c>
      <c r="U40" s="89">
        <f t="shared" si="30"/>
        <v>0</v>
      </c>
      <c r="V40" s="89">
        <f t="shared" si="30"/>
        <v>0</v>
      </c>
      <c r="W40" s="89">
        <f t="shared" si="30"/>
        <v>0</v>
      </c>
      <c r="X40" s="89">
        <f t="shared" si="30"/>
        <v>0</v>
      </c>
      <c r="Y40" s="89">
        <f t="shared" si="30"/>
        <v>0</v>
      </c>
      <c r="Z40" s="89">
        <f t="shared" si="30"/>
        <v>5172481</v>
      </c>
      <c r="AA40" s="89">
        <f t="shared" si="30"/>
        <v>0</v>
      </c>
      <c r="AB40" s="89">
        <f t="shared" si="30"/>
        <v>0</v>
      </c>
      <c r="AC40" s="89">
        <f t="shared" si="30"/>
        <v>0</v>
      </c>
      <c r="AD40" s="89">
        <f t="shared" si="30"/>
        <v>0</v>
      </c>
      <c r="AE40" s="89">
        <f t="shared" si="30"/>
        <v>0</v>
      </c>
      <c r="AF40" s="89">
        <f t="shared" si="30"/>
        <v>0</v>
      </c>
      <c r="AG40" s="89">
        <f t="shared" si="30"/>
        <v>0</v>
      </c>
      <c r="AH40" s="89">
        <f t="shared" si="30"/>
        <v>0</v>
      </c>
      <c r="AI40" s="89">
        <f t="shared" si="30"/>
        <v>0</v>
      </c>
      <c r="AJ40" s="89">
        <f t="shared" si="30"/>
        <v>0</v>
      </c>
      <c r="AK40" s="89">
        <f t="shared" si="30"/>
        <v>0</v>
      </c>
      <c r="AL40" s="104" t="str">
        <f>IFERROR(AVERAGE(B40:M40),"")</f>
        <v/>
      </c>
      <c r="AM40" s="100">
        <f>IF(AM11=0,0,AM$29/AM11)</f>
        <v>0</v>
      </c>
      <c r="AN40" s="100">
        <f>IF(AN11=0,0,AN$29/AN11)</f>
        <v>9497594</v>
      </c>
      <c r="AO40" s="89"/>
      <c r="AP40" s="89"/>
      <c r="AQ40" s="89"/>
      <c r="AR40" s="89"/>
      <c r="AS40" s="89"/>
      <c r="AT40" s="89"/>
      <c r="AU40" s="89"/>
      <c r="AV40" s="89"/>
      <c r="AW40" s="89"/>
      <c r="AX40" s="89"/>
    </row>
    <row r="42" spans="1:50" ht="18">
      <c r="AO42" s="35"/>
      <c r="AP42" s="35"/>
      <c r="AQ42" s="35"/>
      <c r="AR42" s="35"/>
      <c r="AS42" s="35"/>
      <c r="AT42" s="35"/>
    </row>
    <row r="43" spans="1:50" ht="15.75" customHeight="1">
      <c r="AO43" s="35"/>
      <c r="AP43" s="35"/>
      <c r="AQ43" s="35"/>
      <c r="AR43" s="35"/>
      <c r="AS43" s="35"/>
      <c r="AT43" s="35"/>
    </row>
    <row r="44" spans="1:50" ht="18">
      <c r="A44" s="49" t="s">
        <v>56</v>
      </c>
      <c r="AO44" s="35"/>
      <c r="AP44" s="35"/>
      <c r="AQ44" s="35"/>
      <c r="AR44" s="35"/>
      <c r="AS44" s="35"/>
      <c r="AT44" s="35"/>
    </row>
    <row r="45" spans="1:50" ht="18">
      <c r="A45" s="1" t="s">
        <v>57</v>
      </c>
      <c r="B45" s="2" t="s">
        <v>19</v>
      </c>
      <c r="C45" s="2" t="s">
        <v>19</v>
      </c>
      <c r="D45" s="2" t="s">
        <v>19</v>
      </c>
      <c r="E45" s="2">
        <v>0</v>
      </c>
      <c r="F45" s="2">
        <v>2</v>
      </c>
      <c r="G45" s="2">
        <v>3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f>COUNTIFS([5]流入チャネル別顧客一覧_ユニーク!$C:$C,"&gt;="&amp;N$3,[5]流入チャネル別顧客一覧_ユニーク!$C:$C,"&lt;"&amp;EDATE(N$3,1),[5]流入チャネル別顧客一覧_ユニーク!$H:$H,"organic")+COUNTIFS([5]流入チャネル別顧客一覧_ユニーク!$C:$C,"&gt;="&amp;N$3,[5]流入チャネル別顧客一覧_ユニーク!$C:$C,"&lt;"&amp;EDATE(N$3,1),[5]流入チャネル別顧客一覧_ユニーク!$H:$H,"オーガニック検索")+COUNTIFS([5]流入チャネル別顧客一覧_ユニーク!$C:$C,"&gt;="&amp;N$3,[5]流入チャネル別顧客一覧_ユニーク!$C:$C,"&lt;"&amp;EDATE(N$3,1),[5]流入チャネル別顧客一覧_ユニーク!$H:$H,"column")+COUNTIFS([5]流入チャネル別顧客一覧_ユニーク!$C:$C,"&gt;="&amp;N$3,[5]流入チャネル別顧客一覧_ユニーク!$C:$C,"&lt;"&amp;EDATE(N$3,1),[5]流入チャネル別顧客一覧_ユニーク!$H:$H,"case")</f>
        <v>0</v>
      </c>
      <c r="O45" s="2">
        <f>COUNTIFS([5]流入チャネル別顧客一覧_ユニーク!$C:$C,"&gt;="&amp;O$3,[5]流入チャネル別顧客一覧_ユニーク!$C:$C,"&lt;"&amp;EDATE(O$3,1),[5]流入チャネル別顧客一覧_ユニーク!$H:$H,"organic")+COUNTIFS([5]流入チャネル別顧客一覧_ユニーク!$C:$C,"&gt;="&amp;O$3,[5]流入チャネル別顧客一覧_ユニーク!$C:$C,"&lt;"&amp;EDATE(O$3,1),[5]流入チャネル別顧客一覧_ユニーク!$H:$H,"オーガニック検索")+COUNTIFS([5]流入チャネル別顧客一覧_ユニーク!$C:$C,"&gt;="&amp;O$3,[5]流入チャネル別顧客一覧_ユニーク!$C:$C,"&lt;"&amp;EDATE(O$3,1),[5]流入チャネル別顧客一覧_ユニーク!$H:$H,"column")+COUNTIFS([5]流入チャネル別顧客一覧_ユニーク!$C:$C,"&gt;="&amp;O$3,[5]流入チャネル別顧客一覧_ユニーク!$C:$C,"&lt;"&amp;EDATE(O$3,1),[5]流入チャネル別顧客一覧_ユニーク!$H:$H,"case")</f>
        <v>0</v>
      </c>
      <c r="P45" s="2">
        <f>COUNTIFS([5]流入チャネル別顧客一覧_ユニーク!$C:$C,"&gt;="&amp;P$3,[5]流入チャネル別顧客一覧_ユニーク!$C:$C,"&lt;"&amp;EDATE(P$3,1),[5]流入チャネル別顧客一覧_ユニーク!$H:$H,"organic")+COUNTIFS([5]流入チャネル別顧客一覧_ユニーク!$C:$C,"&gt;="&amp;P$3,[5]流入チャネル別顧客一覧_ユニーク!$C:$C,"&lt;"&amp;EDATE(P$3,1),[5]流入チャネル別顧客一覧_ユニーク!$H:$H,"オーガニック検索")+COUNTIFS([5]流入チャネル別顧客一覧_ユニーク!$C:$C,"&gt;="&amp;P$3,[5]流入チャネル別顧客一覧_ユニーク!$C:$C,"&lt;"&amp;EDATE(P$3,1),[5]流入チャネル別顧客一覧_ユニーク!$H:$H,"column")+COUNTIFS([5]流入チャネル別顧客一覧_ユニーク!$C:$C,"&gt;="&amp;P$3,[5]流入チャネル別顧客一覧_ユニーク!$C:$C,"&lt;"&amp;EDATE(P$3,1),[5]流入チャネル別顧客一覧_ユニーク!$H:$H,"case")</f>
        <v>0</v>
      </c>
      <c r="Q45" s="2">
        <f>COUNTIFS([5]流入チャネル別顧客一覧_ユニーク!$C:$C,"&gt;="&amp;Q$3,[5]流入チャネル別顧客一覧_ユニーク!$C:$C,"&lt;"&amp;EDATE(Q$3,1),[5]流入チャネル別顧客一覧_ユニーク!$H:$H,"organic")+COUNTIFS([5]流入チャネル別顧客一覧_ユニーク!$C:$C,"&gt;="&amp;Q$3,[5]流入チャネル別顧客一覧_ユニーク!$C:$C,"&lt;"&amp;EDATE(Q$3,1),[5]流入チャネル別顧客一覧_ユニーク!$H:$H,"オーガニック検索")+COUNTIFS([5]流入チャネル別顧客一覧_ユニーク!$C:$C,"&gt;="&amp;Q$3,[5]流入チャネル別顧客一覧_ユニーク!$C:$C,"&lt;"&amp;EDATE(Q$3,1),[5]流入チャネル別顧客一覧_ユニーク!$H:$H,"column")+COUNTIFS([5]流入チャネル別顧客一覧_ユニーク!$C:$C,"&gt;="&amp;Q$3,[5]流入チャネル別顧客一覧_ユニーク!$C:$C,"&lt;"&amp;EDATE(Q$3,1),[5]流入チャネル別顧客一覧_ユニーク!$H:$H,"case")</f>
        <v>2</v>
      </c>
      <c r="R45" s="2">
        <f>COUNTIFS([5]流入チャネル別顧客一覧_ユニーク!$C:$C,"&gt;="&amp;R$3,[5]流入チャネル別顧客一覧_ユニーク!$C:$C,"&lt;"&amp;EDATE(R$3,1),[5]流入チャネル別顧客一覧_ユニーク!$H:$H,"organic")+COUNTIFS([5]流入チャネル別顧客一覧_ユニーク!$C:$C,"&gt;="&amp;R$3,[5]流入チャネル別顧客一覧_ユニーク!$C:$C,"&lt;"&amp;EDATE(R$3,1),[5]流入チャネル別顧客一覧_ユニーク!$H:$H,"オーガニック検索")+COUNTIFS([5]流入チャネル別顧客一覧_ユニーク!$C:$C,"&gt;="&amp;R$3,[5]流入チャネル別顧客一覧_ユニーク!$C:$C,"&lt;"&amp;EDATE(R$3,1),[5]流入チャネル別顧客一覧_ユニーク!$H:$H,"column")+COUNTIFS([5]流入チャネル別顧客一覧_ユニーク!$C:$C,"&gt;="&amp;R$3,[5]流入チャネル別顧客一覧_ユニーク!$C:$C,"&lt;"&amp;EDATE(R$3,1),[5]流入チャネル別顧客一覧_ユニーク!$H:$H,"case")</f>
        <v>1</v>
      </c>
      <c r="S45" s="2">
        <f>COUNTIFS([5]流入チャネル別顧客一覧_ユニーク!$C:$C,"&gt;="&amp;S$3,[5]流入チャネル別顧客一覧_ユニーク!$C:$C,"&lt;"&amp;EDATE(S$3,1),[5]流入チャネル別顧客一覧_ユニーク!$H:$H,"organic")+COUNTIFS([5]流入チャネル別顧客一覧_ユニーク!$C:$C,"&gt;="&amp;S$3,[5]流入チャネル別顧客一覧_ユニーク!$C:$C,"&lt;"&amp;EDATE(S$3,1),[5]流入チャネル別顧客一覧_ユニーク!$H:$H,"オーガニック検索")+COUNTIFS([5]流入チャネル別顧客一覧_ユニーク!$C:$C,"&gt;="&amp;S$3,[5]流入チャネル別顧客一覧_ユニーク!$C:$C,"&lt;"&amp;EDATE(S$3,1),[5]流入チャネル別顧客一覧_ユニーク!$H:$H,"column")+COUNTIFS([5]流入チャネル別顧客一覧_ユニーク!$C:$C,"&gt;="&amp;S$3,[5]流入チャネル別顧客一覧_ユニーク!$C:$C,"&lt;"&amp;EDATE(S$3,1),[5]流入チャネル別顧客一覧_ユニーク!$H:$H,"case")</f>
        <v>0</v>
      </c>
      <c r="T45" s="2">
        <f>COUNTIFS([5]流入チャネル別顧客一覧_ユニーク!$C:$C,"&gt;="&amp;T$3,[5]流入チャネル別顧客一覧_ユニーク!$C:$C,"&lt;"&amp;EDATE(T$3,1),[5]流入チャネル別顧客一覧_ユニーク!$H:$H,"organic")+COUNTIFS([5]流入チャネル別顧客一覧_ユニーク!$C:$C,"&gt;="&amp;T$3,[5]流入チャネル別顧客一覧_ユニーク!$C:$C,"&lt;"&amp;EDATE(T$3,1),[5]流入チャネル別顧客一覧_ユニーク!$H:$H,"オーガニック検索")+COUNTIFS([5]流入チャネル別顧客一覧_ユニーク!$C:$C,"&gt;="&amp;T$3,[5]流入チャネル別顧客一覧_ユニーク!$C:$C,"&lt;"&amp;EDATE(T$3,1),[5]流入チャネル別顧客一覧_ユニーク!$H:$H,"column")+COUNTIFS([5]流入チャネル別顧客一覧_ユニーク!$C:$C,"&gt;="&amp;T$3,[5]流入チャネル別顧客一覧_ユニーク!$C:$C,"&lt;"&amp;EDATE(T$3,1),[5]流入チャネル別顧客一覧_ユニーク!$H:$H,"case")</f>
        <v>0</v>
      </c>
      <c r="U45" s="2">
        <f>COUNTIFS([5]流入チャネル別顧客一覧_ユニーク!$C:$C,"&gt;="&amp;U$3,[5]流入チャネル別顧客一覧_ユニーク!$C:$C,"&lt;"&amp;EDATE(U$3,1),[5]流入チャネル別顧客一覧_ユニーク!$H:$H,"organic")+COUNTIFS([5]流入チャネル別顧客一覧_ユニーク!$C:$C,"&gt;="&amp;U$3,[5]流入チャネル別顧客一覧_ユニーク!$C:$C,"&lt;"&amp;EDATE(U$3,1),[5]流入チャネル別顧客一覧_ユニーク!$H:$H,"オーガニック検索")+COUNTIFS([5]流入チャネル別顧客一覧_ユニーク!$C:$C,"&gt;="&amp;U$3,[5]流入チャネル別顧客一覧_ユニーク!$C:$C,"&lt;"&amp;EDATE(U$3,1),[5]流入チャネル別顧客一覧_ユニーク!$H:$H,"column")+COUNTIFS([5]流入チャネル別顧客一覧_ユニーク!$C:$C,"&gt;="&amp;U$3,[5]流入チャネル別顧客一覧_ユニーク!$C:$C,"&lt;"&amp;EDATE(U$3,1),[5]流入チャネル別顧客一覧_ユニーク!$H:$H,"case")</f>
        <v>0</v>
      </c>
      <c r="V45" s="2">
        <f>COUNTIFS([5]流入チャネル別顧客一覧_ユニーク!$C:$C,"&gt;="&amp;V$3,[5]流入チャネル別顧客一覧_ユニーク!$C:$C,"&lt;"&amp;EDATE(V$3,1),[5]流入チャネル別顧客一覧_ユニーク!$H:$H,"organic")+COUNTIFS([5]流入チャネル別顧客一覧_ユニーク!$C:$C,"&gt;="&amp;V$3,[5]流入チャネル別顧客一覧_ユニーク!$C:$C,"&lt;"&amp;EDATE(V$3,1),[5]流入チャネル別顧客一覧_ユニーク!$H:$H,"オーガニック検索")+COUNTIFS([5]流入チャネル別顧客一覧_ユニーク!$C:$C,"&gt;="&amp;V$3,[5]流入チャネル別顧客一覧_ユニーク!$C:$C,"&lt;"&amp;EDATE(V$3,1),[5]流入チャネル別顧客一覧_ユニーク!$H:$H,"column")+COUNTIFS([5]流入チャネル別顧客一覧_ユニーク!$C:$C,"&gt;="&amp;V$3,[5]流入チャネル別顧客一覧_ユニーク!$C:$C,"&lt;"&amp;EDATE(V$3,1),[5]流入チャネル別顧客一覧_ユニーク!$H:$H,"case")</f>
        <v>0</v>
      </c>
      <c r="W45" s="2">
        <f>COUNTIFS([5]流入チャネル別顧客一覧_ユニーク!$C:$C,"&gt;="&amp;W$3,[5]流入チャネル別顧客一覧_ユニーク!$C:$C,"&lt;"&amp;EDATE(W$3,1),[5]流入チャネル別顧客一覧_ユニーク!$H:$H,"organic")+COUNTIFS([5]流入チャネル別顧客一覧_ユニーク!$C:$C,"&gt;="&amp;W$3,[5]流入チャネル別顧客一覧_ユニーク!$C:$C,"&lt;"&amp;EDATE(W$3,1),[5]流入チャネル別顧客一覧_ユニーク!$H:$H,"オーガニック検索")+COUNTIFS([5]流入チャネル別顧客一覧_ユニーク!$C:$C,"&gt;="&amp;W$3,[5]流入チャネル別顧客一覧_ユニーク!$C:$C,"&lt;"&amp;EDATE(W$3,1),[5]流入チャネル別顧客一覧_ユニーク!$H:$H,"column")+COUNTIFS([5]流入チャネル別顧客一覧_ユニーク!$C:$C,"&gt;="&amp;W$3,[5]流入チャネル別顧客一覧_ユニーク!$C:$C,"&lt;"&amp;EDATE(W$3,1),[5]流入チャネル別顧客一覧_ユニーク!$H:$H,"case")</f>
        <v>0</v>
      </c>
      <c r="X45" s="2">
        <f>COUNTIFS([5]流入チャネル別顧客一覧_ユニーク!$C:$C,"&gt;="&amp;X$3,[5]流入チャネル別顧客一覧_ユニーク!$C:$C,"&lt;"&amp;EDATE(X$3,1),[5]流入チャネル別顧客一覧_ユニーク!$H:$H,"organic")+COUNTIFS([5]流入チャネル別顧客一覧_ユニーク!$C:$C,"&gt;="&amp;X$3,[5]流入チャネル別顧客一覧_ユニーク!$C:$C,"&lt;"&amp;EDATE(X$3,1),[5]流入チャネル別顧客一覧_ユニーク!$H:$H,"オーガニック検索")+COUNTIFS([5]流入チャネル別顧客一覧_ユニーク!$C:$C,"&gt;="&amp;X$3,[5]流入チャネル別顧客一覧_ユニーク!$C:$C,"&lt;"&amp;EDATE(X$3,1),[5]流入チャネル別顧客一覧_ユニーク!$H:$H,"column")+COUNTIFS([5]流入チャネル別顧客一覧_ユニーク!$C:$C,"&gt;="&amp;X$3,[5]流入チャネル別顧客一覧_ユニーク!$C:$C,"&lt;"&amp;EDATE(X$3,1),[5]流入チャネル別顧客一覧_ユニーク!$H:$H,"case")</f>
        <v>1</v>
      </c>
      <c r="Y45" s="2">
        <f>COUNTIFS([5]流入チャネル別顧客一覧_ユニーク!$C:$C,"&gt;="&amp;Y$3,[5]流入チャネル別顧客一覧_ユニーク!$C:$C,"&lt;"&amp;EDATE(Y$3,1),[5]流入チャネル別顧客一覧_ユニーク!$H:$H,"organic")+COUNTIFS([5]流入チャネル別顧客一覧_ユニーク!$C:$C,"&gt;="&amp;Y$3,[5]流入チャネル別顧客一覧_ユニーク!$C:$C,"&lt;"&amp;EDATE(Y$3,1),[5]流入チャネル別顧客一覧_ユニーク!$H:$H,"オーガニック検索")+COUNTIFS([5]流入チャネル別顧客一覧_ユニーク!$C:$C,"&gt;="&amp;Y$3,[5]流入チャネル別顧客一覧_ユニーク!$C:$C,"&lt;"&amp;EDATE(Y$3,1),[5]流入チャネル別顧客一覧_ユニーク!$H:$H,"column")+COUNTIFS([5]流入チャネル別顧客一覧_ユニーク!$C:$C,"&gt;="&amp;Y$3,[5]流入チャネル別顧客一覧_ユニーク!$C:$C,"&lt;"&amp;EDATE(Y$3,1),[5]流入チャネル別顧客一覧_ユニーク!$H:$H,"case")</f>
        <v>1</v>
      </c>
      <c r="Z45" s="2">
        <f>COUNTIFS([5]流入チャネル別顧客一覧_ユニーク!$C:$C,"&gt;="&amp;Z$3,[5]流入チャネル別顧客一覧_ユニーク!$C:$C,"&lt;"&amp;EDATE(Z$3,1),[5]流入チャネル別顧客一覧_ユニーク!$H:$H,"organic")+COUNTIFS([5]流入チャネル別顧客一覧_ユニーク!$C:$C,"&gt;="&amp;Z$3,[5]流入チャネル別顧客一覧_ユニーク!$C:$C,"&lt;"&amp;EDATE(Z$3,1),[5]流入チャネル別顧客一覧_ユニーク!$H:$H,"オーガニック検索")+COUNTIFS([5]流入チャネル別顧客一覧_ユニーク!$C:$C,"&gt;="&amp;Z$3,[5]流入チャネル別顧客一覧_ユニーク!$C:$C,"&lt;"&amp;EDATE(Z$3,1),[5]流入チャネル別顧客一覧_ユニーク!$H:$H,"column")+COUNTIFS([5]流入チャネル別顧客一覧_ユニーク!$C:$C,"&gt;="&amp;Z$3,[5]流入チャネル別顧客一覧_ユニーク!$C:$C,"&lt;"&amp;EDATE(Z$3,1),[5]流入チャネル別顧客一覧_ユニーク!$H:$H,"case")</f>
        <v>1</v>
      </c>
      <c r="AA45" s="2">
        <f>COUNTIFS([5]流入チャネル別顧客一覧_ユニーク!$C:$C,"&gt;="&amp;AA$3,[5]流入チャネル別顧客一覧_ユニーク!$C:$C,"&lt;"&amp;EDATE(AA$3,1),[5]流入チャネル別顧客一覧_ユニーク!$H:$H,"organic")+COUNTIFS([5]流入チャネル別顧客一覧_ユニーク!$C:$C,"&gt;="&amp;AA$3,[5]流入チャネル別顧客一覧_ユニーク!$C:$C,"&lt;"&amp;EDATE(AA$3,1),[5]流入チャネル別顧客一覧_ユニーク!$H:$H,"オーガニック検索")+COUNTIFS([5]流入チャネル別顧客一覧_ユニーク!$C:$C,"&gt;="&amp;AA$3,[5]流入チャネル別顧客一覧_ユニーク!$C:$C,"&lt;"&amp;EDATE(AA$3,1),[5]流入チャネル別顧客一覧_ユニーク!$H:$H,"column")+COUNTIFS([5]流入チャネル別顧客一覧_ユニーク!$C:$C,"&gt;="&amp;AA$3,[5]流入チャネル別顧客一覧_ユニーク!$C:$C,"&lt;"&amp;EDATE(AA$3,1),[5]流入チャネル別顧客一覧_ユニーク!$H:$H,"case")</f>
        <v>0</v>
      </c>
      <c r="AB45" s="2">
        <f>COUNTIFS([5]流入チャネル別顧客一覧_ユニーク!$C:$C,"&gt;="&amp;AB$3,[5]流入チャネル別顧客一覧_ユニーク!$C:$C,"&lt;"&amp;EDATE(AB$3,1),[5]流入チャネル別顧客一覧_ユニーク!$H:$H,"organic")+COUNTIFS([5]流入チャネル別顧客一覧_ユニーク!$C:$C,"&gt;="&amp;AB$3,[5]流入チャネル別顧客一覧_ユニーク!$C:$C,"&lt;"&amp;EDATE(AB$3,1),[5]流入チャネル別顧客一覧_ユニーク!$H:$H,"オーガニック検索")+COUNTIFS([5]流入チャネル別顧客一覧_ユニーク!$C:$C,"&gt;="&amp;AB$3,[5]流入チャネル別顧客一覧_ユニーク!$C:$C,"&lt;"&amp;EDATE(AB$3,1),[5]流入チャネル別顧客一覧_ユニーク!$H:$H,"column")+COUNTIFS([5]流入チャネル別顧客一覧_ユニーク!$C:$C,"&gt;="&amp;AB$3,[5]流入チャネル別顧客一覧_ユニーク!$C:$C,"&lt;"&amp;EDATE(AB$3,1),[5]流入チャネル別顧客一覧_ユニーク!$H:$H,"case")</f>
        <v>0</v>
      </c>
      <c r="AC45" s="2">
        <f>COUNTIFS([5]流入チャネル別顧客一覧_ユニーク!$C:$C,"&gt;="&amp;AC$3,[5]流入チャネル別顧客一覧_ユニーク!$C:$C,"&lt;"&amp;EDATE(AC$3,1),[5]流入チャネル別顧客一覧_ユニーク!$H:$H,"organic")+COUNTIFS([5]流入チャネル別顧客一覧_ユニーク!$C:$C,"&gt;="&amp;AC$3,[5]流入チャネル別顧客一覧_ユニーク!$C:$C,"&lt;"&amp;EDATE(AC$3,1),[5]流入チャネル別顧客一覧_ユニーク!$H:$H,"オーガニック検索")+COUNTIFS([5]流入チャネル別顧客一覧_ユニーク!$C:$C,"&gt;="&amp;AC$3,[5]流入チャネル別顧客一覧_ユニーク!$C:$C,"&lt;"&amp;EDATE(AC$3,1),[5]流入チャネル別顧客一覧_ユニーク!$H:$H,"column")+COUNTIFS([5]流入チャネル別顧客一覧_ユニーク!$C:$C,"&gt;="&amp;AC$3,[5]流入チャネル別顧客一覧_ユニーク!$C:$C,"&lt;"&amp;EDATE(AC$3,1),[5]流入チャネル別顧客一覧_ユニーク!$H:$H,"case")</f>
        <v>0</v>
      </c>
      <c r="AD45" s="2">
        <f>COUNTIFS([5]流入チャネル別顧客一覧_ユニーク!$C:$C,"&gt;="&amp;AD$3,[5]流入チャネル別顧客一覧_ユニーク!$C:$C,"&lt;"&amp;EDATE(AD$3,1),[5]流入チャネル別顧客一覧_ユニーク!$H:$H,"organic")+COUNTIFS([5]流入チャネル別顧客一覧_ユニーク!$C:$C,"&gt;="&amp;AD$3,[5]流入チャネル別顧客一覧_ユニーク!$C:$C,"&lt;"&amp;EDATE(AD$3,1),[5]流入チャネル別顧客一覧_ユニーク!$H:$H,"オーガニック検索")+COUNTIFS([5]流入チャネル別顧客一覧_ユニーク!$C:$C,"&gt;="&amp;AD$3,[5]流入チャネル別顧客一覧_ユニーク!$C:$C,"&lt;"&amp;EDATE(AD$3,1),[5]流入チャネル別顧客一覧_ユニーク!$H:$H,"column")+COUNTIFS([5]流入チャネル別顧客一覧_ユニーク!$C:$C,"&gt;="&amp;AD$3,[5]流入チャネル別顧客一覧_ユニーク!$C:$C,"&lt;"&amp;EDATE(AD$3,1),[5]流入チャネル別顧客一覧_ユニーク!$H:$H,"case")</f>
        <v>0</v>
      </c>
      <c r="AE45" s="2">
        <f>COUNTIFS([5]流入チャネル別顧客一覧_ユニーク!$C:$C,"&gt;="&amp;AE$3,[5]流入チャネル別顧客一覧_ユニーク!$C:$C,"&lt;"&amp;EDATE(AE$3,1),[5]流入チャネル別顧客一覧_ユニーク!$H:$H,"organic")+COUNTIFS([5]流入チャネル別顧客一覧_ユニーク!$C:$C,"&gt;="&amp;AE$3,[5]流入チャネル別顧客一覧_ユニーク!$C:$C,"&lt;"&amp;EDATE(AE$3,1),[5]流入チャネル別顧客一覧_ユニーク!$H:$H,"オーガニック検索")+COUNTIFS([5]流入チャネル別顧客一覧_ユニーク!$C:$C,"&gt;="&amp;AE$3,[5]流入チャネル別顧客一覧_ユニーク!$C:$C,"&lt;"&amp;EDATE(AE$3,1),[5]流入チャネル別顧客一覧_ユニーク!$H:$H,"column")+COUNTIFS([5]流入チャネル別顧客一覧_ユニーク!$C:$C,"&gt;="&amp;AE$3,[5]流入チャネル別顧客一覧_ユニーク!$C:$C,"&lt;"&amp;EDATE(AE$3,1),[5]流入チャネル別顧客一覧_ユニーク!$H:$H,"case")</f>
        <v>0</v>
      </c>
      <c r="AF45" s="2">
        <f>COUNTIFS([5]流入チャネル別顧客一覧_ユニーク!$C:$C,"&gt;="&amp;AF$3,[5]流入チャネル別顧客一覧_ユニーク!$C:$C,"&lt;"&amp;EDATE(AF$3,1),[5]流入チャネル別顧客一覧_ユニーク!$H:$H,"organic")+COUNTIFS([5]流入チャネル別顧客一覧_ユニーク!$C:$C,"&gt;="&amp;AF$3,[5]流入チャネル別顧客一覧_ユニーク!$C:$C,"&lt;"&amp;EDATE(AF$3,1),[5]流入チャネル別顧客一覧_ユニーク!$H:$H,"オーガニック検索")+COUNTIFS([5]流入チャネル別顧客一覧_ユニーク!$C:$C,"&gt;="&amp;AF$3,[5]流入チャネル別顧客一覧_ユニーク!$C:$C,"&lt;"&amp;EDATE(AF$3,1),[5]流入チャネル別顧客一覧_ユニーク!$H:$H,"column")+COUNTIFS([5]流入チャネル別顧客一覧_ユニーク!$C:$C,"&gt;="&amp;AF$3,[5]流入チャネル別顧客一覧_ユニーク!$C:$C,"&lt;"&amp;EDATE(AF$3,1),[5]流入チャネル別顧客一覧_ユニーク!$H:$H,"case")</f>
        <v>0</v>
      </c>
      <c r="AG45" s="2">
        <f>COUNTIFS([5]流入チャネル別顧客一覧_ユニーク!$C:$C,"&gt;="&amp;AG$3,[5]流入チャネル別顧客一覧_ユニーク!$C:$C,"&lt;"&amp;EDATE(AG$3,1),[5]流入チャネル別顧客一覧_ユニーク!$H:$H,"organic")+COUNTIFS([5]流入チャネル別顧客一覧_ユニーク!$C:$C,"&gt;="&amp;AG$3,[5]流入チャネル別顧客一覧_ユニーク!$C:$C,"&lt;"&amp;EDATE(AG$3,1),[5]流入チャネル別顧客一覧_ユニーク!$H:$H,"オーガニック検索")+COUNTIFS([5]流入チャネル別顧客一覧_ユニーク!$C:$C,"&gt;="&amp;AG$3,[5]流入チャネル別顧客一覧_ユニーク!$C:$C,"&lt;"&amp;EDATE(AG$3,1),[5]流入チャネル別顧客一覧_ユニーク!$H:$H,"column")+COUNTIFS([5]流入チャネル別顧客一覧_ユニーク!$C:$C,"&gt;="&amp;AG$3,[5]流入チャネル別顧客一覧_ユニーク!$C:$C,"&lt;"&amp;EDATE(AG$3,1),[5]流入チャネル別顧客一覧_ユニーク!$H:$H,"case")</f>
        <v>0</v>
      </c>
      <c r="AH45" s="2">
        <f>COUNTIFS([5]流入チャネル別顧客一覧_ユニーク!$C:$C,"&gt;="&amp;AH$3,[5]流入チャネル別顧客一覧_ユニーク!$C:$C,"&lt;"&amp;EDATE(AH$3,1),[5]流入チャネル別顧客一覧_ユニーク!$H:$H,"organic")+COUNTIFS([5]流入チャネル別顧客一覧_ユニーク!$C:$C,"&gt;="&amp;AH$3,[5]流入チャネル別顧客一覧_ユニーク!$C:$C,"&lt;"&amp;EDATE(AH$3,1),[5]流入チャネル別顧客一覧_ユニーク!$H:$H,"オーガニック検索")+COUNTIFS([5]流入チャネル別顧客一覧_ユニーク!$C:$C,"&gt;="&amp;AH$3,[5]流入チャネル別顧客一覧_ユニーク!$C:$C,"&lt;"&amp;EDATE(AH$3,1),[5]流入チャネル別顧客一覧_ユニーク!$H:$H,"column")+COUNTIFS([5]流入チャネル別顧客一覧_ユニーク!$C:$C,"&gt;="&amp;AH$3,[5]流入チャネル別顧客一覧_ユニーク!$C:$C,"&lt;"&amp;EDATE(AH$3,1),[5]流入チャネル別顧客一覧_ユニーク!$H:$H,"case")</f>
        <v>0</v>
      </c>
      <c r="AI45" s="2">
        <f>COUNTIFS([5]流入チャネル別顧客一覧_ユニーク!$C:$C,"&gt;="&amp;AI$3,[5]流入チャネル別顧客一覧_ユニーク!$C:$C,"&lt;"&amp;EDATE(AI$3,1),[5]流入チャネル別顧客一覧_ユニーク!$H:$H,"organic")+COUNTIFS([5]流入チャネル別顧客一覧_ユニーク!$C:$C,"&gt;="&amp;AI$3,[5]流入チャネル別顧客一覧_ユニーク!$C:$C,"&lt;"&amp;EDATE(AI$3,1),[5]流入チャネル別顧客一覧_ユニーク!$H:$H,"オーガニック検索")+COUNTIFS([5]流入チャネル別顧客一覧_ユニーク!$C:$C,"&gt;="&amp;AI$3,[5]流入チャネル別顧客一覧_ユニーク!$C:$C,"&lt;"&amp;EDATE(AI$3,1),[5]流入チャネル別顧客一覧_ユニーク!$H:$H,"column")+COUNTIFS([5]流入チャネル別顧客一覧_ユニーク!$C:$C,"&gt;="&amp;AI$3,[5]流入チャネル別顧客一覧_ユニーク!$C:$C,"&lt;"&amp;EDATE(AI$3,1),[5]流入チャネル別顧客一覧_ユニーク!$H:$H,"case")</f>
        <v>0</v>
      </c>
      <c r="AJ45" s="2">
        <f>COUNTIFS([5]流入チャネル別顧客一覧_ユニーク!$C:$C,"&gt;="&amp;AJ$3,[5]流入チャネル別顧客一覧_ユニーク!$C:$C,"&lt;"&amp;EDATE(AJ$3,1),[5]流入チャネル別顧客一覧_ユニーク!$H:$H,"organic")+COUNTIFS([5]流入チャネル別顧客一覧_ユニーク!$C:$C,"&gt;="&amp;AJ$3,[5]流入チャネル別顧客一覧_ユニーク!$C:$C,"&lt;"&amp;EDATE(AJ$3,1),[5]流入チャネル別顧客一覧_ユニーク!$H:$H,"オーガニック検索")+COUNTIFS([5]流入チャネル別顧客一覧_ユニーク!$C:$C,"&gt;="&amp;AJ$3,[5]流入チャネル別顧客一覧_ユニーク!$C:$C,"&lt;"&amp;EDATE(AJ$3,1),[5]流入チャネル別顧客一覧_ユニーク!$H:$H,"column")+COUNTIFS([5]流入チャネル別顧客一覧_ユニーク!$C:$C,"&gt;="&amp;AJ$3,[5]流入チャネル別顧客一覧_ユニーク!$C:$C,"&lt;"&amp;EDATE(AJ$3,1),[5]流入チャネル別顧客一覧_ユニーク!$H:$H,"case")</f>
        <v>0</v>
      </c>
      <c r="AK45" s="2">
        <f>COUNTIFS([5]流入チャネル別顧客一覧_ユニーク!$C:$C,"&gt;="&amp;AK$3,[5]流入チャネル別顧客一覧_ユニーク!$C:$C,"&lt;"&amp;EDATE(AK$3,1),[5]流入チャネル別顧客一覧_ユニーク!$H:$H,"organic")+COUNTIFS([5]流入チャネル別顧客一覧_ユニーク!$C:$C,"&gt;="&amp;AK$3,[5]流入チャネル別顧客一覧_ユニーク!$C:$C,"&lt;"&amp;EDATE(AK$3,1),[5]流入チャネル別顧客一覧_ユニーク!$H:$H,"オーガニック検索")+COUNTIFS([5]流入チャネル別顧客一覧_ユニーク!$C:$C,"&gt;="&amp;AK$3,[5]流入チャネル別顧客一覧_ユニーク!$C:$C,"&lt;"&amp;EDATE(AK$3,1),[5]流入チャネル別顧客一覧_ユニーク!$H:$H,"column")+COUNTIFS([5]流入チャネル別顧客一覧_ユニーク!$C:$C,"&gt;="&amp;AK$3,[5]流入チャネル別顧客一覧_ユニーク!$C:$C,"&lt;"&amp;EDATE(AK$3,1),[5]流入チャネル別顧客一覧_ユニーク!$H:$H,"case")</f>
        <v>0</v>
      </c>
      <c r="AL45" s="8">
        <f>SUM(B45:M45)</f>
        <v>7</v>
      </c>
      <c r="AM45" s="2">
        <f>SUM(N45:Y45)</f>
        <v>5</v>
      </c>
      <c r="AN45" s="2">
        <f>SUM(Z45:AK45)</f>
        <v>1</v>
      </c>
      <c r="AO45" s="35"/>
      <c r="AP45" s="35"/>
      <c r="AQ45" s="35"/>
      <c r="AR45" s="35"/>
      <c r="AS45" s="35"/>
      <c r="AT45" s="35"/>
    </row>
    <row r="46" spans="1:50" ht="18">
      <c r="A46" s="1" t="s">
        <v>58</v>
      </c>
      <c r="B46" s="2" t="s">
        <v>19</v>
      </c>
      <c r="C46" s="2" t="s">
        <v>19</v>
      </c>
      <c r="D46" s="2" t="s">
        <v>19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3</v>
      </c>
      <c r="L46" s="2">
        <v>5</v>
      </c>
      <c r="M46" s="2">
        <v>5</v>
      </c>
      <c r="N46" s="2">
        <f>COUNTIFS([5]流入チャネル別顧客一覧_ユニーク!$C:$C,"&gt;="&amp;N$3,[5]流入チャネル別顧客一覧_ユニーク!$C:$C,"&lt;"&amp;EDATE(N$3,1),[5]流入チャネル別顧客一覧_ユニーク!$H:$H,"listing")+COUNTIFS([5]流入チャネル別顧客一覧_ユニーク!$C:$C,"&gt;="&amp;N$3,[5]流入チャネル別顧客一覧_ユニーク!$C:$C,"&lt;"&amp;EDATE(N$3,1),[5]流入チャネル別顧客一覧_ユニーク!$H:$H,"検索連動型広告")+COUNTIFS([5]流入チャネル別顧客一覧_ユニーク!$C:$C,"&gt;="&amp;N$3,[5]流入チャネル別顧客一覧_ユニーク!$C:$C,"&lt;"&amp;EDATE(N$3,1),[5]流入チャネル別顧客一覧_ユニーク!$H:$H,"display")</f>
        <v>2</v>
      </c>
      <c r="O46" s="2">
        <f>COUNTIFS([5]流入チャネル別顧客一覧_ユニーク!$C:$C,"&gt;="&amp;O$3,[5]流入チャネル別顧客一覧_ユニーク!$C:$C,"&lt;"&amp;EDATE(O$3,1),[5]流入チャネル別顧客一覧_ユニーク!$H:$H,"listing")+COUNTIFS([5]流入チャネル別顧客一覧_ユニーク!$C:$C,"&gt;="&amp;O$3,[5]流入チャネル別顧客一覧_ユニーク!$C:$C,"&lt;"&amp;EDATE(O$3,1),[5]流入チャネル別顧客一覧_ユニーク!$H:$H,"検索連動型広告")+COUNTIFS([5]流入チャネル別顧客一覧_ユニーク!$C:$C,"&gt;="&amp;O$3,[5]流入チャネル別顧客一覧_ユニーク!$C:$C,"&lt;"&amp;EDATE(O$3,1),[5]流入チャネル別顧客一覧_ユニーク!$H:$H,"display")</f>
        <v>4</v>
      </c>
      <c r="P46" s="2">
        <f>COUNTIFS([5]流入チャネル別顧客一覧_ユニーク!$C:$C,"&gt;="&amp;P$3,[5]流入チャネル別顧客一覧_ユニーク!$C:$C,"&lt;"&amp;EDATE(P$3,1),[5]流入チャネル別顧客一覧_ユニーク!$H:$H,"listing")+COUNTIFS([5]流入チャネル別顧客一覧_ユニーク!$C:$C,"&gt;="&amp;P$3,[5]流入チャネル別顧客一覧_ユニーク!$C:$C,"&lt;"&amp;EDATE(P$3,1),[5]流入チャネル別顧客一覧_ユニーク!$H:$H,"検索連動型広告")+COUNTIFS([5]流入チャネル別顧客一覧_ユニーク!$C:$C,"&gt;="&amp;P$3,[5]流入チャネル別顧客一覧_ユニーク!$C:$C,"&lt;"&amp;EDATE(P$3,1),[5]流入チャネル別顧客一覧_ユニーク!$H:$H,"display")</f>
        <v>1</v>
      </c>
      <c r="Q46" s="2">
        <f>COUNTIFS([5]流入チャネル別顧客一覧_ユニーク!$C:$C,"&gt;="&amp;Q$3,[5]流入チャネル別顧客一覧_ユニーク!$C:$C,"&lt;"&amp;EDATE(Q$3,1),[5]流入チャネル別顧客一覧_ユニーク!$H:$H,"listing")+COUNTIFS([5]流入チャネル別顧客一覧_ユニーク!$C:$C,"&gt;="&amp;Q$3,[5]流入チャネル別顧客一覧_ユニーク!$C:$C,"&lt;"&amp;EDATE(Q$3,1),[5]流入チャネル別顧客一覧_ユニーク!$H:$H,"検索連動型広告")+COUNTIFS([5]流入チャネル別顧客一覧_ユニーク!$C:$C,"&gt;="&amp;Q$3,[5]流入チャネル別顧客一覧_ユニーク!$C:$C,"&lt;"&amp;EDATE(Q$3,1),[5]流入チャネル別顧客一覧_ユニーク!$H:$H,"display")</f>
        <v>0</v>
      </c>
      <c r="R46" s="2">
        <f>COUNTIFS([5]流入チャネル別顧客一覧_ユニーク!$C:$C,"&gt;="&amp;R$3,[5]流入チャネル別顧客一覧_ユニーク!$C:$C,"&lt;"&amp;EDATE(R$3,1),[5]流入チャネル別顧客一覧_ユニーク!$H:$H,"listing")+COUNTIFS([5]流入チャネル別顧客一覧_ユニーク!$C:$C,"&gt;="&amp;R$3,[5]流入チャネル別顧客一覧_ユニーク!$C:$C,"&lt;"&amp;EDATE(R$3,1),[5]流入チャネル別顧客一覧_ユニーク!$H:$H,"検索連動型広告")+COUNTIFS([5]流入チャネル別顧客一覧_ユニーク!$C:$C,"&gt;="&amp;R$3,[5]流入チャネル別顧客一覧_ユニーク!$C:$C,"&lt;"&amp;EDATE(R$3,1),[5]流入チャネル別顧客一覧_ユニーク!$H:$H,"display")</f>
        <v>2</v>
      </c>
      <c r="S46" s="2">
        <f>COUNTIFS([5]流入チャネル別顧客一覧_ユニーク!$C:$C,"&gt;="&amp;S$3,[5]流入チャネル別顧客一覧_ユニーク!$C:$C,"&lt;"&amp;EDATE(S$3,1),[5]流入チャネル別顧客一覧_ユニーク!$H:$H,"listing")+COUNTIFS([5]流入チャネル別顧客一覧_ユニーク!$C:$C,"&gt;="&amp;S$3,[5]流入チャネル別顧客一覧_ユニーク!$C:$C,"&lt;"&amp;EDATE(S$3,1),[5]流入チャネル別顧客一覧_ユニーク!$H:$H,"検索連動型広告")+COUNTIFS([5]流入チャネル別顧客一覧_ユニーク!$C:$C,"&gt;="&amp;S$3,[5]流入チャネル別顧客一覧_ユニーク!$C:$C,"&lt;"&amp;EDATE(S$3,1),[5]流入チャネル別顧客一覧_ユニーク!$H:$H,"display")</f>
        <v>0</v>
      </c>
      <c r="T46" s="2">
        <f>COUNTIFS([5]流入チャネル別顧客一覧_ユニーク!$C:$C,"&gt;="&amp;T$3,[5]流入チャネル別顧客一覧_ユニーク!$C:$C,"&lt;"&amp;EDATE(T$3,1),[5]流入チャネル別顧客一覧_ユニーク!$H:$H,"listing")+COUNTIFS([5]流入チャネル別顧客一覧_ユニーク!$C:$C,"&gt;="&amp;T$3,[5]流入チャネル別顧客一覧_ユニーク!$C:$C,"&lt;"&amp;EDATE(T$3,1),[5]流入チャネル別顧客一覧_ユニーク!$H:$H,"検索連動型広告")+COUNTIFS([5]流入チャネル別顧客一覧_ユニーク!$C:$C,"&gt;="&amp;T$3,[5]流入チャネル別顧客一覧_ユニーク!$C:$C,"&lt;"&amp;EDATE(T$3,1),[5]流入チャネル別顧客一覧_ユニーク!$H:$H,"display")</f>
        <v>0</v>
      </c>
      <c r="U46" s="2">
        <f>COUNTIFS([5]流入チャネル別顧客一覧_ユニーク!$C:$C,"&gt;="&amp;U$3,[5]流入チャネル別顧客一覧_ユニーク!$C:$C,"&lt;"&amp;EDATE(U$3,1),[5]流入チャネル別顧客一覧_ユニーク!$H:$H,"listing")+COUNTIFS([5]流入チャネル別顧客一覧_ユニーク!$C:$C,"&gt;="&amp;U$3,[5]流入チャネル別顧客一覧_ユニーク!$C:$C,"&lt;"&amp;EDATE(U$3,1),[5]流入チャネル別顧客一覧_ユニーク!$H:$H,"検索連動型広告")+COUNTIFS([5]流入チャネル別顧客一覧_ユニーク!$C:$C,"&gt;="&amp;U$3,[5]流入チャネル別顧客一覧_ユニーク!$C:$C,"&lt;"&amp;EDATE(U$3,1),[5]流入チャネル別顧客一覧_ユニーク!$H:$H,"display")</f>
        <v>0</v>
      </c>
      <c r="V46" s="2">
        <f>COUNTIFS([5]流入チャネル別顧客一覧_ユニーク!$C:$C,"&gt;="&amp;V$3,[5]流入チャネル別顧客一覧_ユニーク!$C:$C,"&lt;"&amp;EDATE(V$3,1),[5]流入チャネル別顧客一覧_ユニーク!$H:$H,"listing")+COUNTIFS([5]流入チャネル別顧客一覧_ユニーク!$C:$C,"&gt;="&amp;V$3,[5]流入チャネル別顧客一覧_ユニーク!$C:$C,"&lt;"&amp;EDATE(V$3,1),[5]流入チャネル別顧客一覧_ユニーク!$H:$H,"検索連動型広告")+COUNTIFS([5]流入チャネル別顧客一覧_ユニーク!$C:$C,"&gt;="&amp;V$3,[5]流入チャネル別顧客一覧_ユニーク!$C:$C,"&lt;"&amp;EDATE(V$3,1),[5]流入チャネル別顧客一覧_ユニーク!$H:$H,"display")</f>
        <v>0</v>
      </c>
      <c r="W46" s="2">
        <f>COUNTIFS([5]流入チャネル別顧客一覧_ユニーク!$C:$C,"&gt;="&amp;W$3,[5]流入チャネル別顧客一覧_ユニーク!$C:$C,"&lt;"&amp;EDATE(W$3,1),[5]流入チャネル別顧客一覧_ユニーク!$H:$H,"listing")+COUNTIFS([5]流入チャネル別顧客一覧_ユニーク!$C:$C,"&gt;="&amp;W$3,[5]流入チャネル別顧客一覧_ユニーク!$C:$C,"&lt;"&amp;EDATE(W$3,1),[5]流入チャネル別顧客一覧_ユニーク!$H:$H,"検索連動型広告")+COUNTIFS([5]流入チャネル別顧客一覧_ユニーク!$C:$C,"&gt;="&amp;W$3,[5]流入チャネル別顧客一覧_ユニーク!$C:$C,"&lt;"&amp;EDATE(W$3,1),[5]流入チャネル別顧客一覧_ユニーク!$H:$H,"display")</f>
        <v>0</v>
      </c>
      <c r="X46" s="2">
        <f>COUNTIFS([5]流入チャネル別顧客一覧_ユニーク!$C:$C,"&gt;="&amp;X$3,[5]流入チャネル別顧客一覧_ユニーク!$C:$C,"&lt;"&amp;EDATE(X$3,1),[5]流入チャネル別顧客一覧_ユニーク!$H:$H,"listing")+COUNTIFS([5]流入チャネル別顧客一覧_ユニーク!$C:$C,"&gt;="&amp;X$3,[5]流入チャネル別顧客一覧_ユニーク!$C:$C,"&lt;"&amp;EDATE(X$3,1),[5]流入チャネル別顧客一覧_ユニーク!$H:$H,"検索連動型広告")+COUNTIFS([5]流入チャネル別顧客一覧_ユニーク!$C:$C,"&gt;="&amp;X$3,[5]流入チャネル別顧客一覧_ユニーク!$C:$C,"&lt;"&amp;EDATE(X$3,1),[5]流入チャネル別顧客一覧_ユニーク!$H:$H,"display")</f>
        <v>0</v>
      </c>
      <c r="Y46" s="2">
        <f>COUNTIFS([5]流入チャネル別顧客一覧_ユニーク!$C:$C,"&gt;="&amp;Y$3,[5]流入チャネル別顧客一覧_ユニーク!$C:$C,"&lt;"&amp;EDATE(Y$3,1),[5]流入チャネル別顧客一覧_ユニーク!$H:$H,"listing")+COUNTIFS([5]流入チャネル別顧客一覧_ユニーク!$C:$C,"&gt;="&amp;Y$3,[5]流入チャネル別顧客一覧_ユニーク!$C:$C,"&lt;"&amp;EDATE(Y$3,1),[5]流入チャネル別顧客一覧_ユニーク!$H:$H,"検索連動型広告")+COUNTIFS([5]流入チャネル別顧客一覧_ユニーク!$C:$C,"&gt;="&amp;Y$3,[5]流入チャネル別顧客一覧_ユニーク!$C:$C,"&lt;"&amp;EDATE(Y$3,1),[5]流入チャネル別顧客一覧_ユニーク!$H:$H,"display")</f>
        <v>0</v>
      </c>
      <c r="Z46" s="2">
        <f>COUNTIFS([5]流入チャネル別顧客一覧_ユニーク!$C:$C,"&gt;="&amp;Z$3,[5]流入チャネル別顧客一覧_ユニーク!$C:$C,"&lt;"&amp;EDATE(Z$3,1),[5]流入チャネル別顧客一覧_ユニーク!$H:$H,"listing")+COUNTIFS([5]流入チャネル別顧客一覧_ユニーク!$C:$C,"&gt;="&amp;Z$3,[5]流入チャネル別顧客一覧_ユニーク!$C:$C,"&lt;"&amp;EDATE(Z$3,1),[5]流入チャネル別顧客一覧_ユニーク!$H:$H,"検索連動型広告")+COUNTIFS([5]流入チャネル別顧客一覧_ユニーク!$C:$C,"&gt;="&amp;Z$3,[5]流入チャネル別顧客一覧_ユニーク!$C:$C,"&lt;"&amp;EDATE(Z$3,1),[5]流入チャネル別顧客一覧_ユニーク!$H:$H,"display")</f>
        <v>0</v>
      </c>
      <c r="AA46" s="2">
        <f>COUNTIFS([5]流入チャネル別顧客一覧_ユニーク!$C:$C,"&gt;="&amp;AA$3,[5]流入チャネル別顧客一覧_ユニーク!$C:$C,"&lt;"&amp;EDATE(AA$3,1),[5]流入チャネル別顧客一覧_ユニーク!$H:$H,"listing")+COUNTIFS([5]流入チャネル別顧客一覧_ユニーク!$C:$C,"&gt;="&amp;AA$3,[5]流入チャネル別顧客一覧_ユニーク!$C:$C,"&lt;"&amp;EDATE(AA$3,1),[5]流入チャネル別顧客一覧_ユニーク!$H:$H,"検索連動型広告")+COUNTIFS([5]流入チャネル別顧客一覧_ユニーク!$C:$C,"&gt;="&amp;AA$3,[5]流入チャネル別顧客一覧_ユニーク!$C:$C,"&lt;"&amp;EDATE(AA$3,1),[5]流入チャネル別顧客一覧_ユニーク!$H:$H,"display")</f>
        <v>0</v>
      </c>
      <c r="AB46" s="2">
        <f>COUNTIFS([5]流入チャネル別顧客一覧_ユニーク!$C:$C,"&gt;="&amp;AB$3,[5]流入チャネル別顧客一覧_ユニーク!$C:$C,"&lt;"&amp;EDATE(AB$3,1),[5]流入チャネル別顧客一覧_ユニーク!$H:$H,"listing")+COUNTIFS([5]流入チャネル別顧客一覧_ユニーク!$C:$C,"&gt;="&amp;AB$3,[5]流入チャネル別顧客一覧_ユニーク!$C:$C,"&lt;"&amp;EDATE(AB$3,1),[5]流入チャネル別顧客一覧_ユニーク!$H:$H,"検索連動型広告")+COUNTIFS([5]流入チャネル別顧客一覧_ユニーク!$C:$C,"&gt;="&amp;AB$3,[5]流入チャネル別顧客一覧_ユニーク!$C:$C,"&lt;"&amp;EDATE(AB$3,1),[5]流入チャネル別顧客一覧_ユニーク!$H:$H,"display")</f>
        <v>0</v>
      </c>
      <c r="AC46" s="2">
        <f>COUNTIFS([5]流入チャネル別顧客一覧_ユニーク!$C:$C,"&gt;="&amp;AC$3,[5]流入チャネル別顧客一覧_ユニーク!$C:$C,"&lt;"&amp;EDATE(AC$3,1),[5]流入チャネル別顧客一覧_ユニーク!$H:$H,"listing")+COUNTIFS([5]流入チャネル別顧客一覧_ユニーク!$C:$C,"&gt;="&amp;AC$3,[5]流入チャネル別顧客一覧_ユニーク!$C:$C,"&lt;"&amp;EDATE(AC$3,1),[5]流入チャネル別顧客一覧_ユニーク!$H:$H,"検索連動型広告")+COUNTIFS([5]流入チャネル別顧客一覧_ユニーク!$C:$C,"&gt;="&amp;AC$3,[5]流入チャネル別顧客一覧_ユニーク!$C:$C,"&lt;"&amp;EDATE(AC$3,1),[5]流入チャネル別顧客一覧_ユニーク!$H:$H,"display")</f>
        <v>0</v>
      </c>
      <c r="AD46" s="2">
        <f>COUNTIFS([5]流入チャネル別顧客一覧_ユニーク!$C:$C,"&gt;="&amp;AD$3,[5]流入チャネル別顧客一覧_ユニーク!$C:$C,"&lt;"&amp;EDATE(AD$3,1),[5]流入チャネル別顧客一覧_ユニーク!$H:$H,"listing")+COUNTIFS([5]流入チャネル別顧客一覧_ユニーク!$C:$C,"&gt;="&amp;AD$3,[5]流入チャネル別顧客一覧_ユニーク!$C:$C,"&lt;"&amp;EDATE(AD$3,1),[5]流入チャネル別顧客一覧_ユニーク!$H:$H,"検索連動型広告")+COUNTIFS([5]流入チャネル別顧客一覧_ユニーク!$C:$C,"&gt;="&amp;AD$3,[5]流入チャネル別顧客一覧_ユニーク!$C:$C,"&lt;"&amp;EDATE(AD$3,1),[5]流入チャネル別顧客一覧_ユニーク!$H:$H,"display")</f>
        <v>0</v>
      </c>
      <c r="AE46" s="2">
        <f>COUNTIFS([5]流入チャネル別顧客一覧_ユニーク!$C:$C,"&gt;="&amp;AE$3,[5]流入チャネル別顧客一覧_ユニーク!$C:$C,"&lt;"&amp;EDATE(AE$3,1),[5]流入チャネル別顧客一覧_ユニーク!$H:$H,"listing")+COUNTIFS([5]流入チャネル別顧客一覧_ユニーク!$C:$C,"&gt;="&amp;AE$3,[5]流入チャネル別顧客一覧_ユニーク!$C:$C,"&lt;"&amp;EDATE(AE$3,1),[5]流入チャネル別顧客一覧_ユニーク!$H:$H,"検索連動型広告")+COUNTIFS([5]流入チャネル別顧客一覧_ユニーク!$C:$C,"&gt;="&amp;AE$3,[5]流入チャネル別顧客一覧_ユニーク!$C:$C,"&lt;"&amp;EDATE(AE$3,1),[5]流入チャネル別顧客一覧_ユニーク!$H:$H,"display")</f>
        <v>0</v>
      </c>
      <c r="AF46" s="2">
        <f>COUNTIFS([5]流入チャネル別顧客一覧_ユニーク!$C:$C,"&gt;="&amp;AF$3,[5]流入チャネル別顧客一覧_ユニーク!$C:$C,"&lt;"&amp;EDATE(AF$3,1),[5]流入チャネル別顧客一覧_ユニーク!$H:$H,"listing")+COUNTIFS([5]流入チャネル別顧客一覧_ユニーク!$C:$C,"&gt;="&amp;AF$3,[5]流入チャネル別顧客一覧_ユニーク!$C:$C,"&lt;"&amp;EDATE(AF$3,1),[5]流入チャネル別顧客一覧_ユニーク!$H:$H,"検索連動型広告")+COUNTIFS([5]流入チャネル別顧客一覧_ユニーク!$C:$C,"&gt;="&amp;AF$3,[5]流入チャネル別顧客一覧_ユニーク!$C:$C,"&lt;"&amp;EDATE(AF$3,1),[5]流入チャネル別顧客一覧_ユニーク!$H:$H,"display")</f>
        <v>0</v>
      </c>
      <c r="AG46" s="2">
        <f>COUNTIFS([5]流入チャネル別顧客一覧_ユニーク!$C:$C,"&gt;="&amp;AG$3,[5]流入チャネル別顧客一覧_ユニーク!$C:$C,"&lt;"&amp;EDATE(AG$3,1),[5]流入チャネル別顧客一覧_ユニーク!$H:$H,"listing")+COUNTIFS([5]流入チャネル別顧客一覧_ユニーク!$C:$C,"&gt;="&amp;AG$3,[5]流入チャネル別顧客一覧_ユニーク!$C:$C,"&lt;"&amp;EDATE(AG$3,1),[5]流入チャネル別顧客一覧_ユニーク!$H:$H,"検索連動型広告")+COUNTIFS([5]流入チャネル別顧客一覧_ユニーク!$C:$C,"&gt;="&amp;AG$3,[5]流入チャネル別顧客一覧_ユニーク!$C:$C,"&lt;"&amp;EDATE(AG$3,1),[5]流入チャネル別顧客一覧_ユニーク!$H:$H,"display")</f>
        <v>0</v>
      </c>
      <c r="AH46" s="2">
        <f>COUNTIFS([5]流入チャネル別顧客一覧_ユニーク!$C:$C,"&gt;="&amp;AH$3,[5]流入チャネル別顧客一覧_ユニーク!$C:$C,"&lt;"&amp;EDATE(AH$3,1),[5]流入チャネル別顧客一覧_ユニーク!$H:$H,"listing")+COUNTIFS([5]流入チャネル別顧客一覧_ユニーク!$C:$C,"&gt;="&amp;AH$3,[5]流入チャネル別顧客一覧_ユニーク!$C:$C,"&lt;"&amp;EDATE(AH$3,1),[5]流入チャネル別顧客一覧_ユニーク!$H:$H,"検索連動型広告")+COUNTIFS([5]流入チャネル別顧客一覧_ユニーク!$C:$C,"&gt;="&amp;AH$3,[5]流入チャネル別顧客一覧_ユニーク!$C:$C,"&lt;"&amp;EDATE(AH$3,1),[5]流入チャネル別顧客一覧_ユニーク!$H:$H,"display")</f>
        <v>0</v>
      </c>
      <c r="AI46" s="2">
        <f>COUNTIFS([5]流入チャネル別顧客一覧_ユニーク!$C:$C,"&gt;="&amp;AI$3,[5]流入チャネル別顧客一覧_ユニーク!$C:$C,"&lt;"&amp;EDATE(AI$3,1),[5]流入チャネル別顧客一覧_ユニーク!$H:$H,"listing")+COUNTIFS([5]流入チャネル別顧客一覧_ユニーク!$C:$C,"&gt;="&amp;AI$3,[5]流入チャネル別顧客一覧_ユニーク!$C:$C,"&lt;"&amp;EDATE(AI$3,1),[5]流入チャネル別顧客一覧_ユニーク!$H:$H,"検索連動型広告")+COUNTIFS([5]流入チャネル別顧客一覧_ユニーク!$C:$C,"&gt;="&amp;AI$3,[5]流入チャネル別顧客一覧_ユニーク!$C:$C,"&lt;"&amp;EDATE(AI$3,1),[5]流入チャネル別顧客一覧_ユニーク!$H:$H,"display")</f>
        <v>0</v>
      </c>
      <c r="AJ46" s="2">
        <f>COUNTIFS([5]流入チャネル別顧客一覧_ユニーク!$C:$C,"&gt;="&amp;AJ$3,[5]流入チャネル別顧客一覧_ユニーク!$C:$C,"&lt;"&amp;EDATE(AJ$3,1),[5]流入チャネル別顧客一覧_ユニーク!$H:$H,"listing")+COUNTIFS([5]流入チャネル別顧客一覧_ユニーク!$C:$C,"&gt;="&amp;AJ$3,[5]流入チャネル別顧客一覧_ユニーク!$C:$C,"&lt;"&amp;EDATE(AJ$3,1),[5]流入チャネル別顧客一覧_ユニーク!$H:$H,"検索連動型広告")+COUNTIFS([5]流入チャネル別顧客一覧_ユニーク!$C:$C,"&gt;="&amp;AJ$3,[5]流入チャネル別顧客一覧_ユニーク!$C:$C,"&lt;"&amp;EDATE(AJ$3,1),[5]流入チャネル別顧客一覧_ユニーク!$H:$H,"display")</f>
        <v>0</v>
      </c>
      <c r="AK46" s="2">
        <f>COUNTIFS([5]流入チャネル別顧客一覧_ユニーク!$C:$C,"&gt;="&amp;AK$3,[5]流入チャネル別顧客一覧_ユニーク!$C:$C,"&lt;"&amp;EDATE(AK$3,1),[5]流入チャネル別顧客一覧_ユニーク!$H:$H,"listing")+COUNTIFS([5]流入チャネル別顧客一覧_ユニーク!$C:$C,"&gt;="&amp;AK$3,[5]流入チャネル別顧客一覧_ユニーク!$C:$C,"&lt;"&amp;EDATE(AK$3,1),[5]流入チャネル別顧客一覧_ユニーク!$H:$H,"検索連動型広告")+COUNTIFS([5]流入チャネル別顧客一覧_ユニーク!$C:$C,"&gt;="&amp;AK$3,[5]流入チャネル別顧客一覧_ユニーク!$C:$C,"&lt;"&amp;EDATE(AK$3,1),[5]流入チャネル別顧客一覧_ユニーク!$H:$H,"display")</f>
        <v>0</v>
      </c>
      <c r="AL46" s="8">
        <f t="shared" ref="AL46:AL57" si="31">SUM(B46:M46)</f>
        <v>14</v>
      </c>
      <c r="AM46" s="2">
        <f t="shared" ref="AM46:AM53" si="32">SUM(N46:Y46)</f>
        <v>9</v>
      </c>
      <c r="AN46" s="2">
        <f t="shared" ref="AN46:AN53" si="33">SUM(Z46:AK46)</f>
        <v>0</v>
      </c>
      <c r="AO46" s="35"/>
      <c r="AP46" s="35"/>
      <c r="AQ46" s="35"/>
      <c r="AR46" s="35"/>
      <c r="AS46" s="35"/>
      <c r="AT46" s="35"/>
    </row>
    <row r="47" spans="1:50" ht="18">
      <c r="A47" s="141" t="s">
        <v>59</v>
      </c>
      <c r="B47" s="2"/>
      <c r="C47" s="2"/>
      <c r="D47" s="2"/>
      <c r="V47" s="2">
        <f>COUNTIFS([5]流入チャネル別顧客一覧_ユニーク!$C:$C,"&gt;="&amp;V$3,[5]流入チャネル別顧客一覧_ユニーク!$C:$C,"&lt;"&amp;EDATE(V$3,1),[5]流入チャネル別顧客一覧_ユニーク!$H:$H,"display")</f>
        <v>0</v>
      </c>
      <c r="W47" s="2">
        <f>COUNTIFS([5]流入チャネル別顧客一覧_ユニーク!$C:$C,"&gt;="&amp;W$3,[5]流入チャネル別顧客一覧_ユニーク!$C:$C,"&lt;"&amp;EDATE(W$3,1),[5]流入チャネル別顧客一覧_ユニーク!$H:$H,"display")</f>
        <v>0</v>
      </c>
      <c r="X47" s="2">
        <f>COUNTIFS([5]流入チャネル別顧客一覧_ユニーク!$C:$C,"&gt;="&amp;X$3,[5]流入チャネル別顧客一覧_ユニーク!$C:$C,"&lt;"&amp;EDATE(X$3,1),[5]流入チャネル別顧客一覧_ユニーク!$H:$H,"display")</f>
        <v>0</v>
      </c>
      <c r="Y47" s="2">
        <f>COUNTIFS([5]流入チャネル別顧客一覧_ユニーク!$C:$C,"&gt;="&amp;Y$3,[5]流入チャネル別顧客一覧_ユニーク!$C:$C,"&lt;"&amp;EDATE(Y$3,1),[5]流入チャネル別顧客一覧_ユニーク!$H:$H,"display")</f>
        <v>0</v>
      </c>
      <c r="Z47" s="2">
        <f>COUNTIFS([5]流入チャネル別顧客一覧_ユニーク!$C:$C,"&gt;="&amp;Z$3,[5]流入チャネル別顧客一覧_ユニーク!$C:$C,"&lt;"&amp;EDATE(Z$3,1),[5]流入チャネル別顧客一覧_ユニーク!$H:$H,"display")</f>
        <v>0</v>
      </c>
      <c r="AA47" s="2">
        <f>COUNTIFS([5]流入チャネル別顧客一覧_ユニーク!$C:$C,"&gt;="&amp;AA$3,[5]流入チャネル別顧客一覧_ユニーク!$C:$C,"&lt;"&amp;EDATE(AA$3,1),[5]流入チャネル別顧客一覧_ユニーク!$H:$H,"display")</f>
        <v>0</v>
      </c>
      <c r="AB47" s="2">
        <f>COUNTIFS([5]流入チャネル別顧客一覧_ユニーク!$C:$C,"&gt;="&amp;AB$3,[5]流入チャネル別顧客一覧_ユニーク!$C:$C,"&lt;"&amp;EDATE(AB$3,1),[5]流入チャネル別顧客一覧_ユニーク!$H:$H,"display")</f>
        <v>0</v>
      </c>
      <c r="AC47" s="2">
        <f>COUNTIFS([5]流入チャネル別顧客一覧_ユニーク!$C:$C,"&gt;="&amp;AC$3,[5]流入チャネル別顧客一覧_ユニーク!$C:$C,"&lt;"&amp;EDATE(AC$3,1),[5]流入チャネル別顧客一覧_ユニーク!$H:$H,"display")</f>
        <v>0</v>
      </c>
      <c r="AD47" s="2">
        <f>COUNTIFS([5]流入チャネル別顧客一覧_ユニーク!$C:$C,"&gt;="&amp;AD$3,[5]流入チャネル別顧客一覧_ユニーク!$C:$C,"&lt;"&amp;EDATE(AD$3,1),[5]流入チャネル別顧客一覧_ユニーク!$H:$H,"display")</f>
        <v>0</v>
      </c>
      <c r="AE47" s="2">
        <f>COUNTIFS([5]流入チャネル別顧客一覧_ユニーク!$C:$C,"&gt;="&amp;AE$3,[5]流入チャネル別顧客一覧_ユニーク!$C:$C,"&lt;"&amp;EDATE(AE$3,1),[5]流入チャネル別顧客一覧_ユニーク!$H:$H,"display")</f>
        <v>0</v>
      </c>
      <c r="AF47" s="2">
        <f>COUNTIFS([5]流入チャネル別顧客一覧_ユニーク!$C:$C,"&gt;="&amp;AF$3,[5]流入チャネル別顧客一覧_ユニーク!$C:$C,"&lt;"&amp;EDATE(AF$3,1),[5]流入チャネル別顧客一覧_ユニーク!$H:$H,"display")</f>
        <v>0</v>
      </c>
      <c r="AG47" s="2">
        <f>COUNTIFS([5]流入チャネル別顧客一覧_ユニーク!$C:$C,"&gt;="&amp;AG$3,[5]流入チャネル別顧客一覧_ユニーク!$C:$C,"&lt;"&amp;EDATE(AG$3,1),[5]流入チャネル別顧客一覧_ユニーク!$H:$H,"display")</f>
        <v>0</v>
      </c>
      <c r="AH47" s="2">
        <f>COUNTIFS([5]流入チャネル別顧客一覧_ユニーク!$C:$C,"&gt;="&amp;AH$3,[5]流入チャネル別顧客一覧_ユニーク!$C:$C,"&lt;"&amp;EDATE(AH$3,1),[5]流入チャネル別顧客一覧_ユニーク!$H:$H,"display")</f>
        <v>0</v>
      </c>
      <c r="AI47" s="2">
        <f>COUNTIFS([5]流入チャネル別顧客一覧_ユニーク!$C:$C,"&gt;="&amp;AI$3,[5]流入チャネル別顧客一覧_ユニーク!$C:$C,"&lt;"&amp;EDATE(AI$3,1),[5]流入チャネル別顧客一覧_ユニーク!$H:$H,"display")</f>
        <v>0</v>
      </c>
      <c r="AJ47" s="2">
        <f>COUNTIFS([5]流入チャネル別顧客一覧_ユニーク!$C:$C,"&gt;="&amp;AJ$3,[5]流入チャネル別顧客一覧_ユニーク!$C:$C,"&lt;"&amp;EDATE(AJ$3,1),[5]流入チャネル別顧客一覧_ユニーク!$H:$H,"display")</f>
        <v>0</v>
      </c>
      <c r="AK47" s="2">
        <f>COUNTIFS([5]流入チャネル別顧客一覧_ユニーク!$C:$C,"&gt;="&amp;AK$3,[5]流入チャネル別顧客一覧_ユニーク!$C:$C,"&lt;"&amp;EDATE(AK$3,1),[5]流入チャネル別顧客一覧_ユニーク!$H:$H,"display")</f>
        <v>0</v>
      </c>
      <c r="AL47" s="2">
        <f>COUNTIFS([5]流入チャネル別顧客一覧_ユニーク!$C:$C,"&gt;="&amp;AL$3,[5]流入チャネル別顧客一覧_ユニーク!$C:$C,"&lt;"&amp;EDATE(AL$3,1),[5]流入チャネル別顧客一覧_ユニーク!$H:$H,"display")</f>
        <v>0</v>
      </c>
      <c r="AM47" s="2">
        <f t="shared" si="32"/>
        <v>0</v>
      </c>
      <c r="AN47" s="2">
        <f t="shared" si="33"/>
        <v>0</v>
      </c>
      <c r="AO47" s="35"/>
      <c r="AP47" s="35"/>
      <c r="AQ47" s="35"/>
      <c r="AR47" s="35"/>
      <c r="AS47" s="35"/>
      <c r="AT47" s="35"/>
    </row>
    <row r="48" spans="1:50" ht="18">
      <c r="A48" s="1" t="s">
        <v>60</v>
      </c>
      <c r="B48" s="2" t="s">
        <v>19</v>
      </c>
      <c r="C48" s="2" t="s">
        <v>19</v>
      </c>
      <c r="D48" s="2" t="s">
        <v>19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83</v>
      </c>
      <c r="N48" s="2">
        <f>COUNTIFS([5]流入チャネル別顧客一覧_ユニーク!$C:$C,"&gt;="&amp;N$3,[5]流入チャネル別顧客一覧_ユニーク!$C:$C,"&lt;"&amp;EDATE(N$3,1),[5]流入チャネル別顧客一覧_ユニーク!$H:$H,"mail")+COUNTIFS([5]流入チャネル別顧客一覧_ユニーク!$C:$C,"&gt;="&amp;N$3,[5]流入チャネル別顧客一覧_ユニーク!$C:$C,"&lt;"&amp;EDATE(N$3,1),[5]流入チャネル別顧客一覧_ユニーク!$H:$H,"Eメールマーケティング")</f>
        <v>0</v>
      </c>
      <c r="O48" s="2">
        <f>COUNTIFS([5]流入チャネル別顧客一覧_ユニーク!$C:$C,"&gt;="&amp;O$3,[5]流入チャネル別顧客一覧_ユニーク!$C:$C,"&lt;"&amp;EDATE(O$3,1),[5]流入チャネル別顧客一覧_ユニーク!$H:$H,"mail")+COUNTIFS([5]流入チャネル別顧客一覧_ユニーク!$C:$C,"&gt;="&amp;O$3,[5]流入チャネル別顧客一覧_ユニーク!$C:$C,"&lt;"&amp;EDATE(O$3,1),[5]流入チャネル別顧客一覧_ユニーク!$H:$H,"Eメールマーケティング")</f>
        <v>1</v>
      </c>
      <c r="P48" s="2">
        <f>COUNTIFS([5]流入チャネル別顧客一覧_ユニーク!$C:$C,"&gt;="&amp;P$3,[5]流入チャネル別顧客一覧_ユニーク!$C:$C,"&lt;"&amp;EDATE(P$3,1),[5]流入チャネル別顧客一覧_ユニーク!$H:$H,"mail")+COUNTIFS([5]流入チャネル別顧客一覧_ユニーク!$C:$C,"&gt;="&amp;P$3,[5]流入チャネル別顧客一覧_ユニーク!$C:$C,"&lt;"&amp;EDATE(P$3,1),[5]流入チャネル別顧客一覧_ユニーク!$H:$H,"Eメールマーケティング")</f>
        <v>3</v>
      </c>
      <c r="Q48" s="2">
        <f>COUNTIFS([5]流入チャネル別顧客一覧_ユニーク!$C:$C,"&gt;="&amp;Q$3,[5]流入チャネル別顧客一覧_ユニーク!$C:$C,"&lt;"&amp;EDATE(Q$3,1),[5]流入チャネル別顧客一覧_ユニーク!$H:$H,"mail")+COUNTIFS([5]流入チャネル別顧客一覧_ユニーク!$C:$C,"&gt;="&amp;Q$3,[5]流入チャネル別顧客一覧_ユニーク!$C:$C,"&lt;"&amp;EDATE(Q$3,1),[5]流入チャネル別顧客一覧_ユニーク!$H:$H,"Eメールマーケティング")</f>
        <v>7</v>
      </c>
      <c r="R48" s="2">
        <f>COUNTIFS([5]流入チャネル別顧客一覧_ユニーク!$C:$C,"&gt;="&amp;R$3,[5]流入チャネル別顧客一覧_ユニーク!$C:$C,"&lt;"&amp;EDATE(R$3,1),[5]流入チャネル別顧客一覧_ユニーク!$H:$H,"mail")+COUNTIFS([5]流入チャネル別顧客一覧_ユニーク!$C:$C,"&gt;="&amp;R$3,[5]流入チャネル別顧客一覧_ユニーク!$C:$C,"&lt;"&amp;EDATE(R$3,1),[5]流入チャネル別顧客一覧_ユニーク!$H:$H,"Eメールマーケティング")</f>
        <v>11</v>
      </c>
      <c r="S48" s="2">
        <f>COUNTIFS([5]流入チャネル別顧客一覧_ユニーク!$C:$C,"&gt;="&amp;S$3,[5]流入チャネル別顧客一覧_ユニーク!$C:$C,"&lt;"&amp;EDATE(S$3,1),[5]流入チャネル別顧客一覧_ユニーク!$H:$H,"mail")+COUNTIFS([5]流入チャネル別顧客一覧_ユニーク!$C:$C,"&gt;="&amp;S$3,[5]流入チャネル別顧客一覧_ユニーク!$C:$C,"&lt;"&amp;EDATE(S$3,1),[5]流入チャネル別顧客一覧_ユニーク!$H:$H,"Eメールマーケティング")</f>
        <v>22</v>
      </c>
      <c r="T48" s="2">
        <f>COUNTIFS([5]流入チャネル別顧客一覧_ユニーク!$C:$C,"&gt;="&amp;T$3,[5]流入チャネル別顧客一覧_ユニーク!$C:$C,"&lt;"&amp;EDATE(T$3,1),[5]流入チャネル別顧客一覧_ユニーク!$H:$H,"mail")+COUNTIFS([5]流入チャネル別顧客一覧_ユニーク!$C:$C,"&gt;="&amp;T$3,[5]流入チャネル別顧客一覧_ユニーク!$C:$C,"&lt;"&amp;EDATE(T$3,1),[5]流入チャネル別顧客一覧_ユニーク!$H:$H,"Eメールマーケティング")</f>
        <v>1</v>
      </c>
      <c r="U48" s="2">
        <f>COUNTIFS([5]流入チャネル別顧客一覧_ユニーク!$C:$C,"&gt;="&amp;U$3,[5]流入チャネル別顧客一覧_ユニーク!$C:$C,"&lt;"&amp;EDATE(U$3,1),[5]流入チャネル別顧客一覧_ユニーク!$H:$H,"mail")+COUNTIFS([5]流入チャネル別顧客一覧_ユニーク!$C:$C,"&gt;="&amp;U$3,[5]流入チャネル別顧客一覧_ユニーク!$C:$C,"&lt;"&amp;EDATE(U$3,1),[5]流入チャネル別顧客一覧_ユニーク!$H:$H,"Eメールマーケティング")</f>
        <v>13</v>
      </c>
      <c r="V48" s="2">
        <f>COUNTIFS([5]流入チャネル別顧客一覧_ユニーク!$C:$C,"&gt;="&amp;V$3,[5]流入チャネル別顧客一覧_ユニーク!$C:$C,"&lt;"&amp;EDATE(V$3,1),[5]流入チャネル別顧客一覧_ユニーク!$H:$H,"mail")+COUNTIFS([5]流入チャネル別顧客一覧_ユニーク!$C:$C,"&gt;="&amp;V$3,[5]流入チャネル別顧客一覧_ユニーク!$C:$C,"&lt;"&amp;EDATE(V$3,1),[5]流入チャネル別顧客一覧_ユニーク!$H:$H,"Eメールマーケティング")</f>
        <v>9</v>
      </c>
      <c r="W48" s="2">
        <f>COUNTIFS([5]流入チャネル別顧客一覧_ユニーク!$C:$C,"&gt;="&amp;W$3,[5]流入チャネル別顧客一覧_ユニーク!$C:$C,"&lt;"&amp;EDATE(W$3,1),[5]流入チャネル別顧客一覧_ユニーク!$H:$H,"mail")+COUNTIFS([5]流入チャネル別顧客一覧_ユニーク!$C:$C,"&gt;="&amp;W$3,[5]流入チャネル別顧客一覧_ユニーク!$C:$C,"&lt;"&amp;EDATE(W$3,1),[5]流入チャネル別顧客一覧_ユニーク!$H:$H,"Eメールマーケティング")</f>
        <v>23</v>
      </c>
      <c r="X48" s="2">
        <f>COUNTIFS([5]流入チャネル別顧客一覧_ユニーク!$C:$C,"&gt;="&amp;X$3,[5]流入チャネル別顧客一覧_ユニーク!$C:$C,"&lt;"&amp;EDATE(X$3,1),[5]流入チャネル別顧客一覧_ユニーク!$H:$H,"mail")+COUNTIFS([5]流入チャネル別顧客一覧_ユニーク!$C:$C,"&gt;="&amp;X$3,[5]流入チャネル別顧客一覧_ユニーク!$C:$C,"&lt;"&amp;EDATE(X$3,1),[5]流入チャネル別顧客一覧_ユニーク!$H:$H,"Eメールマーケティング")</f>
        <v>26</v>
      </c>
      <c r="Y48" s="2">
        <f>COUNTIFS([5]流入チャネル別顧客一覧_ユニーク!$C:$C,"&gt;="&amp;Y$3,[5]流入チャネル別顧客一覧_ユニーク!$C:$C,"&lt;"&amp;EDATE(Y$3,1),[5]流入チャネル別顧客一覧_ユニーク!$H:$H,"mail")+COUNTIFS([5]流入チャネル別顧客一覧_ユニーク!$C:$C,"&gt;="&amp;Y$3,[5]流入チャネル別顧客一覧_ユニーク!$C:$C,"&lt;"&amp;EDATE(Y$3,1),[5]流入チャネル別顧客一覧_ユニーク!$H:$H,"Eメールマーケティング")</f>
        <v>37</v>
      </c>
      <c r="Z48" s="2">
        <f>COUNTIFS([5]流入チャネル別顧客一覧_ユニーク!$C:$C,"&gt;="&amp;Z$3,[5]流入チャネル別顧客一覧_ユニーク!$C:$C,"&lt;"&amp;EDATE(Z$3,1),[5]流入チャネル別顧客一覧_ユニーク!$H:$H,"mail")+COUNTIFS([5]流入チャネル別顧客一覧_ユニーク!$C:$C,"&gt;="&amp;Z$3,[5]流入チャネル別顧客一覧_ユニーク!$C:$C,"&lt;"&amp;EDATE(Z$3,1),[5]流入チャネル別顧客一覧_ユニーク!$H:$H,"Eメールマーケティング")</f>
        <v>10</v>
      </c>
      <c r="AA48" s="2">
        <f>COUNTIFS([5]流入チャネル別顧客一覧_ユニーク!$C:$C,"&gt;="&amp;AA$3,[5]流入チャネル別顧客一覧_ユニーク!$C:$C,"&lt;"&amp;EDATE(AA$3,1),[5]流入チャネル別顧客一覧_ユニーク!$H:$H,"mail")+COUNTIFS([5]流入チャネル別顧客一覧_ユニーク!$C:$C,"&gt;="&amp;AA$3,[5]流入チャネル別顧客一覧_ユニーク!$C:$C,"&lt;"&amp;EDATE(AA$3,1),[5]流入チャネル別顧客一覧_ユニーク!$H:$H,"Eメールマーケティング")</f>
        <v>3</v>
      </c>
      <c r="AB48" s="2">
        <f>COUNTIFS([5]流入チャネル別顧客一覧_ユニーク!$C:$C,"&gt;="&amp;AB$3,[5]流入チャネル別顧客一覧_ユニーク!$C:$C,"&lt;"&amp;EDATE(AB$3,1),[5]流入チャネル別顧客一覧_ユニーク!$H:$H,"mail")+COUNTIFS([5]流入チャネル別顧客一覧_ユニーク!$C:$C,"&gt;="&amp;AB$3,[5]流入チャネル別顧客一覧_ユニーク!$C:$C,"&lt;"&amp;EDATE(AB$3,1),[5]流入チャネル別顧客一覧_ユニーク!$H:$H,"Eメールマーケティング")</f>
        <v>11</v>
      </c>
      <c r="AC48" s="2">
        <f>COUNTIFS([5]流入チャネル別顧客一覧_ユニーク!$C:$C,"&gt;="&amp;AC$3,[5]流入チャネル別顧客一覧_ユニーク!$C:$C,"&lt;"&amp;EDATE(AC$3,1),[5]流入チャネル別顧客一覧_ユニーク!$H:$H,"mail")+COUNTIFS([5]流入チャネル別顧客一覧_ユニーク!$C:$C,"&gt;="&amp;AC$3,[5]流入チャネル別顧客一覧_ユニーク!$C:$C,"&lt;"&amp;EDATE(AC$3,1),[5]流入チャネル別顧客一覧_ユニーク!$H:$H,"Eメールマーケティング")</f>
        <v>13</v>
      </c>
      <c r="AD48" s="2">
        <f>COUNTIFS([5]流入チャネル別顧客一覧_ユニーク!$C:$C,"&gt;="&amp;AD$3,[5]流入チャネル別顧客一覧_ユニーク!$C:$C,"&lt;"&amp;EDATE(AD$3,1),[5]流入チャネル別顧客一覧_ユニーク!$H:$H,"mail")+COUNTIFS([5]流入チャネル別顧客一覧_ユニーク!$C:$C,"&gt;="&amp;AD$3,[5]流入チャネル別顧客一覧_ユニーク!$C:$C,"&lt;"&amp;EDATE(AD$3,1),[5]流入チャネル別顧客一覧_ユニーク!$H:$H,"Eメールマーケティング")</f>
        <v>0</v>
      </c>
      <c r="AE48" s="2">
        <f>COUNTIFS([5]流入チャネル別顧客一覧_ユニーク!$C:$C,"&gt;="&amp;AE$3,[5]流入チャネル別顧客一覧_ユニーク!$C:$C,"&lt;"&amp;EDATE(AE$3,1),[5]流入チャネル別顧客一覧_ユニーク!$H:$H,"mail")+COUNTIFS([5]流入チャネル別顧客一覧_ユニーク!$C:$C,"&gt;="&amp;AE$3,[5]流入チャネル別顧客一覧_ユニーク!$C:$C,"&lt;"&amp;EDATE(AE$3,1),[5]流入チャネル別顧客一覧_ユニーク!$H:$H,"Eメールマーケティング")</f>
        <v>0</v>
      </c>
      <c r="AF48" s="2">
        <f>COUNTIFS([5]流入チャネル別顧客一覧_ユニーク!$C:$C,"&gt;="&amp;AF$3,[5]流入チャネル別顧客一覧_ユニーク!$C:$C,"&lt;"&amp;EDATE(AF$3,1),[5]流入チャネル別顧客一覧_ユニーク!$H:$H,"mail")+COUNTIFS([5]流入チャネル別顧客一覧_ユニーク!$C:$C,"&gt;="&amp;AF$3,[5]流入チャネル別顧客一覧_ユニーク!$C:$C,"&lt;"&amp;EDATE(AF$3,1),[5]流入チャネル別顧客一覧_ユニーク!$H:$H,"Eメールマーケティング")</f>
        <v>0</v>
      </c>
      <c r="AG48" s="2">
        <f>COUNTIFS([5]流入チャネル別顧客一覧_ユニーク!$C:$C,"&gt;="&amp;AG$3,[5]流入チャネル別顧客一覧_ユニーク!$C:$C,"&lt;"&amp;EDATE(AG$3,1),[5]流入チャネル別顧客一覧_ユニーク!$H:$H,"mail")+COUNTIFS([5]流入チャネル別顧客一覧_ユニーク!$C:$C,"&gt;="&amp;AG$3,[5]流入チャネル別顧客一覧_ユニーク!$C:$C,"&lt;"&amp;EDATE(AG$3,1),[5]流入チャネル別顧客一覧_ユニーク!$H:$H,"Eメールマーケティング")</f>
        <v>0</v>
      </c>
      <c r="AH48" s="2">
        <f>COUNTIFS([5]流入チャネル別顧客一覧_ユニーク!$C:$C,"&gt;="&amp;AH$3,[5]流入チャネル別顧客一覧_ユニーク!$C:$C,"&lt;"&amp;EDATE(AH$3,1),[5]流入チャネル別顧客一覧_ユニーク!$H:$H,"mail")+COUNTIFS([5]流入チャネル別顧客一覧_ユニーク!$C:$C,"&gt;="&amp;AH$3,[5]流入チャネル別顧客一覧_ユニーク!$C:$C,"&lt;"&amp;EDATE(AH$3,1),[5]流入チャネル別顧客一覧_ユニーク!$H:$H,"Eメールマーケティング")</f>
        <v>0</v>
      </c>
      <c r="AI48" s="2">
        <f>COUNTIFS([5]流入チャネル別顧客一覧_ユニーク!$C:$C,"&gt;="&amp;AI$3,[5]流入チャネル別顧客一覧_ユニーク!$C:$C,"&lt;"&amp;EDATE(AI$3,1),[5]流入チャネル別顧客一覧_ユニーク!$H:$H,"mail")+COUNTIFS([5]流入チャネル別顧客一覧_ユニーク!$C:$C,"&gt;="&amp;AI$3,[5]流入チャネル別顧客一覧_ユニーク!$C:$C,"&lt;"&amp;EDATE(AI$3,1),[5]流入チャネル別顧客一覧_ユニーク!$H:$H,"Eメールマーケティング")</f>
        <v>0</v>
      </c>
      <c r="AJ48" s="2">
        <f>COUNTIFS([5]流入チャネル別顧客一覧_ユニーク!$C:$C,"&gt;="&amp;AJ$3,[5]流入チャネル別顧客一覧_ユニーク!$C:$C,"&lt;"&amp;EDATE(AJ$3,1),[5]流入チャネル別顧客一覧_ユニーク!$H:$H,"mail")+COUNTIFS([5]流入チャネル別顧客一覧_ユニーク!$C:$C,"&gt;="&amp;AJ$3,[5]流入チャネル別顧客一覧_ユニーク!$C:$C,"&lt;"&amp;EDATE(AJ$3,1),[5]流入チャネル別顧客一覧_ユニーク!$H:$H,"Eメールマーケティング")</f>
        <v>0</v>
      </c>
      <c r="AK48" s="2">
        <f>COUNTIFS([5]流入チャネル別顧客一覧_ユニーク!$C:$C,"&gt;="&amp;AK$3,[5]流入チャネル別顧客一覧_ユニーク!$C:$C,"&lt;"&amp;EDATE(AK$3,1),[5]流入チャネル別顧客一覧_ユニーク!$H:$H,"mail")+COUNTIFS([5]流入チャネル別顧客一覧_ユニーク!$C:$C,"&gt;="&amp;AK$3,[5]流入チャネル別顧客一覧_ユニーク!$C:$C,"&lt;"&amp;EDATE(AK$3,1),[5]流入チャネル別顧客一覧_ユニーク!$H:$H,"Eメールマーケティング")</f>
        <v>0</v>
      </c>
      <c r="AL48" s="8">
        <f t="shared" si="31"/>
        <v>83</v>
      </c>
      <c r="AM48" s="2">
        <f t="shared" si="32"/>
        <v>153</v>
      </c>
      <c r="AN48" s="2">
        <f t="shared" si="33"/>
        <v>37</v>
      </c>
      <c r="AO48" s="35"/>
      <c r="AP48" s="35"/>
      <c r="AQ48" s="35"/>
      <c r="AR48" s="35"/>
      <c r="AS48" s="35"/>
      <c r="AT48" s="35"/>
    </row>
    <row r="49" spans="1:50" ht="18">
      <c r="A49" s="1" t="s">
        <v>61</v>
      </c>
      <c r="B49" s="2" t="s">
        <v>19</v>
      </c>
      <c r="C49" s="2" t="s">
        <v>19</v>
      </c>
      <c r="D49" s="2" t="s">
        <v>19</v>
      </c>
      <c r="E49" s="2">
        <v>12</v>
      </c>
      <c r="F49" s="2">
        <v>1</v>
      </c>
      <c r="G49" s="2">
        <v>2</v>
      </c>
      <c r="H49" s="2">
        <v>1</v>
      </c>
      <c r="I49" s="2">
        <v>3</v>
      </c>
      <c r="J49" s="2">
        <v>0</v>
      </c>
      <c r="K49" s="2">
        <v>0</v>
      </c>
      <c r="L49" s="2">
        <v>2</v>
      </c>
      <c r="M49" s="2">
        <v>2</v>
      </c>
      <c r="N49" s="2">
        <f>COUNTIFS([5]流入チャネル別顧客一覧_ユニーク!$C:$C,"&gt;="&amp;N$3,[5]流入チャネル別顧客一覧_ユニーク!$C:$C,"&lt;"&amp;EDATE(N$3,1),[5]流入チャネル別顧客一覧_ユニーク!$H:$H,"direct")+COUNTIFS([5]流入チャネル別顧客一覧_ユニーク!$C:$C,"&gt;="&amp;N$3,[5]流入チャネル別顧客一覧_ユニーク!$C:$C,"&lt;"&amp;EDATE(N$3,1),[5]流入チャネル別顧客一覧_ユニーク!$H:$H,"直接トラフィック")</f>
        <v>1</v>
      </c>
      <c r="O49" s="2">
        <f>COUNTIFS([5]流入チャネル別顧客一覧_ユニーク!$C:$C,"&gt;="&amp;O$3,[5]流入チャネル別顧客一覧_ユニーク!$C:$C,"&lt;"&amp;EDATE(O$3,1),[5]流入チャネル別顧客一覧_ユニーク!$H:$H,"direct")+COUNTIFS([5]流入チャネル別顧客一覧_ユニーク!$C:$C,"&gt;="&amp;O$3,[5]流入チャネル別顧客一覧_ユニーク!$C:$C,"&lt;"&amp;EDATE(O$3,1),[5]流入チャネル別顧客一覧_ユニーク!$H:$H,"直接トラフィック")</f>
        <v>0</v>
      </c>
      <c r="P49" s="2">
        <f>COUNTIFS([5]流入チャネル別顧客一覧_ユニーク!$C:$C,"&gt;="&amp;P$3,[5]流入チャネル別顧客一覧_ユニーク!$C:$C,"&lt;"&amp;EDATE(P$3,1),[5]流入チャネル別顧客一覧_ユニーク!$H:$H,"direct")+COUNTIFS([5]流入チャネル別顧客一覧_ユニーク!$C:$C,"&gt;="&amp;P$3,[5]流入チャネル別顧客一覧_ユニーク!$C:$C,"&lt;"&amp;EDATE(P$3,1),[5]流入チャネル別顧客一覧_ユニーク!$H:$H,"直接トラフィック")</f>
        <v>0</v>
      </c>
      <c r="Q49" s="2">
        <f>COUNTIFS([5]流入チャネル別顧客一覧_ユニーク!$C:$C,"&gt;="&amp;Q$3,[5]流入チャネル別顧客一覧_ユニーク!$C:$C,"&lt;"&amp;EDATE(Q$3,1),[5]流入チャネル別顧客一覧_ユニーク!$H:$H,"direct")+COUNTIFS([5]流入チャネル別顧客一覧_ユニーク!$C:$C,"&gt;="&amp;Q$3,[5]流入チャネル別顧客一覧_ユニーク!$C:$C,"&lt;"&amp;EDATE(Q$3,1),[5]流入チャネル別顧客一覧_ユニーク!$H:$H,"直接トラフィック")</f>
        <v>0</v>
      </c>
      <c r="R49" s="2">
        <f>COUNTIFS([5]流入チャネル別顧客一覧_ユニーク!$C:$C,"&gt;="&amp;R$3,[5]流入チャネル別顧客一覧_ユニーク!$C:$C,"&lt;"&amp;EDATE(R$3,1),[5]流入チャネル別顧客一覧_ユニーク!$H:$H,"direct")+COUNTIFS([5]流入チャネル別顧客一覧_ユニーク!$C:$C,"&gt;="&amp;R$3,[5]流入チャネル別顧客一覧_ユニーク!$C:$C,"&lt;"&amp;EDATE(R$3,1),[5]流入チャネル別顧客一覧_ユニーク!$H:$H,"直接トラフィック")</f>
        <v>0</v>
      </c>
      <c r="S49" s="2">
        <f>COUNTIFS([5]流入チャネル別顧客一覧_ユニーク!$C:$C,"&gt;="&amp;S$3,[5]流入チャネル別顧客一覧_ユニーク!$C:$C,"&lt;"&amp;EDATE(S$3,1),[5]流入チャネル別顧客一覧_ユニーク!$H:$H,"direct")+COUNTIFS([5]流入チャネル別顧客一覧_ユニーク!$C:$C,"&gt;="&amp;S$3,[5]流入チャネル別顧客一覧_ユニーク!$C:$C,"&lt;"&amp;EDATE(S$3,1),[5]流入チャネル別顧客一覧_ユニーク!$H:$H,"直接トラフィック")</f>
        <v>2</v>
      </c>
      <c r="T49" s="2">
        <f>COUNTIFS([5]流入チャネル別顧客一覧_ユニーク!$C:$C,"&gt;="&amp;T$3,[5]流入チャネル別顧客一覧_ユニーク!$C:$C,"&lt;"&amp;EDATE(T$3,1),[5]流入チャネル別顧客一覧_ユニーク!$H:$H,"direct")+COUNTIFS([5]流入チャネル別顧客一覧_ユニーク!$C:$C,"&gt;="&amp;T$3,[5]流入チャネル別顧客一覧_ユニーク!$C:$C,"&lt;"&amp;EDATE(T$3,1),[5]流入チャネル別顧客一覧_ユニーク!$H:$H,"直接トラフィック")</f>
        <v>2</v>
      </c>
      <c r="U49" s="2">
        <f>COUNTIFS([5]流入チャネル別顧客一覧_ユニーク!$C:$C,"&gt;="&amp;U$3,[5]流入チャネル別顧客一覧_ユニーク!$C:$C,"&lt;"&amp;EDATE(U$3,1),[5]流入チャネル別顧客一覧_ユニーク!$H:$H,"direct")+COUNTIFS([5]流入チャネル別顧客一覧_ユニーク!$C:$C,"&gt;="&amp;U$3,[5]流入チャネル別顧客一覧_ユニーク!$C:$C,"&lt;"&amp;EDATE(U$3,1),[5]流入チャネル別顧客一覧_ユニーク!$H:$H,"直接トラフィック")</f>
        <v>2</v>
      </c>
      <c r="V49" s="2">
        <f>COUNTIFS([5]流入チャネル別顧客一覧_ユニーク!$C:$C,"&gt;="&amp;V$3,[5]流入チャネル別顧客一覧_ユニーク!$C:$C,"&lt;"&amp;EDATE(V$3,1),[5]流入チャネル別顧客一覧_ユニーク!$H:$H,"direct")+COUNTIFS([5]流入チャネル別顧客一覧_ユニーク!$C:$C,"&gt;="&amp;V$3,[5]流入チャネル別顧客一覧_ユニーク!$C:$C,"&lt;"&amp;EDATE(V$3,1),[5]流入チャネル別顧客一覧_ユニーク!$H:$H,"直接トラフィック")</f>
        <v>0</v>
      </c>
      <c r="W49" s="2">
        <f>COUNTIFS([5]流入チャネル別顧客一覧_ユニーク!$C:$C,"&gt;="&amp;W$3,[5]流入チャネル別顧客一覧_ユニーク!$C:$C,"&lt;"&amp;EDATE(W$3,1),[5]流入チャネル別顧客一覧_ユニーク!$H:$H,"direct")+COUNTIFS([5]流入チャネル別顧客一覧_ユニーク!$C:$C,"&gt;="&amp;W$3,[5]流入チャネル別顧客一覧_ユニーク!$C:$C,"&lt;"&amp;EDATE(W$3,1),[5]流入チャネル別顧客一覧_ユニーク!$H:$H,"直接トラフィック")</f>
        <v>0</v>
      </c>
      <c r="X49" s="2">
        <f>COUNTIFS([5]流入チャネル別顧客一覧_ユニーク!$C:$C,"&gt;="&amp;X$3,[5]流入チャネル別顧客一覧_ユニーク!$C:$C,"&lt;"&amp;EDATE(X$3,1),[5]流入チャネル別顧客一覧_ユニーク!$H:$H,"direct")+COUNTIFS([5]流入チャネル別顧客一覧_ユニーク!$C:$C,"&gt;="&amp;X$3,[5]流入チャネル別顧客一覧_ユニーク!$C:$C,"&lt;"&amp;EDATE(X$3,1),[5]流入チャネル別顧客一覧_ユニーク!$H:$H,"直接トラフィック")</f>
        <v>1</v>
      </c>
      <c r="Y49" s="2">
        <f>COUNTIFS([5]流入チャネル別顧客一覧_ユニーク!$C:$C,"&gt;="&amp;Y$3,[5]流入チャネル別顧客一覧_ユニーク!$C:$C,"&lt;"&amp;EDATE(Y$3,1),[5]流入チャネル別顧客一覧_ユニーク!$H:$H,"direct")+COUNTIFS([5]流入チャネル別顧客一覧_ユニーク!$C:$C,"&gt;="&amp;Y$3,[5]流入チャネル別顧客一覧_ユニーク!$C:$C,"&lt;"&amp;EDATE(Y$3,1),[5]流入チャネル別顧客一覧_ユニーク!$H:$H,"直接トラフィック")</f>
        <v>0</v>
      </c>
      <c r="Z49" s="2">
        <f>COUNTIFS([5]流入チャネル別顧客一覧_ユニーク!$C:$C,"&gt;="&amp;Z$3,[5]流入チャネル別顧客一覧_ユニーク!$C:$C,"&lt;"&amp;EDATE(Z$3,1),[5]流入チャネル別顧客一覧_ユニーク!$H:$H,"direct")+COUNTIFS([5]流入チャネル別顧客一覧_ユニーク!$C:$C,"&gt;="&amp;Z$3,[5]流入チャネル別顧客一覧_ユニーク!$C:$C,"&lt;"&amp;EDATE(Z$3,1),[5]流入チャネル別顧客一覧_ユニーク!$H:$H,"直接トラフィック")</f>
        <v>0</v>
      </c>
      <c r="AA49" s="2">
        <f>COUNTIFS([5]流入チャネル別顧客一覧_ユニーク!$C:$C,"&gt;="&amp;AA$3,[5]流入チャネル別顧客一覧_ユニーク!$C:$C,"&lt;"&amp;EDATE(AA$3,1),[5]流入チャネル別顧客一覧_ユニーク!$H:$H,"direct")+COUNTIFS([5]流入チャネル別顧客一覧_ユニーク!$C:$C,"&gt;="&amp;AA$3,[5]流入チャネル別顧客一覧_ユニーク!$C:$C,"&lt;"&amp;EDATE(AA$3,1),[5]流入チャネル別顧客一覧_ユニーク!$H:$H,"直接トラフィック")</f>
        <v>1</v>
      </c>
      <c r="AB49" s="2">
        <f>COUNTIFS([5]流入チャネル別顧客一覧_ユニーク!$C:$C,"&gt;="&amp;AB$3,[5]流入チャネル別顧客一覧_ユニーク!$C:$C,"&lt;"&amp;EDATE(AB$3,1),[5]流入チャネル別顧客一覧_ユニーク!$H:$H,"direct")+COUNTIFS([5]流入チャネル別顧客一覧_ユニーク!$C:$C,"&gt;="&amp;AB$3,[5]流入チャネル別顧客一覧_ユニーク!$C:$C,"&lt;"&amp;EDATE(AB$3,1),[5]流入チャネル別顧客一覧_ユニーク!$H:$H,"直接トラフィック")</f>
        <v>1</v>
      </c>
      <c r="AC49" s="2">
        <f>COUNTIFS([5]流入チャネル別顧客一覧_ユニーク!$C:$C,"&gt;="&amp;AC$3,[5]流入チャネル別顧客一覧_ユニーク!$C:$C,"&lt;"&amp;EDATE(AC$3,1),[5]流入チャネル別顧客一覧_ユニーク!$H:$H,"direct")+COUNTIFS([5]流入チャネル別顧客一覧_ユニーク!$C:$C,"&gt;="&amp;AC$3,[5]流入チャネル別顧客一覧_ユニーク!$C:$C,"&lt;"&amp;EDATE(AC$3,1),[5]流入チャネル別顧客一覧_ユニーク!$H:$H,"直接トラフィック")</f>
        <v>1</v>
      </c>
      <c r="AD49" s="2">
        <f>COUNTIFS([5]流入チャネル別顧客一覧_ユニーク!$C:$C,"&gt;="&amp;AD$3,[5]流入チャネル別顧客一覧_ユニーク!$C:$C,"&lt;"&amp;EDATE(AD$3,1),[5]流入チャネル別顧客一覧_ユニーク!$H:$H,"direct")+COUNTIFS([5]流入チャネル別顧客一覧_ユニーク!$C:$C,"&gt;="&amp;AD$3,[5]流入チャネル別顧客一覧_ユニーク!$C:$C,"&lt;"&amp;EDATE(AD$3,1),[5]流入チャネル別顧客一覧_ユニーク!$H:$H,"直接トラフィック")</f>
        <v>0</v>
      </c>
      <c r="AE49" s="2">
        <f>COUNTIFS([5]流入チャネル別顧客一覧_ユニーク!$C:$C,"&gt;="&amp;AE$3,[5]流入チャネル別顧客一覧_ユニーク!$C:$C,"&lt;"&amp;EDATE(AE$3,1),[5]流入チャネル別顧客一覧_ユニーク!$H:$H,"direct")+COUNTIFS([5]流入チャネル別顧客一覧_ユニーク!$C:$C,"&gt;="&amp;AE$3,[5]流入チャネル別顧客一覧_ユニーク!$C:$C,"&lt;"&amp;EDATE(AE$3,1),[5]流入チャネル別顧客一覧_ユニーク!$H:$H,"直接トラフィック")</f>
        <v>0</v>
      </c>
      <c r="AF49" s="2">
        <f>COUNTIFS([5]流入チャネル別顧客一覧_ユニーク!$C:$C,"&gt;="&amp;AF$3,[5]流入チャネル別顧客一覧_ユニーク!$C:$C,"&lt;"&amp;EDATE(AF$3,1),[5]流入チャネル別顧客一覧_ユニーク!$H:$H,"direct")+COUNTIFS([5]流入チャネル別顧客一覧_ユニーク!$C:$C,"&gt;="&amp;AF$3,[5]流入チャネル別顧客一覧_ユニーク!$C:$C,"&lt;"&amp;EDATE(AF$3,1),[5]流入チャネル別顧客一覧_ユニーク!$H:$H,"直接トラフィック")</f>
        <v>0</v>
      </c>
      <c r="AG49" s="2">
        <f>COUNTIFS([5]流入チャネル別顧客一覧_ユニーク!$C:$C,"&gt;="&amp;AG$3,[5]流入チャネル別顧客一覧_ユニーク!$C:$C,"&lt;"&amp;EDATE(AG$3,1),[5]流入チャネル別顧客一覧_ユニーク!$H:$H,"direct")+COUNTIFS([5]流入チャネル別顧客一覧_ユニーク!$C:$C,"&gt;="&amp;AG$3,[5]流入チャネル別顧客一覧_ユニーク!$C:$C,"&lt;"&amp;EDATE(AG$3,1),[5]流入チャネル別顧客一覧_ユニーク!$H:$H,"直接トラフィック")</f>
        <v>0</v>
      </c>
      <c r="AH49" s="2">
        <f>COUNTIFS([5]流入チャネル別顧客一覧_ユニーク!$C:$C,"&gt;="&amp;AH$3,[5]流入チャネル別顧客一覧_ユニーク!$C:$C,"&lt;"&amp;EDATE(AH$3,1),[5]流入チャネル別顧客一覧_ユニーク!$H:$H,"direct")+COUNTIFS([5]流入チャネル別顧客一覧_ユニーク!$C:$C,"&gt;="&amp;AH$3,[5]流入チャネル別顧客一覧_ユニーク!$C:$C,"&lt;"&amp;EDATE(AH$3,1),[5]流入チャネル別顧客一覧_ユニーク!$H:$H,"直接トラフィック")</f>
        <v>0</v>
      </c>
      <c r="AI49" s="2">
        <f>COUNTIFS([5]流入チャネル別顧客一覧_ユニーク!$C:$C,"&gt;="&amp;AI$3,[5]流入チャネル別顧客一覧_ユニーク!$C:$C,"&lt;"&amp;EDATE(AI$3,1),[5]流入チャネル別顧客一覧_ユニーク!$H:$H,"direct")+COUNTIFS([5]流入チャネル別顧客一覧_ユニーク!$C:$C,"&gt;="&amp;AI$3,[5]流入チャネル別顧客一覧_ユニーク!$C:$C,"&lt;"&amp;EDATE(AI$3,1),[5]流入チャネル別顧客一覧_ユニーク!$H:$H,"直接トラフィック")</f>
        <v>0</v>
      </c>
      <c r="AJ49" s="2">
        <f>COUNTIFS([5]流入チャネル別顧客一覧_ユニーク!$C:$C,"&gt;="&amp;AJ$3,[5]流入チャネル別顧客一覧_ユニーク!$C:$C,"&lt;"&amp;EDATE(AJ$3,1),[5]流入チャネル別顧客一覧_ユニーク!$H:$H,"direct")+COUNTIFS([5]流入チャネル別顧客一覧_ユニーク!$C:$C,"&gt;="&amp;AJ$3,[5]流入チャネル別顧客一覧_ユニーク!$C:$C,"&lt;"&amp;EDATE(AJ$3,1),[5]流入チャネル別顧客一覧_ユニーク!$H:$H,"直接トラフィック")</f>
        <v>0</v>
      </c>
      <c r="AK49" s="2">
        <f>COUNTIFS([5]流入チャネル別顧客一覧_ユニーク!$C:$C,"&gt;="&amp;AK$3,[5]流入チャネル別顧客一覧_ユニーク!$C:$C,"&lt;"&amp;EDATE(AK$3,1),[5]流入チャネル別顧客一覧_ユニーク!$H:$H,"direct")+COUNTIFS([5]流入チャネル別顧客一覧_ユニーク!$C:$C,"&gt;="&amp;AK$3,[5]流入チャネル別顧客一覧_ユニーク!$C:$C,"&lt;"&amp;EDATE(AK$3,1),[5]流入チャネル別顧客一覧_ユニーク!$H:$H,"直接トラフィック")</f>
        <v>0</v>
      </c>
      <c r="AL49" s="8">
        <f t="shared" si="31"/>
        <v>23</v>
      </c>
      <c r="AM49" s="2">
        <f t="shared" si="32"/>
        <v>8</v>
      </c>
      <c r="AN49" s="2">
        <f t="shared" si="33"/>
        <v>3</v>
      </c>
      <c r="AO49" s="35"/>
      <c r="AP49" s="35"/>
      <c r="AQ49" s="35"/>
      <c r="AR49" s="35"/>
      <c r="AS49" s="35"/>
      <c r="AT49" s="35"/>
    </row>
    <row r="50" spans="1:50" ht="18">
      <c r="A50" s="1" t="s">
        <v>62</v>
      </c>
      <c r="B50" s="2" t="s">
        <v>19</v>
      </c>
      <c r="C50" s="2" t="s">
        <v>19</v>
      </c>
      <c r="D50" s="2" t="s">
        <v>19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3</v>
      </c>
      <c r="N50" s="2">
        <f>COUNTIFS([5]流入チャネル別顧客一覧_ユニーク!$C:$C,"&gt;="&amp;N$3,[5]流入チャネル別顧客一覧_ユニーク!$C:$C,"&lt;"&amp;EDATE(N$3,1),[5]流入チャネル別顧客一覧_ユニーク!$H:$H,"link")+COUNTIFS([5]流入チャネル別顧客一覧_ユニーク!$C:$C,"&gt;="&amp;N$3,[5]流入チャネル別顧客一覧_ユニーク!$C:$C,"&lt;"&amp;EDATE(N$3,1),[5]流入チャネル別顧客一覧_ユニーク!$H:$H,"リファラル")+COUNTIFS([5]流入チャネル別顧客一覧_ユニーク!$C:$C,"&gt;="&amp;N$3,[5]流入チャネル別顧客一覧_ユニーク!$C:$C,"&lt;"&amp;EDATE(N$3,1),[5]流入チャネル別顧客一覧_ユニーク!$H:$H,"AIリファーラル")+COUNTIFS([5]流入チャネル別顧客一覧_ユニーク!$C:$C,"&gt;="&amp;N$3,[5]流入チャネル別顧客一覧_ユニーク!$C:$C,"&lt;"&amp;EDATE(N$3,1),[5]流入チャネル別顧客一覧_ユニーク!$H:$H,"リファーラル")</f>
        <v>0</v>
      </c>
      <c r="O50" s="2">
        <f>COUNTIFS([5]流入チャネル別顧客一覧_ユニーク!$C:$C,"&gt;="&amp;O$3,[5]流入チャネル別顧客一覧_ユニーク!$C:$C,"&lt;"&amp;EDATE(O$3,1),[5]流入チャネル別顧客一覧_ユニーク!$H:$H,"link")+COUNTIFS([5]流入チャネル別顧客一覧_ユニーク!$C:$C,"&gt;="&amp;O$3,[5]流入チャネル別顧客一覧_ユニーク!$C:$C,"&lt;"&amp;EDATE(O$3,1),[5]流入チャネル別顧客一覧_ユニーク!$H:$H,"リファラル")+COUNTIFS([5]流入チャネル別顧客一覧_ユニーク!$C:$C,"&gt;="&amp;O$3,[5]流入チャネル別顧客一覧_ユニーク!$C:$C,"&lt;"&amp;EDATE(O$3,1),[5]流入チャネル別顧客一覧_ユニーク!$H:$H,"AIリファーラル")+COUNTIFS([5]流入チャネル別顧客一覧_ユニーク!$C:$C,"&gt;="&amp;O$3,[5]流入チャネル別顧客一覧_ユニーク!$C:$C,"&lt;"&amp;EDATE(O$3,1),[5]流入チャネル別顧客一覧_ユニーク!$H:$H,"リファーラル")</f>
        <v>1</v>
      </c>
      <c r="P50" s="2">
        <f>COUNTIFS([5]流入チャネル別顧客一覧_ユニーク!$C:$C,"&gt;="&amp;P$3,[5]流入チャネル別顧客一覧_ユニーク!$C:$C,"&lt;"&amp;EDATE(P$3,1),[5]流入チャネル別顧客一覧_ユニーク!$H:$H,"link")+COUNTIFS([5]流入チャネル別顧客一覧_ユニーク!$C:$C,"&gt;="&amp;P$3,[5]流入チャネル別顧客一覧_ユニーク!$C:$C,"&lt;"&amp;EDATE(P$3,1),[5]流入チャネル別顧客一覧_ユニーク!$H:$H,"リファラル")+COUNTIFS([5]流入チャネル別顧客一覧_ユニーク!$C:$C,"&gt;="&amp;P$3,[5]流入チャネル別顧客一覧_ユニーク!$C:$C,"&lt;"&amp;EDATE(P$3,1),[5]流入チャネル別顧客一覧_ユニーク!$H:$H,"AIリファーラル")+COUNTIFS([5]流入チャネル別顧客一覧_ユニーク!$C:$C,"&gt;="&amp;P$3,[5]流入チャネル別顧客一覧_ユニーク!$C:$C,"&lt;"&amp;EDATE(P$3,1),[5]流入チャネル別顧客一覧_ユニーク!$H:$H,"リファーラル")</f>
        <v>1</v>
      </c>
      <c r="Q50" s="2">
        <f>COUNTIFS([5]流入チャネル別顧客一覧_ユニーク!$C:$C,"&gt;="&amp;Q$3,[5]流入チャネル別顧客一覧_ユニーク!$C:$C,"&lt;"&amp;EDATE(Q$3,1),[5]流入チャネル別顧客一覧_ユニーク!$H:$H,"link")+COUNTIFS([5]流入チャネル別顧客一覧_ユニーク!$C:$C,"&gt;="&amp;Q$3,[5]流入チャネル別顧客一覧_ユニーク!$C:$C,"&lt;"&amp;EDATE(Q$3,1),[5]流入チャネル別顧客一覧_ユニーク!$H:$H,"リファラル")+COUNTIFS([5]流入チャネル別顧客一覧_ユニーク!$C:$C,"&gt;="&amp;Q$3,[5]流入チャネル別顧客一覧_ユニーク!$C:$C,"&lt;"&amp;EDATE(Q$3,1),[5]流入チャネル別顧客一覧_ユニーク!$H:$H,"AIリファーラル")+COUNTIFS([5]流入チャネル別顧客一覧_ユニーク!$C:$C,"&gt;="&amp;Q$3,[5]流入チャネル別顧客一覧_ユニーク!$C:$C,"&lt;"&amp;EDATE(Q$3,1),[5]流入チャネル別顧客一覧_ユニーク!$H:$H,"リファーラル")</f>
        <v>1</v>
      </c>
      <c r="R50" s="2">
        <f>COUNTIFS([5]流入チャネル別顧客一覧_ユニーク!$C:$C,"&gt;="&amp;R$3,[5]流入チャネル別顧客一覧_ユニーク!$C:$C,"&lt;"&amp;EDATE(R$3,1),[5]流入チャネル別顧客一覧_ユニーク!$H:$H,"link")+COUNTIFS([5]流入チャネル別顧客一覧_ユニーク!$C:$C,"&gt;="&amp;R$3,[5]流入チャネル別顧客一覧_ユニーク!$C:$C,"&lt;"&amp;EDATE(R$3,1),[5]流入チャネル別顧客一覧_ユニーク!$H:$H,"リファラル")+COUNTIFS([5]流入チャネル別顧客一覧_ユニーク!$C:$C,"&gt;="&amp;R$3,[5]流入チャネル別顧客一覧_ユニーク!$C:$C,"&lt;"&amp;EDATE(R$3,1),[5]流入チャネル別顧客一覧_ユニーク!$H:$H,"AIリファーラル")+COUNTIFS([5]流入チャネル別顧客一覧_ユニーク!$C:$C,"&gt;="&amp;R$3,[5]流入チャネル別顧客一覧_ユニーク!$C:$C,"&lt;"&amp;EDATE(R$3,1),[5]流入チャネル別顧客一覧_ユニーク!$H:$H,"リファーラル")</f>
        <v>0</v>
      </c>
      <c r="S50" s="2">
        <f>COUNTIFS([5]流入チャネル別顧客一覧_ユニーク!$C:$C,"&gt;="&amp;S$3,[5]流入チャネル別顧客一覧_ユニーク!$C:$C,"&lt;"&amp;EDATE(S$3,1),[5]流入チャネル別顧客一覧_ユニーク!$H:$H,"link")+COUNTIFS([5]流入チャネル別顧客一覧_ユニーク!$C:$C,"&gt;="&amp;S$3,[5]流入チャネル別顧客一覧_ユニーク!$C:$C,"&lt;"&amp;EDATE(S$3,1),[5]流入チャネル別顧客一覧_ユニーク!$H:$H,"リファラル")+COUNTIFS([5]流入チャネル別顧客一覧_ユニーク!$C:$C,"&gt;="&amp;S$3,[5]流入チャネル別顧客一覧_ユニーク!$C:$C,"&lt;"&amp;EDATE(S$3,1),[5]流入チャネル別顧客一覧_ユニーク!$H:$H,"AIリファーラル")+COUNTIFS([5]流入チャネル別顧客一覧_ユニーク!$C:$C,"&gt;="&amp;S$3,[5]流入チャネル別顧客一覧_ユニーク!$C:$C,"&lt;"&amp;EDATE(S$3,1),[5]流入チャネル別顧客一覧_ユニーク!$H:$H,"リファーラル")</f>
        <v>1</v>
      </c>
      <c r="T50" s="2">
        <f>COUNTIFS([5]流入チャネル別顧客一覧_ユニーク!$C:$C,"&gt;="&amp;T$3,[5]流入チャネル別顧客一覧_ユニーク!$C:$C,"&lt;"&amp;EDATE(T$3,1),[5]流入チャネル別顧客一覧_ユニーク!$H:$H,"link")+COUNTIFS([5]流入チャネル別顧客一覧_ユニーク!$C:$C,"&gt;="&amp;T$3,[5]流入チャネル別顧客一覧_ユニーク!$C:$C,"&lt;"&amp;EDATE(T$3,1),[5]流入チャネル別顧客一覧_ユニーク!$H:$H,"リファラル")+COUNTIFS([5]流入チャネル別顧客一覧_ユニーク!$C:$C,"&gt;="&amp;T$3,[5]流入チャネル別顧客一覧_ユニーク!$C:$C,"&lt;"&amp;EDATE(T$3,1),[5]流入チャネル別顧客一覧_ユニーク!$H:$H,"AIリファーラル")+COUNTIFS([5]流入チャネル別顧客一覧_ユニーク!$C:$C,"&gt;="&amp;T$3,[5]流入チャネル別顧客一覧_ユニーク!$C:$C,"&lt;"&amp;EDATE(T$3,1),[5]流入チャネル別顧客一覧_ユニーク!$H:$H,"リファーラル")</f>
        <v>1</v>
      </c>
      <c r="U50" s="2">
        <f>COUNTIFS([5]流入チャネル別顧客一覧_ユニーク!$C:$C,"&gt;="&amp;U$3,[5]流入チャネル別顧客一覧_ユニーク!$C:$C,"&lt;"&amp;EDATE(U$3,1),[5]流入チャネル別顧客一覧_ユニーク!$H:$H,"link")+COUNTIFS([5]流入チャネル別顧客一覧_ユニーク!$C:$C,"&gt;="&amp;U$3,[5]流入チャネル別顧客一覧_ユニーク!$C:$C,"&lt;"&amp;EDATE(U$3,1),[5]流入チャネル別顧客一覧_ユニーク!$H:$H,"リファラル")+COUNTIFS([5]流入チャネル別顧客一覧_ユニーク!$C:$C,"&gt;="&amp;U$3,[5]流入チャネル別顧客一覧_ユニーク!$C:$C,"&lt;"&amp;EDATE(U$3,1),[5]流入チャネル別顧客一覧_ユニーク!$H:$H,"AIリファーラル")+COUNTIFS([5]流入チャネル別顧客一覧_ユニーク!$C:$C,"&gt;="&amp;U$3,[5]流入チャネル別顧客一覧_ユニーク!$C:$C,"&lt;"&amp;EDATE(U$3,1),[5]流入チャネル別顧客一覧_ユニーク!$H:$H,"リファーラル")</f>
        <v>0</v>
      </c>
      <c r="V50" s="2">
        <f>COUNTIFS([5]流入チャネル別顧客一覧_ユニーク!$C:$C,"&gt;="&amp;V$3,[5]流入チャネル別顧客一覧_ユニーク!$C:$C,"&lt;"&amp;EDATE(V$3,1),[5]流入チャネル別顧客一覧_ユニーク!$H:$H,"link")+COUNTIFS([5]流入チャネル別顧客一覧_ユニーク!$C:$C,"&gt;="&amp;V$3,[5]流入チャネル別顧客一覧_ユニーク!$C:$C,"&lt;"&amp;EDATE(V$3,1),[5]流入チャネル別顧客一覧_ユニーク!$H:$H,"リファラル")+COUNTIFS([5]流入チャネル別顧客一覧_ユニーク!$C:$C,"&gt;="&amp;V$3,[5]流入チャネル別顧客一覧_ユニーク!$C:$C,"&lt;"&amp;EDATE(V$3,1),[5]流入チャネル別顧客一覧_ユニーク!$H:$H,"AIリファーラル")+COUNTIFS([5]流入チャネル別顧客一覧_ユニーク!$C:$C,"&gt;="&amp;V$3,[5]流入チャネル別顧客一覧_ユニーク!$C:$C,"&lt;"&amp;EDATE(V$3,1),[5]流入チャネル別顧客一覧_ユニーク!$H:$H,"リファーラル")</f>
        <v>0</v>
      </c>
      <c r="W50" s="2">
        <f>COUNTIFS([5]流入チャネル別顧客一覧_ユニーク!$C:$C,"&gt;="&amp;W$3,[5]流入チャネル別顧客一覧_ユニーク!$C:$C,"&lt;"&amp;EDATE(W$3,1),[5]流入チャネル別顧客一覧_ユニーク!$H:$H,"link")+COUNTIFS([5]流入チャネル別顧客一覧_ユニーク!$C:$C,"&gt;="&amp;W$3,[5]流入チャネル別顧客一覧_ユニーク!$C:$C,"&lt;"&amp;EDATE(W$3,1),[5]流入チャネル別顧客一覧_ユニーク!$H:$H,"リファラル")+COUNTIFS([5]流入チャネル別顧客一覧_ユニーク!$C:$C,"&gt;="&amp;W$3,[5]流入チャネル別顧客一覧_ユニーク!$C:$C,"&lt;"&amp;EDATE(W$3,1),[5]流入チャネル別顧客一覧_ユニーク!$H:$H,"AIリファーラル")+COUNTIFS([5]流入チャネル別顧客一覧_ユニーク!$C:$C,"&gt;="&amp;W$3,[5]流入チャネル別顧客一覧_ユニーク!$C:$C,"&lt;"&amp;EDATE(W$3,1),[5]流入チャネル別顧客一覧_ユニーク!$H:$H,"リファーラル")</f>
        <v>1</v>
      </c>
      <c r="X50" s="2">
        <f>COUNTIFS([5]流入チャネル別顧客一覧_ユニーク!$C:$C,"&gt;="&amp;X$3,[5]流入チャネル別顧客一覧_ユニーク!$C:$C,"&lt;"&amp;EDATE(X$3,1),[5]流入チャネル別顧客一覧_ユニーク!$H:$H,"link")+COUNTIFS([5]流入チャネル別顧客一覧_ユニーク!$C:$C,"&gt;="&amp;X$3,[5]流入チャネル別顧客一覧_ユニーク!$C:$C,"&lt;"&amp;EDATE(X$3,1),[5]流入チャネル別顧客一覧_ユニーク!$H:$H,"リファラル")+COUNTIFS([5]流入チャネル別顧客一覧_ユニーク!$C:$C,"&gt;="&amp;X$3,[5]流入チャネル別顧客一覧_ユニーク!$C:$C,"&lt;"&amp;EDATE(X$3,1),[5]流入チャネル別顧客一覧_ユニーク!$H:$H,"AIリファーラル")+COUNTIFS([5]流入チャネル別顧客一覧_ユニーク!$C:$C,"&gt;="&amp;X$3,[5]流入チャネル別顧客一覧_ユニーク!$C:$C,"&lt;"&amp;EDATE(X$3,1),[5]流入チャネル別顧客一覧_ユニーク!$H:$H,"リファーラル")</f>
        <v>0</v>
      </c>
      <c r="Y50" s="2">
        <f>COUNTIFS([5]流入チャネル別顧客一覧_ユニーク!$C:$C,"&gt;="&amp;Y$3,[5]流入チャネル別顧客一覧_ユニーク!$C:$C,"&lt;"&amp;EDATE(Y$3,1),[5]流入チャネル別顧客一覧_ユニーク!$H:$H,"link")+COUNTIFS([5]流入チャネル別顧客一覧_ユニーク!$C:$C,"&gt;="&amp;Y$3,[5]流入チャネル別顧客一覧_ユニーク!$C:$C,"&lt;"&amp;EDATE(Y$3,1),[5]流入チャネル別顧客一覧_ユニーク!$H:$H,"リファラル")+COUNTIFS([5]流入チャネル別顧客一覧_ユニーク!$C:$C,"&gt;="&amp;Y$3,[5]流入チャネル別顧客一覧_ユニーク!$C:$C,"&lt;"&amp;EDATE(Y$3,1),[5]流入チャネル別顧客一覧_ユニーク!$H:$H,"AIリファーラル")+COUNTIFS([5]流入チャネル別顧客一覧_ユニーク!$C:$C,"&gt;="&amp;Y$3,[5]流入チャネル別顧客一覧_ユニーク!$C:$C,"&lt;"&amp;EDATE(Y$3,1),[5]流入チャネル別顧客一覧_ユニーク!$H:$H,"リファーラル")</f>
        <v>0</v>
      </c>
      <c r="Z50" s="2">
        <f>COUNTIFS([5]流入チャネル別顧客一覧_ユニーク!$C:$C,"&gt;="&amp;Z$3,[5]流入チャネル別顧客一覧_ユニーク!$C:$C,"&lt;"&amp;EDATE(Z$3,1),[5]流入チャネル別顧客一覧_ユニーク!$H:$H,"link")+COUNTIFS([5]流入チャネル別顧客一覧_ユニーク!$C:$C,"&gt;="&amp;Z$3,[5]流入チャネル別顧客一覧_ユニーク!$C:$C,"&lt;"&amp;EDATE(Z$3,1),[5]流入チャネル別顧客一覧_ユニーク!$H:$H,"リファラル")+COUNTIFS([5]流入チャネル別顧客一覧_ユニーク!$C:$C,"&gt;="&amp;Z$3,[5]流入チャネル別顧客一覧_ユニーク!$C:$C,"&lt;"&amp;EDATE(Z$3,1),[5]流入チャネル別顧客一覧_ユニーク!$H:$H,"AIリファーラル")+COUNTIFS([5]流入チャネル別顧客一覧_ユニーク!$C:$C,"&gt;="&amp;Z$3,[5]流入チャネル別顧客一覧_ユニーク!$C:$C,"&lt;"&amp;EDATE(Z$3,1),[5]流入チャネル別顧客一覧_ユニーク!$H:$H,"リファーラル")</f>
        <v>0</v>
      </c>
      <c r="AA50" s="2">
        <f>COUNTIFS([5]流入チャネル別顧客一覧_ユニーク!$C:$C,"&gt;="&amp;AA$3,[5]流入チャネル別顧客一覧_ユニーク!$C:$C,"&lt;"&amp;EDATE(AA$3,1),[5]流入チャネル別顧客一覧_ユニーク!$H:$H,"link")+COUNTIFS([5]流入チャネル別顧客一覧_ユニーク!$C:$C,"&gt;="&amp;AA$3,[5]流入チャネル別顧客一覧_ユニーク!$C:$C,"&lt;"&amp;EDATE(AA$3,1),[5]流入チャネル別顧客一覧_ユニーク!$H:$H,"リファラル")+COUNTIFS([5]流入チャネル別顧客一覧_ユニーク!$C:$C,"&gt;="&amp;AA$3,[5]流入チャネル別顧客一覧_ユニーク!$C:$C,"&lt;"&amp;EDATE(AA$3,1),[5]流入チャネル別顧客一覧_ユニーク!$H:$H,"AIリファーラル")+COUNTIFS([5]流入チャネル別顧客一覧_ユニーク!$C:$C,"&gt;="&amp;AA$3,[5]流入チャネル別顧客一覧_ユニーク!$C:$C,"&lt;"&amp;EDATE(AA$3,1),[5]流入チャネル別顧客一覧_ユニーク!$H:$H,"リファーラル")</f>
        <v>0</v>
      </c>
      <c r="AB50" s="2">
        <f>COUNTIFS([5]流入チャネル別顧客一覧_ユニーク!$C:$C,"&gt;="&amp;AB$3,[5]流入チャネル別顧客一覧_ユニーク!$C:$C,"&lt;"&amp;EDATE(AB$3,1),[5]流入チャネル別顧客一覧_ユニーク!$H:$H,"link")+COUNTIFS([5]流入チャネル別顧客一覧_ユニーク!$C:$C,"&gt;="&amp;AB$3,[5]流入チャネル別顧客一覧_ユニーク!$C:$C,"&lt;"&amp;EDATE(AB$3,1),[5]流入チャネル別顧客一覧_ユニーク!$H:$H,"リファラル")+COUNTIFS([5]流入チャネル別顧客一覧_ユニーク!$C:$C,"&gt;="&amp;AB$3,[5]流入チャネル別顧客一覧_ユニーク!$C:$C,"&lt;"&amp;EDATE(AB$3,1),[5]流入チャネル別顧客一覧_ユニーク!$H:$H,"AIリファーラル")+COUNTIFS([5]流入チャネル別顧客一覧_ユニーク!$C:$C,"&gt;="&amp;AB$3,[5]流入チャネル別顧客一覧_ユニーク!$C:$C,"&lt;"&amp;EDATE(AB$3,1),[5]流入チャネル別顧客一覧_ユニーク!$H:$H,"リファーラル")</f>
        <v>0</v>
      </c>
      <c r="AC50" s="2">
        <f>COUNTIFS([5]流入チャネル別顧客一覧_ユニーク!$C:$C,"&gt;="&amp;AC$3,[5]流入チャネル別顧客一覧_ユニーク!$C:$C,"&lt;"&amp;EDATE(AC$3,1),[5]流入チャネル別顧客一覧_ユニーク!$H:$H,"link")+COUNTIFS([5]流入チャネル別顧客一覧_ユニーク!$C:$C,"&gt;="&amp;AC$3,[5]流入チャネル別顧客一覧_ユニーク!$C:$C,"&lt;"&amp;EDATE(AC$3,1),[5]流入チャネル別顧客一覧_ユニーク!$H:$H,"リファラル")+COUNTIFS([5]流入チャネル別顧客一覧_ユニーク!$C:$C,"&gt;="&amp;AC$3,[5]流入チャネル別顧客一覧_ユニーク!$C:$C,"&lt;"&amp;EDATE(AC$3,1),[5]流入チャネル別顧客一覧_ユニーク!$H:$H,"AIリファーラル")+COUNTIFS([5]流入チャネル別顧客一覧_ユニーク!$C:$C,"&gt;="&amp;AC$3,[5]流入チャネル別顧客一覧_ユニーク!$C:$C,"&lt;"&amp;EDATE(AC$3,1),[5]流入チャネル別顧客一覧_ユニーク!$H:$H,"リファーラル")</f>
        <v>1</v>
      </c>
      <c r="AD50" s="2">
        <f>COUNTIFS([5]流入チャネル別顧客一覧_ユニーク!$C:$C,"&gt;="&amp;AD$3,[5]流入チャネル別顧客一覧_ユニーク!$C:$C,"&lt;"&amp;EDATE(AD$3,1),[5]流入チャネル別顧客一覧_ユニーク!$H:$H,"link")+COUNTIFS([5]流入チャネル別顧客一覧_ユニーク!$C:$C,"&gt;="&amp;AD$3,[5]流入チャネル別顧客一覧_ユニーク!$C:$C,"&lt;"&amp;EDATE(AD$3,1),[5]流入チャネル別顧客一覧_ユニーク!$H:$H,"リファラル")+COUNTIFS([5]流入チャネル別顧客一覧_ユニーク!$C:$C,"&gt;="&amp;AD$3,[5]流入チャネル別顧客一覧_ユニーク!$C:$C,"&lt;"&amp;EDATE(AD$3,1),[5]流入チャネル別顧客一覧_ユニーク!$H:$H,"AIリファーラル")+COUNTIFS([5]流入チャネル別顧客一覧_ユニーク!$C:$C,"&gt;="&amp;AD$3,[5]流入チャネル別顧客一覧_ユニーク!$C:$C,"&lt;"&amp;EDATE(AD$3,1),[5]流入チャネル別顧客一覧_ユニーク!$H:$H,"リファーラル")</f>
        <v>0</v>
      </c>
      <c r="AE50" s="2">
        <f>COUNTIFS([5]流入チャネル別顧客一覧_ユニーク!$C:$C,"&gt;="&amp;AE$3,[5]流入チャネル別顧客一覧_ユニーク!$C:$C,"&lt;"&amp;EDATE(AE$3,1),[5]流入チャネル別顧客一覧_ユニーク!$H:$H,"link")+COUNTIFS([5]流入チャネル別顧客一覧_ユニーク!$C:$C,"&gt;="&amp;AE$3,[5]流入チャネル別顧客一覧_ユニーク!$C:$C,"&lt;"&amp;EDATE(AE$3,1),[5]流入チャネル別顧客一覧_ユニーク!$H:$H,"リファラル")+COUNTIFS([5]流入チャネル別顧客一覧_ユニーク!$C:$C,"&gt;="&amp;AE$3,[5]流入チャネル別顧客一覧_ユニーク!$C:$C,"&lt;"&amp;EDATE(AE$3,1),[5]流入チャネル別顧客一覧_ユニーク!$H:$H,"AIリファーラル")+COUNTIFS([5]流入チャネル別顧客一覧_ユニーク!$C:$C,"&gt;="&amp;AE$3,[5]流入チャネル別顧客一覧_ユニーク!$C:$C,"&lt;"&amp;EDATE(AE$3,1),[5]流入チャネル別顧客一覧_ユニーク!$H:$H,"リファーラル")</f>
        <v>0</v>
      </c>
      <c r="AF50" s="2">
        <f>COUNTIFS([5]流入チャネル別顧客一覧_ユニーク!$C:$C,"&gt;="&amp;AF$3,[5]流入チャネル別顧客一覧_ユニーク!$C:$C,"&lt;"&amp;EDATE(AF$3,1),[5]流入チャネル別顧客一覧_ユニーク!$H:$H,"link")+COUNTIFS([5]流入チャネル別顧客一覧_ユニーク!$C:$C,"&gt;="&amp;AF$3,[5]流入チャネル別顧客一覧_ユニーク!$C:$C,"&lt;"&amp;EDATE(AF$3,1),[5]流入チャネル別顧客一覧_ユニーク!$H:$H,"リファラル")+COUNTIFS([5]流入チャネル別顧客一覧_ユニーク!$C:$C,"&gt;="&amp;AF$3,[5]流入チャネル別顧客一覧_ユニーク!$C:$C,"&lt;"&amp;EDATE(AF$3,1),[5]流入チャネル別顧客一覧_ユニーク!$H:$H,"AIリファーラル")+COUNTIFS([5]流入チャネル別顧客一覧_ユニーク!$C:$C,"&gt;="&amp;AF$3,[5]流入チャネル別顧客一覧_ユニーク!$C:$C,"&lt;"&amp;EDATE(AF$3,1),[5]流入チャネル別顧客一覧_ユニーク!$H:$H,"リファーラル")</f>
        <v>0</v>
      </c>
      <c r="AG50" s="2">
        <f>COUNTIFS([5]流入チャネル別顧客一覧_ユニーク!$C:$C,"&gt;="&amp;AG$3,[5]流入チャネル別顧客一覧_ユニーク!$C:$C,"&lt;"&amp;EDATE(AG$3,1),[5]流入チャネル別顧客一覧_ユニーク!$H:$H,"link")+COUNTIFS([5]流入チャネル別顧客一覧_ユニーク!$C:$C,"&gt;="&amp;AG$3,[5]流入チャネル別顧客一覧_ユニーク!$C:$C,"&lt;"&amp;EDATE(AG$3,1),[5]流入チャネル別顧客一覧_ユニーク!$H:$H,"リファラル")+COUNTIFS([5]流入チャネル別顧客一覧_ユニーク!$C:$C,"&gt;="&amp;AG$3,[5]流入チャネル別顧客一覧_ユニーク!$C:$C,"&lt;"&amp;EDATE(AG$3,1),[5]流入チャネル別顧客一覧_ユニーク!$H:$H,"AIリファーラル")+COUNTIFS([5]流入チャネル別顧客一覧_ユニーク!$C:$C,"&gt;="&amp;AG$3,[5]流入チャネル別顧客一覧_ユニーク!$C:$C,"&lt;"&amp;EDATE(AG$3,1),[5]流入チャネル別顧客一覧_ユニーク!$H:$H,"リファーラル")</f>
        <v>0</v>
      </c>
      <c r="AH50" s="2">
        <f>COUNTIFS([5]流入チャネル別顧客一覧_ユニーク!$C:$C,"&gt;="&amp;AH$3,[5]流入チャネル別顧客一覧_ユニーク!$C:$C,"&lt;"&amp;EDATE(AH$3,1),[5]流入チャネル別顧客一覧_ユニーク!$H:$H,"link")+COUNTIFS([5]流入チャネル別顧客一覧_ユニーク!$C:$C,"&gt;="&amp;AH$3,[5]流入チャネル別顧客一覧_ユニーク!$C:$C,"&lt;"&amp;EDATE(AH$3,1),[5]流入チャネル別顧客一覧_ユニーク!$H:$H,"リファラル")+COUNTIFS([5]流入チャネル別顧客一覧_ユニーク!$C:$C,"&gt;="&amp;AH$3,[5]流入チャネル別顧客一覧_ユニーク!$C:$C,"&lt;"&amp;EDATE(AH$3,1),[5]流入チャネル別顧客一覧_ユニーク!$H:$H,"AIリファーラル")+COUNTIFS([5]流入チャネル別顧客一覧_ユニーク!$C:$C,"&gt;="&amp;AH$3,[5]流入チャネル別顧客一覧_ユニーク!$C:$C,"&lt;"&amp;EDATE(AH$3,1),[5]流入チャネル別顧客一覧_ユニーク!$H:$H,"リファーラル")</f>
        <v>0</v>
      </c>
      <c r="AI50" s="2">
        <f>COUNTIFS([5]流入チャネル別顧客一覧_ユニーク!$C:$C,"&gt;="&amp;AI$3,[5]流入チャネル別顧客一覧_ユニーク!$C:$C,"&lt;"&amp;EDATE(AI$3,1),[5]流入チャネル別顧客一覧_ユニーク!$H:$H,"link")+COUNTIFS([5]流入チャネル別顧客一覧_ユニーク!$C:$C,"&gt;="&amp;AI$3,[5]流入チャネル別顧客一覧_ユニーク!$C:$C,"&lt;"&amp;EDATE(AI$3,1),[5]流入チャネル別顧客一覧_ユニーク!$H:$H,"リファラル")+COUNTIFS([5]流入チャネル別顧客一覧_ユニーク!$C:$C,"&gt;="&amp;AI$3,[5]流入チャネル別顧客一覧_ユニーク!$C:$C,"&lt;"&amp;EDATE(AI$3,1),[5]流入チャネル別顧客一覧_ユニーク!$H:$H,"AIリファーラル")+COUNTIFS([5]流入チャネル別顧客一覧_ユニーク!$C:$C,"&gt;="&amp;AI$3,[5]流入チャネル別顧客一覧_ユニーク!$C:$C,"&lt;"&amp;EDATE(AI$3,1),[5]流入チャネル別顧客一覧_ユニーク!$H:$H,"リファーラル")</f>
        <v>0</v>
      </c>
      <c r="AJ50" s="2">
        <f>COUNTIFS([5]流入チャネル別顧客一覧_ユニーク!$C:$C,"&gt;="&amp;AJ$3,[5]流入チャネル別顧客一覧_ユニーク!$C:$C,"&lt;"&amp;EDATE(AJ$3,1),[5]流入チャネル別顧客一覧_ユニーク!$H:$H,"link")+COUNTIFS([5]流入チャネル別顧客一覧_ユニーク!$C:$C,"&gt;="&amp;AJ$3,[5]流入チャネル別顧客一覧_ユニーク!$C:$C,"&lt;"&amp;EDATE(AJ$3,1),[5]流入チャネル別顧客一覧_ユニーク!$H:$H,"リファラル")+COUNTIFS([5]流入チャネル別顧客一覧_ユニーク!$C:$C,"&gt;="&amp;AJ$3,[5]流入チャネル別顧客一覧_ユニーク!$C:$C,"&lt;"&amp;EDATE(AJ$3,1),[5]流入チャネル別顧客一覧_ユニーク!$H:$H,"AIリファーラル")+COUNTIFS([5]流入チャネル別顧客一覧_ユニーク!$C:$C,"&gt;="&amp;AJ$3,[5]流入チャネル別顧客一覧_ユニーク!$C:$C,"&lt;"&amp;EDATE(AJ$3,1),[5]流入チャネル別顧客一覧_ユニーク!$H:$H,"リファーラル")</f>
        <v>0</v>
      </c>
      <c r="AK50" s="2">
        <f>COUNTIFS([5]流入チャネル別顧客一覧_ユニーク!$C:$C,"&gt;="&amp;AK$3,[5]流入チャネル別顧客一覧_ユニーク!$C:$C,"&lt;"&amp;EDATE(AK$3,1),[5]流入チャネル別顧客一覧_ユニーク!$H:$H,"link")+COUNTIFS([5]流入チャネル別顧客一覧_ユニーク!$C:$C,"&gt;="&amp;AK$3,[5]流入チャネル別顧客一覧_ユニーク!$C:$C,"&lt;"&amp;EDATE(AK$3,1),[5]流入チャネル別顧客一覧_ユニーク!$H:$H,"リファラル")+COUNTIFS([5]流入チャネル別顧客一覧_ユニーク!$C:$C,"&gt;="&amp;AK$3,[5]流入チャネル別顧客一覧_ユニーク!$C:$C,"&lt;"&amp;EDATE(AK$3,1),[5]流入チャネル別顧客一覧_ユニーク!$H:$H,"AIリファーラル")+COUNTIFS([5]流入チャネル別顧客一覧_ユニーク!$C:$C,"&gt;="&amp;AK$3,[5]流入チャネル別顧客一覧_ユニーク!$C:$C,"&lt;"&amp;EDATE(AK$3,1),[5]流入チャネル別顧客一覧_ユニーク!$H:$H,"リファーラル")</f>
        <v>0</v>
      </c>
      <c r="AL50" s="8">
        <f t="shared" si="31"/>
        <v>4</v>
      </c>
      <c r="AM50" s="2">
        <f t="shared" si="32"/>
        <v>6</v>
      </c>
      <c r="AN50" s="2">
        <f t="shared" si="33"/>
        <v>1</v>
      </c>
      <c r="AO50" s="35"/>
      <c r="AP50" s="35"/>
      <c r="AQ50" s="35"/>
      <c r="AR50" s="35"/>
      <c r="AS50" s="35"/>
      <c r="AT50" s="35"/>
    </row>
    <row r="51" spans="1:50" ht="18">
      <c r="A51" s="1" t="s">
        <v>63</v>
      </c>
      <c r="B51" s="2" t="s">
        <v>19</v>
      </c>
      <c r="C51" s="2" t="s">
        <v>19</v>
      </c>
      <c r="D51" s="2" t="s">
        <v>19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AL51" s="8">
        <f t="shared" si="31"/>
        <v>0</v>
      </c>
      <c r="AM51" s="2">
        <f t="shared" si="32"/>
        <v>0</v>
      </c>
      <c r="AN51" s="2">
        <f t="shared" si="33"/>
        <v>0</v>
      </c>
      <c r="AO51" s="35"/>
      <c r="AP51" s="35"/>
      <c r="AQ51" s="35"/>
      <c r="AR51" s="35"/>
      <c r="AS51" s="35"/>
      <c r="AT51" s="35"/>
    </row>
    <row r="52" spans="1:50" ht="18">
      <c r="A52" s="1" t="s">
        <v>64</v>
      </c>
      <c r="B52" s="2"/>
      <c r="C52" s="2"/>
      <c r="D52" s="2"/>
      <c r="N52" s="2">
        <f>COUNTIFS([5]流入チャネル別顧客一覧_ユニーク!$C:$C,"&gt;="&amp;N$3,[5]流入チャネル別顧客一覧_ユニーク!$C:$C,"&lt;"&amp;EDATE(N$3,1),[5]流入チャネル別顧客一覧_ユニーク!$H:$H,"オフラインソース")+COUNTIFS([5]流入チャネル別顧客一覧_ユニーク!$C:$C,"&gt;="&amp;N$3,[5]流入チャネル別顧客一覧_ユニーク!$C:$C,"&lt;"&amp;EDATE(N$3,1),[5]流入チャネル別顧客一覧_ユニーク!$H:$H,"ベルシステム")</f>
        <v>0</v>
      </c>
      <c r="O52" s="2">
        <f>COUNTIFS([5]流入チャネル別顧客一覧_ユニーク!$C:$C,"&gt;="&amp;O$3,[5]流入チャネル別顧客一覧_ユニーク!$C:$C,"&lt;"&amp;EDATE(O$3,1),[5]流入チャネル別顧客一覧_ユニーク!$H:$H,"オフラインソース")+COUNTIFS([5]流入チャネル別顧客一覧_ユニーク!$C:$C,"&gt;="&amp;O$3,[5]流入チャネル別顧客一覧_ユニーク!$C:$C,"&lt;"&amp;EDATE(O$3,1),[5]流入チャネル別顧客一覧_ユニーク!$H:$H,"ベルシステム")</f>
        <v>0</v>
      </c>
      <c r="P52" s="2">
        <f>COUNTIFS([5]流入チャネル別顧客一覧_ユニーク!$C:$C,"&gt;="&amp;P$3,[5]流入チャネル別顧客一覧_ユニーク!$C:$C,"&lt;"&amp;EDATE(P$3,1),[5]流入チャネル別顧客一覧_ユニーク!$H:$H,"オフラインソース")+COUNTIFS([5]流入チャネル別顧客一覧_ユニーク!$C:$C,"&gt;="&amp;P$3,[5]流入チャネル別顧客一覧_ユニーク!$C:$C,"&lt;"&amp;EDATE(P$3,1),[5]流入チャネル別顧客一覧_ユニーク!$H:$H,"ベルシステム")</f>
        <v>0</v>
      </c>
      <c r="Q52" s="2">
        <f>COUNTIFS([5]流入チャネル別顧客一覧_ユニーク!$C:$C,"&gt;="&amp;Q$3,[5]流入チャネル別顧客一覧_ユニーク!$C:$C,"&lt;"&amp;EDATE(Q$3,1),[5]流入チャネル別顧客一覧_ユニーク!$H:$H,"オフラインソース")+COUNTIFS([5]流入チャネル別顧客一覧_ユニーク!$C:$C,"&gt;="&amp;Q$3,[5]流入チャネル別顧客一覧_ユニーク!$C:$C,"&lt;"&amp;EDATE(Q$3,1),[5]流入チャネル別顧客一覧_ユニーク!$H:$H,"ベルシステム")</f>
        <v>0</v>
      </c>
      <c r="R52" s="2">
        <f>COUNTIFS([5]流入チャネル別顧客一覧_ユニーク!$C:$C,"&gt;="&amp;R$3,[5]流入チャネル別顧客一覧_ユニーク!$C:$C,"&lt;"&amp;EDATE(R$3,1),[5]流入チャネル別顧客一覧_ユニーク!$H:$H,"オフラインソース")+COUNTIFS([5]流入チャネル別顧客一覧_ユニーク!$C:$C,"&gt;="&amp;R$3,[5]流入チャネル別顧客一覧_ユニーク!$C:$C,"&lt;"&amp;EDATE(R$3,1),[5]流入チャネル別顧客一覧_ユニーク!$H:$H,"ベルシステム")</f>
        <v>0</v>
      </c>
      <c r="S52" s="2">
        <f>COUNTIFS([5]流入チャネル別顧客一覧_ユニーク!$C:$C,"&gt;="&amp;S$3,[5]流入チャネル別顧客一覧_ユニーク!$C:$C,"&lt;"&amp;EDATE(S$3,1),[5]流入チャネル別顧客一覧_ユニーク!$H:$H,"オフラインソース")+COUNTIFS([5]流入チャネル別顧客一覧_ユニーク!$C:$C,"&gt;="&amp;S$3,[5]流入チャネル別顧客一覧_ユニーク!$C:$C,"&lt;"&amp;EDATE(S$3,1),[5]流入チャネル別顧客一覧_ユニーク!$H:$H,"ベルシステム")</f>
        <v>0</v>
      </c>
      <c r="T52" s="2">
        <f>COUNTIFS([5]流入チャネル別顧客一覧_ユニーク!$C:$C,"&gt;="&amp;T$3,[5]流入チャネル別顧客一覧_ユニーク!$C:$C,"&lt;"&amp;EDATE(T$3,1),[5]流入チャネル別顧客一覧_ユニーク!$H:$H,"オフラインソース")+COUNTIFS([5]流入チャネル別顧客一覧_ユニーク!$C:$C,"&gt;="&amp;T$3,[5]流入チャネル別顧客一覧_ユニーク!$C:$C,"&lt;"&amp;EDATE(T$3,1),[5]流入チャネル別顧客一覧_ユニーク!$H:$H,"ベルシステム")</f>
        <v>0</v>
      </c>
      <c r="U52" s="2">
        <f>COUNTIFS([5]流入チャネル別顧客一覧_ユニーク!$C:$C,"&gt;="&amp;U$3,[5]流入チャネル別顧客一覧_ユニーク!$C:$C,"&lt;"&amp;EDATE(U$3,1),[5]流入チャネル別顧客一覧_ユニーク!$H:$H,"オフラインソース")+COUNTIFS([5]流入チャネル別顧客一覧_ユニーク!$C:$C,"&gt;="&amp;U$3,[5]流入チャネル別顧客一覧_ユニーク!$C:$C,"&lt;"&amp;EDATE(U$3,1),[5]流入チャネル別顧客一覧_ユニーク!$H:$H,"ベルシステム")</f>
        <v>0</v>
      </c>
      <c r="V52" s="2">
        <f>COUNTIFS([5]流入チャネル別顧客一覧_ユニーク!$C:$C,"&gt;="&amp;V$3,[5]流入チャネル別顧客一覧_ユニーク!$C:$C,"&lt;"&amp;EDATE(V$3,1),[5]流入チャネル別顧客一覧_ユニーク!$H:$H,"オフラインソース")+COUNTIFS([5]流入チャネル別顧客一覧_ユニーク!$C:$C,"&gt;="&amp;V$3,[5]流入チャネル別顧客一覧_ユニーク!$C:$C,"&lt;"&amp;EDATE(V$3,1),[5]流入チャネル別顧客一覧_ユニーク!$H:$H,"ベルシステム")</f>
        <v>0</v>
      </c>
      <c r="W52" s="2">
        <f>COUNTIFS([5]流入チャネル別顧客一覧_ユニーク!$C:$C,"&gt;="&amp;W$3,[5]流入チャネル別顧客一覧_ユニーク!$C:$C,"&lt;"&amp;EDATE(W$3,1),[5]流入チャネル別顧客一覧_ユニーク!$H:$H,"オフラインソース")+COUNTIFS([5]流入チャネル別顧客一覧_ユニーク!$C:$C,"&gt;="&amp;W$3,[5]流入チャネル別顧客一覧_ユニーク!$C:$C,"&lt;"&amp;EDATE(W$3,1),[5]流入チャネル別顧客一覧_ユニーク!$H:$H,"ベルシステム")</f>
        <v>0</v>
      </c>
      <c r="X52" s="2">
        <f>COUNTIFS([5]流入チャネル別顧客一覧_ユニーク!$C:$C,"&gt;="&amp;X$3,[5]流入チャネル別顧客一覧_ユニーク!$C:$C,"&lt;"&amp;EDATE(X$3,1),[5]流入チャネル別顧客一覧_ユニーク!$H:$H,"オフラインソース")+COUNTIFS([5]流入チャネル別顧客一覧_ユニーク!$C:$C,"&gt;="&amp;X$3,[5]流入チャネル別顧客一覧_ユニーク!$C:$C,"&lt;"&amp;EDATE(X$3,1),[5]流入チャネル別顧客一覧_ユニーク!$H:$H,"ベルシステム")</f>
        <v>1</v>
      </c>
      <c r="Y52" s="2">
        <f>COUNTIFS([5]流入チャネル別顧客一覧_ユニーク!$C:$C,"&gt;="&amp;Y$3,[5]流入チャネル別顧客一覧_ユニーク!$C:$C,"&lt;"&amp;EDATE(Y$3,1),[5]流入チャネル別顧客一覧_ユニーク!$H:$H,"オフラインソース")+COUNTIFS([5]流入チャネル別顧客一覧_ユニーク!$C:$C,"&gt;="&amp;Y$3,[5]流入チャネル別顧客一覧_ユニーク!$C:$C,"&lt;"&amp;EDATE(Y$3,1),[5]流入チャネル別顧客一覧_ユニーク!$H:$H,"ベルシステム")</f>
        <v>0</v>
      </c>
      <c r="Z52" s="2">
        <f>COUNTIFS([5]流入チャネル別顧客一覧_ユニーク!$C:$C,"&gt;="&amp;Z$3,[5]流入チャネル別顧客一覧_ユニーク!$C:$C,"&lt;"&amp;EDATE(Z$3,1),[5]流入チャネル別顧客一覧_ユニーク!$H:$H,"オフラインソース")+COUNTIFS([5]流入チャネル別顧客一覧_ユニーク!$C:$C,"&gt;="&amp;Z$3,[5]流入チャネル別顧客一覧_ユニーク!$C:$C,"&lt;"&amp;EDATE(Z$3,1),[5]流入チャネル別顧客一覧_ユニーク!$H:$H,"ベルシステム")</f>
        <v>1</v>
      </c>
      <c r="AA52" s="2">
        <f>COUNTIFS([5]流入チャネル別顧客一覧_ユニーク!$C:$C,"&gt;="&amp;AA$3,[5]流入チャネル別顧客一覧_ユニーク!$C:$C,"&lt;"&amp;EDATE(AA$3,1),[5]流入チャネル別顧客一覧_ユニーク!$H:$H,"オフラインソース")+COUNTIFS([5]流入チャネル別顧客一覧_ユニーク!$C:$C,"&gt;="&amp;AA$3,[5]流入チャネル別顧客一覧_ユニーク!$C:$C,"&lt;"&amp;EDATE(AA$3,1),[5]流入チャネル別顧客一覧_ユニーク!$H:$H,"ベルシステム")</f>
        <v>0</v>
      </c>
      <c r="AB52" s="2">
        <f>COUNTIFS([5]流入チャネル別顧客一覧_ユニーク!$C:$C,"&gt;="&amp;AB$3,[5]流入チャネル別顧客一覧_ユニーク!$C:$C,"&lt;"&amp;EDATE(AB$3,1),[5]流入チャネル別顧客一覧_ユニーク!$H:$H,"オフラインソース")+COUNTIFS([5]流入チャネル別顧客一覧_ユニーク!$C:$C,"&gt;="&amp;AB$3,[5]流入チャネル別顧客一覧_ユニーク!$C:$C,"&lt;"&amp;EDATE(AB$3,1),[5]流入チャネル別顧客一覧_ユニーク!$H:$H,"ベルシステム")</f>
        <v>1</v>
      </c>
      <c r="AC52" s="2">
        <f>COUNTIFS([5]流入チャネル別顧客一覧_ユニーク!$C:$C,"&gt;="&amp;AC$3,[5]流入チャネル別顧客一覧_ユニーク!$C:$C,"&lt;"&amp;EDATE(AC$3,1),[5]流入チャネル別顧客一覧_ユニーク!$H:$H,"オフラインソース")+COUNTIFS([5]流入チャネル別顧客一覧_ユニーク!$C:$C,"&gt;="&amp;AC$3,[5]流入チャネル別顧客一覧_ユニーク!$C:$C,"&lt;"&amp;EDATE(AC$3,1),[5]流入チャネル別顧客一覧_ユニーク!$H:$H,"ベルシステム")</f>
        <v>0</v>
      </c>
      <c r="AD52" s="2">
        <f>COUNTIFS([5]流入チャネル別顧客一覧_ユニーク!$C:$C,"&gt;="&amp;AD$3,[5]流入チャネル別顧客一覧_ユニーク!$C:$C,"&lt;"&amp;EDATE(AD$3,1),[5]流入チャネル別顧客一覧_ユニーク!$H:$H,"オフラインソース")+COUNTIFS([5]流入チャネル別顧客一覧_ユニーク!$C:$C,"&gt;="&amp;AD$3,[5]流入チャネル別顧客一覧_ユニーク!$C:$C,"&lt;"&amp;EDATE(AD$3,1),[5]流入チャネル別顧客一覧_ユニーク!$H:$H,"ベルシステム")</f>
        <v>0</v>
      </c>
      <c r="AE52" s="2">
        <f>COUNTIFS([5]流入チャネル別顧客一覧_ユニーク!$C:$C,"&gt;="&amp;AE$3,[5]流入チャネル別顧客一覧_ユニーク!$C:$C,"&lt;"&amp;EDATE(AE$3,1),[5]流入チャネル別顧客一覧_ユニーク!$H:$H,"オフラインソース")+COUNTIFS([5]流入チャネル別顧客一覧_ユニーク!$C:$C,"&gt;="&amp;AE$3,[5]流入チャネル別顧客一覧_ユニーク!$C:$C,"&lt;"&amp;EDATE(AE$3,1),[5]流入チャネル別顧客一覧_ユニーク!$H:$H,"ベルシステム")</f>
        <v>0</v>
      </c>
      <c r="AF52" s="2">
        <f>COUNTIFS([5]流入チャネル別顧客一覧_ユニーク!$C:$C,"&gt;="&amp;AF$3,[5]流入チャネル別顧客一覧_ユニーク!$C:$C,"&lt;"&amp;EDATE(AF$3,1),[5]流入チャネル別顧客一覧_ユニーク!$H:$H,"オフラインソース")+COUNTIFS([5]流入チャネル別顧客一覧_ユニーク!$C:$C,"&gt;="&amp;AF$3,[5]流入チャネル別顧客一覧_ユニーク!$C:$C,"&lt;"&amp;EDATE(AF$3,1),[5]流入チャネル別顧客一覧_ユニーク!$H:$H,"ベルシステム")</f>
        <v>0</v>
      </c>
      <c r="AG52" s="2">
        <f>COUNTIFS([5]流入チャネル別顧客一覧_ユニーク!$C:$C,"&gt;="&amp;AG$3,[5]流入チャネル別顧客一覧_ユニーク!$C:$C,"&lt;"&amp;EDATE(AG$3,1),[5]流入チャネル別顧客一覧_ユニーク!$H:$H,"オフラインソース")+COUNTIFS([5]流入チャネル別顧客一覧_ユニーク!$C:$C,"&gt;="&amp;AG$3,[5]流入チャネル別顧客一覧_ユニーク!$C:$C,"&lt;"&amp;EDATE(AG$3,1),[5]流入チャネル別顧客一覧_ユニーク!$H:$H,"ベルシステム")</f>
        <v>0</v>
      </c>
      <c r="AH52" s="2">
        <f>COUNTIFS([5]流入チャネル別顧客一覧_ユニーク!$C:$C,"&gt;="&amp;AH$3,[5]流入チャネル別顧客一覧_ユニーク!$C:$C,"&lt;"&amp;EDATE(AH$3,1),[5]流入チャネル別顧客一覧_ユニーク!$H:$H,"オフラインソース")+COUNTIFS([5]流入チャネル別顧客一覧_ユニーク!$C:$C,"&gt;="&amp;AH$3,[5]流入チャネル別顧客一覧_ユニーク!$C:$C,"&lt;"&amp;EDATE(AH$3,1),[5]流入チャネル別顧客一覧_ユニーク!$H:$H,"ベルシステム")</f>
        <v>0</v>
      </c>
      <c r="AI52" s="2">
        <f>COUNTIFS([5]流入チャネル別顧客一覧_ユニーク!$C:$C,"&gt;="&amp;AI$3,[5]流入チャネル別顧客一覧_ユニーク!$C:$C,"&lt;"&amp;EDATE(AI$3,1),[5]流入チャネル別顧客一覧_ユニーク!$H:$H,"オフラインソース")+COUNTIFS([5]流入チャネル別顧客一覧_ユニーク!$C:$C,"&gt;="&amp;AI$3,[5]流入チャネル別顧客一覧_ユニーク!$C:$C,"&lt;"&amp;EDATE(AI$3,1),[5]流入チャネル別顧客一覧_ユニーク!$H:$H,"ベルシステム")</f>
        <v>0</v>
      </c>
      <c r="AJ52" s="2">
        <f>COUNTIFS([5]流入チャネル別顧客一覧_ユニーク!$C:$C,"&gt;="&amp;AJ$3,[5]流入チャネル別顧客一覧_ユニーク!$C:$C,"&lt;"&amp;EDATE(AJ$3,1),[5]流入チャネル別顧客一覧_ユニーク!$H:$H,"オフラインソース")+COUNTIFS([5]流入チャネル別顧客一覧_ユニーク!$C:$C,"&gt;="&amp;AJ$3,[5]流入チャネル別顧客一覧_ユニーク!$C:$C,"&lt;"&amp;EDATE(AJ$3,1),[5]流入チャネル別顧客一覧_ユニーク!$H:$H,"ベルシステム")</f>
        <v>0</v>
      </c>
      <c r="AK52" s="2">
        <f>COUNTIFS([5]流入チャネル別顧客一覧_ユニーク!$C:$C,"&gt;="&amp;AK$3,[5]流入チャネル別顧客一覧_ユニーク!$C:$C,"&lt;"&amp;EDATE(AK$3,1),[5]流入チャネル別顧客一覧_ユニーク!$H:$H,"オフラインソース")+COUNTIFS([5]流入チャネル別顧客一覧_ユニーク!$C:$C,"&gt;="&amp;AK$3,[5]流入チャネル別顧客一覧_ユニーク!$C:$C,"&lt;"&amp;EDATE(AK$3,1),[5]流入チャネル別顧客一覧_ユニーク!$H:$H,"ベルシステム")</f>
        <v>0</v>
      </c>
      <c r="AM52" s="2">
        <f t="shared" si="32"/>
        <v>1</v>
      </c>
      <c r="AN52" s="2">
        <f t="shared" si="33"/>
        <v>2</v>
      </c>
      <c r="AO52" s="35"/>
      <c r="AP52" s="35"/>
      <c r="AQ52" s="35"/>
      <c r="AR52" s="35"/>
      <c r="AS52" s="35"/>
      <c r="AT52" s="35"/>
    </row>
    <row r="53" spans="1:50" ht="18">
      <c r="A53" s="1" t="s">
        <v>65</v>
      </c>
      <c r="B53" s="2" t="s">
        <v>19</v>
      </c>
      <c r="C53" s="2" t="s">
        <v>19</v>
      </c>
      <c r="D53" s="2" t="s">
        <v>19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f>COUNTIFS([5]流入チャネル別顧客一覧_ユニーク!$C:$C,"&gt;="&amp;N$3,[5]流入チャネル別顧客一覧_ユニーク!$C:$C,"&lt;"&amp;EDATE(N$3,1),[5]流入チャネル別顧客一覧_ユニーク!$H:$H,"他のキャンペーン")+COUNTIFS([5]流入チャネル別顧客一覧_ユニーク!$C:$C,"&gt;="&amp;N$3,[5]流入チャネル別顧客一覧_ユニーク!$C:$C,"&lt;"&amp;EDATE(N$3,1),[5]流入チャネル別顧客一覧_ユニーク!$H:$H,"others")</f>
        <v>1</v>
      </c>
      <c r="O53" s="2">
        <f>COUNTIFS([5]流入チャネル別顧客一覧_ユニーク!$C:$C,"&gt;="&amp;O$3,[5]流入チャネル別顧客一覧_ユニーク!$C:$C,"&lt;"&amp;EDATE(O$3,1),[5]流入チャネル別顧客一覧_ユニーク!$H:$H,"他のキャンペーン")+COUNTIFS([5]流入チャネル別顧客一覧_ユニーク!$C:$C,"&gt;="&amp;O$3,[5]流入チャネル別顧客一覧_ユニーク!$C:$C,"&lt;"&amp;EDATE(O$3,1),[5]流入チャネル別顧客一覧_ユニーク!$H:$H,"others")</f>
        <v>0</v>
      </c>
      <c r="P53" s="2">
        <f>COUNTIFS([5]流入チャネル別顧客一覧_ユニーク!$C:$C,"&gt;="&amp;P$3,[5]流入チャネル別顧客一覧_ユニーク!$C:$C,"&lt;"&amp;EDATE(P$3,1),[5]流入チャネル別顧客一覧_ユニーク!$H:$H,"他のキャンペーン")+COUNTIFS([5]流入チャネル別顧客一覧_ユニーク!$C:$C,"&gt;="&amp;P$3,[5]流入チャネル別顧客一覧_ユニーク!$C:$C,"&lt;"&amp;EDATE(P$3,1),[5]流入チャネル別顧客一覧_ユニーク!$H:$H,"others")</f>
        <v>0</v>
      </c>
      <c r="Q53" s="2">
        <f>COUNTIFS([5]流入チャネル別顧客一覧_ユニーク!$C:$C,"&gt;="&amp;Q$3,[5]流入チャネル別顧客一覧_ユニーク!$C:$C,"&lt;"&amp;EDATE(Q$3,1),[5]流入チャネル別顧客一覧_ユニーク!$H:$H,"他のキャンペーン")+COUNTIFS([5]流入チャネル別顧客一覧_ユニーク!$C:$C,"&gt;="&amp;Q$3,[5]流入チャネル別顧客一覧_ユニーク!$C:$C,"&lt;"&amp;EDATE(Q$3,1),[5]流入チャネル別顧客一覧_ユニーク!$H:$H,"others")</f>
        <v>2</v>
      </c>
      <c r="R53" s="2">
        <f>COUNTIFS([5]流入チャネル別顧客一覧_ユニーク!$C:$C,"&gt;="&amp;R$3,[5]流入チャネル別顧客一覧_ユニーク!$C:$C,"&lt;"&amp;EDATE(R$3,1),[5]流入チャネル別顧客一覧_ユニーク!$H:$H,"他のキャンペーン")+COUNTIFS([5]流入チャネル別顧客一覧_ユニーク!$C:$C,"&gt;="&amp;R$3,[5]流入チャネル別顧客一覧_ユニーク!$C:$C,"&lt;"&amp;EDATE(R$3,1),[5]流入チャネル別顧客一覧_ユニーク!$H:$H,"others")</f>
        <v>2</v>
      </c>
      <c r="S53" s="2">
        <f>COUNTIFS([5]流入チャネル別顧客一覧_ユニーク!$C:$C,"&gt;="&amp;S$3,[5]流入チャネル別顧客一覧_ユニーク!$C:$C,"&lt;"&amp;EDATE(S$3,1),[5]流入チャネル別顧客一覧_ユニーク!$H:$H,"他のキャンペーン")+COUNTIFS([5]流入チャネル別顧客一覧_ユニーク!$C:$C,"&gt;="&amp;S$3,[5]流入チャネル別顧客一覧_ユニーク!$C:$C,"&lt;"&amp;EDATE(S$3,1),[5]流入チャネル別顧客一覧_ユニーク!$H:$H,"others")</f>
        <v>0</v>
      </c>
      <c r="T53" s="2">
        <f>COUNTIFS([5]流入チャネル別顧客一覧_ユニーク!$C:$C,"&gt;="&amp;T$3,[5]流入チャネル別顧客一覧_ユニーク!$C:$C,"&lt;"&amp;EDATE(T$3,1),[5]流入チャネル別顧客一覧_ユニーク!$H:$H,"他のキャンペーン")+COUNTIFS([5]流入チャネル別顧客一覧_ユニーク!$C:$C,"&gt;="&amp;T$3,[5]流入チャネル別顧客一覧_ユニーク!$C:$C,"&lt;"&amp;EDATE(T$3,1),[5]流入チャネル別顧客一覧_ユニーク!$H:$H,"others")</f>
        <v>1</v>
      </c>
      <c r="U53" s="2">
        <f>COUNTIFS([5]流入チャネル別顧客一覧_ユニーク!$C:$C,"&gt;="&amp;U$3,[5]流入チャネル別顧客一覧_ユニーク!$C:$C,"&lt;"&amp;EDATE(U$3,1),[5]流入チャネル別顧客一覧_ユニーク!$H:$H,"他のキャンペーン")+COUNTIFS([5]流入チャネル別顧客一覧_ユニーク!$C:$C,"&gt;="&amp;U$3,[5]流入チャネル別顧客一覧_ユニーク!$C:$C,"&lt;"&amp;EDATE(U$3,1),[5]流入チャネル別顧客一覧_ユニーク!$H:$H,"others")</f>
        <v>1</v>
      </c>
      <c r="V53" s="2">
        <f>COUNTIFS([5]流入チャネル別顧客一覧_ユニーク!$C:$C,"&gt;="&amp;V$3,[5]流入チャネル別顧客一覧_ユニーク!$C:$C,"&lt;"&amp;EDATE(V$3,1),[5]流入チャネル別顧客一覧_ユニーク!$H:$H,"他のキャンペーン")+COUNTIFS([5]流入チャネル別顧客一覧_ユニーク!$C:$C,"&gt;="&amp;V$3,[5]流入チャネル別顧客一覧_ユニーク!$C:$C,"&lt;"&amp;EDATE(V$3,1),[5]流入チャネル別顧客一覧_ユニーク!$H:$H,"others")</f>
        <v>0</v>
      </c>
      <c r="W53" s="2">
        <f>COUNTIFS([5]流入チャネル別顧客一覧_ユニーク!$C:$C,"&gt;="&amp;W$3,[5]流入チャネル別顧客一覧_ユニーク!$C:$C,"&lt;"&amp;EDATE(W$3,1),[5]流入チャネル別顧客一覧_ユニーク!$H:$H,"他のキャンペーン")+COUNTIFS([5]流入チャネル別顧客一覧_ユニーク!$C:$C,"&gt;="&amp;W$3,[5]流入チャネル別顧客一覧_ユニーク!$C:$C,"&lt;"&amp;EDATE(W$3,1),[5]流入チャネル別顧客一覧_ユニーク!$H:$H,"others")</f>
        <v>0</v>
      </c>
      <c r="X53" s="2">
        <f>COUNTIFS([5]流入チャネル別顧客一覧_ユニーク!$C:$C,"&gt;="&amp;X$3,[5]流入チャネル別顧客一覧_ユニーク!$C:$C,"&lt;"&amp;EDATE(X$3,1),[5]流入チャネル別顧客一覧_ユニーク!$H:$H,"他のキャンペーン")+COUNTIFS([5]流入チャネル別顧客一覧_ユニーク!$C:$C,"&gt;="&amp;X$3,[5]流入チャネル別顧客一覧_ユニーク!$C:$C,"&lt;"&amp;EDATE(X$3,1),[5]流入チャネル別顧客一覧_ユニーク!$H:$H,"others")</f>
        <v>3</v>
      </c>
      <c r="Y53" s="2">
        <f>COUNTIFS([5]流入チャネル別顧客一覧_ユニーク!$C:$C,"&gt;="&amp;Y$3,[5]流入チャネル別顧客一覧_ユニーク!$C:$C,"&lt;"&amp;EDATE(Y$3,1),[5]流入チャネル別顧客一覧_ユニーク!$H:$H,"他のキャンペーン")+COUNTIFS([5]流入チャネル別顧客一覧_ユニーク!$C:$C,"&gt;="&amp;Y$3,[5]流入チャネル別顧客一覧_ユニーク!$C:$C,"&lt;"&amp;EDATE(Y$3,1),[5]流入チャネル別顧客一覧_ユニーク!$H:$H,"others")</f>
        <v>1</v>
      </c>
      <c r="Z53" s="2">
        <f>COUNTIFS([5]流入チャネル別顧客一覧_ユニーク!$C:$C,"&gt;="&amp;Z$3,[5]流入チャネル別顧客一覧_ユニーク!$C:$C,"&lt;"&amp;EDATE(Z$3,1),[5]流入チャネル別顧客一覧_ユニーク!$H:$H,"他のキャンペーン")+COUNTIFS([5]流入チャネル別顧客一覧_ユニーク!$C:$C,"&gt;="&amp;Z$3,[5]流入チャネル別顧客一覧_ユニーク!$C:$C,"&lt;"&amp;EDATE(Z$3,1),[5]流入チャネル別顧客一覧_ユニーク!$H:$H,"others")</f>
        <v>1</v>
      </c>
      <c r="AA53" s="2">
        <f>COUNTIFS([5]流入チャネル別顧客一覧_ユニーク!$C:$C,"&gt;="&amp;AA$3,[5]流入チャネル別顧客一覧_ユニーク!$C:$C,"&lt;"&amp;EDATE(AA$3,1),[5]流入チャネル別顧客一覧_ユニーク!$H:$H,"他のキャンペーン")+COUNTIFS([5]流入チャネル別顧客一覧_ユニーク!$C:$C,"&gt;="&amp;AA$3,[5]流入チャネル別顧客一覧_ユニーク!$C:$C,"&lt;"&amp;EDATE(AA$3,1),[5]流入チャネル別顧客一覧_ユニーク!$H:$H,"others")</f>
        <v>0</v>
      </c>
      <c r="AB53" s="2">
        <f>COUNTIFS([5]流入チャネル別顧客一覧_ユニーク!$C:$C,"&gt;="&amp;AB$3,[5]流入チャネル別顧客一覧_ユニーク!$C:$C,"&lt;"&amp;EDATE(AB$3,1),[5]流入チャネル別顧客一覧_ユニーク!$H:$H,"他のキャンペーン")+COUNTIFS([5]流入チャネル別顧客一覧_ユニーク!$C:$C,"&gt;="&amp;AB$3,[5]流入チャネル別顧客一覧_ユニーク!$C:$C,"&lt;"&amp;EDATE(AB$3,1),[5]流入チャネル別顧客一覧_ユニーク!$H:$H,"others")</f>
        <v>1</v>
      </c>
      <c r="AC53" s="2">
        <f>COUNTIFS([5]流入チャネル別顧客一覧_ユニーク!$C:$C,"&gt;="&amp;AC$3,[5]流入チャネル別顧客一覧_ユニーク!$C:$C,"&lt;"&amp;EDATE(AC$3,1),[5]流入チャネル別顧客一覧_ユニーク!$H:$H,"他のキャンペーン")+COUNTIFS([5]流入チャネル別顧客一覧_ユニーク!$C:$C,"&gt;="&amp;AC$3,[5]流入チャネル別顧客一覧_ユニーク!$C:$C,"&lt;"&amp;EDATE(AC$3,1),[5]流入チャネル別顧客一覧_ユニーク!$H:$H,"others")</f>
        <v>1</v>
      </c>
      <c r="AD53" s="2">
        <f>COUNTIFS([5]流入チャネル別顧客一覧_ユニーク!$C:$C,"&gt;="&amp;AD$3,[5]流入チャネル別顧客一覧_ユニーク!$C:$C,"&lt;"&amp;EDATE(AD$3,1),[5]流入チャネル別顧客一覧_ユニーク!$H:$H,"他のキャンペーン")+COUNTIFS([5]流入チャネル別顧客一覧_ユニーク!$C:$C,"&gt;="&amp;AD$3,[5]流入チャネル別顧客一覧_ユニーク!$C:$C,"&lt;"&amp;EDATE(AD$3,1),[5]流入チャネル別顧客一覧_ユニーク!$H:$H,"others")</f>
        <v>0</v>
      </c>
      <c r="AE53" s="2">
        <f>COUNTIFS([5]流入チャネル別顧客一覧_ユニーク!$C:$C,"&gt;="&amp;AE$3,[5]流入チャネル別顧客一覧_ユニーク!$C:$C,"&lt;"&amp;EDATE(AE$3,1),[5]流入チャネル別顧客一覧_ユニーク!$H:$H,"他のキャンペーン")+COUNTIFS([5]流入チャネル別顧客一覧_ユニーク!$C:$C,"&gt;="&amp;AE$3,[5]流入チャネル別顧客一覧_ユニーク!$C:$C,"&lt;"&amp;EDATE(AE$3,1),[5]流入チャネル別顧客一覧_ユニーク!$H:$H,"others")</f>
        <v>0</v>
      </c>
      <c r="AF53" s="2">
        <f>COUNTIFS([5]流入チャネル別顧客一覧_ユニーク!$C:$C,"&gt;="&amp;AF$3,[5]流入チャネル別顧客一覧_ユニーク!$C:$C,"&lt;"&amp;EDATE(AF$3,1),[5]流入チャネル別顧客一覧_ユニーク!$H:$H,"他のキャンペーン")+COUNTIFS([5]流入チャネル別顧客一覧_ユニーク!$C:$C,"&gt;="&amp;AF$3,[5]流入チャネル別顧客一覧_ユニーク!$C:$C,"&lt;"&amp;EDATE(AF$3,1),[5]流入チャネル別顧客一覧_ユニーク!$H:$H,"others")</f>
        <v>0</v>
      </c>
      <c r="AG53" s="2">
        <f>COUNTIFS([5]流入チャネル別顧客一覧_ユニーク!$C:$C,"&gt;="&amp;AG$3,[5]流入チャネル別顧客一覧_ユニーク!$C:$C,"&lt;"&amp;EDATE(AG$3,1),[5]流入チャネル別顧客一覧_ユニーク!$H:$H,"他のキャンペーン")+COUNTIFS([5]流入チャネル別顧客一覧_ユニーク!$C:$C,"&gt;="&amp;AG$3,[5]流入チャネル別顧客一覧_ユニーク!$C:$C,"&lt;"&amp;EDATE(AG$3,1),[5]流入チャネル別顧客一覧_ユニーク!$H:$H,"others")</f>
        <v>0</v>
      </c>
      <c r="AH53" s="2">
        <f>COUNTIFS([5]流入チャネル別顧客一覧_ユニーク!$C:$C,"&gt;="&amp;AH$3,[5]流入チャネル別顧客一覧_ユニーク!$C:$C,"&lt;"&amp;EDATE(AH$3,1),[5]流入チャネル別顧客一覧_ユニーク!$H:$H,"他のキャンペーン")+COUNTIFS([5]流入チャネル別顧客一覧_ユニーク!$C:$C,"&gt;="&amp;AH$3,[5]流入チャネル別顧客一覧_ユニーク!$C:$C,"&lt;"&amp;EDATE(AH$3,1),[5]流入チャネル別顧客一覧_ユニーク!$H:$H,"others")</f>
        <v>0</v>
      </c>
      <c r="AI53" s="2">
        <f>COUNTIFS([5]流入チャネル別顧客一覧_ユニーク!$C:$C,"&gt;="&amp;AI$3,[5]流入チャネル別顧客一覧_ユニーク!$C:$C,"&lt;"&amp;EDATE(AI$3,1),[5]流入チャネル別顧客一覧_ユニーク!$H:$H,"他のキャンペーン")+COUNTIFS([5]流入チャネル別顧客一覧_ユニーク!$C:$C,"&gt;="&amp;AI$3,[5]流入チャネル別顧客一覧_ユニーク!$C:$C,"&lt;"&amp;EDATE(AI$3,1),[5]流入チャネル別顧客一覧_ユニーク!$H:$H,"others")</f>
        <v>0</v>
      </c>
      <c r="AJ53" s="2">
        <f>COUNTIFS([5]流入チャネル別顧客一覧_ユニーク!$C:$C,"&gt;="&amp;AJ$3,[5]流入チャネル別顧客一覧_ユニーク!$C:$C,"&lt;"&amp;EDATE(AJ$3,1),[5]流入チャネル別顧客一覧_ユニーク!$H:$H,"他のキャンペーン")+COUNTIFS([5]流入チャネル別顧客一覧_ユニーク!$C:$C,"&gt;="&amp;AJ$3,[5]流入チャネル別顧客一覧_ユニーク!$C:$C,"&lt;"&amp;EDATE(AJ$3,1),[5]流入チャネル別顧客一覧_ユニーク!$H:$H,"others")</f>
        <v>0</v>
      </c>
      <c r="AK53" s="2">
        <f>COUNTIFS([5]流入チャネル別顧客一覧_ユニーク!$C:$C,"&gt;="&amp;AK$3,[5]流入チャネル別顧客一覧_ユニーク!$C:$C,"&lt;"&amp;EDATE(AK$3,1),[5]流入チャネル別顧客一覧_ユニーク!$H:$H,"他のキャンペーン")+COUNTIFS([5]流入チャネル別顧客一覧_ユニーク!$C:$C,"&gt;="&amp;AK$3,[5]流入チャネル別顧客一覧_ユニーク!$C:$C,"&lt;"&amp;EDATE(AK$3,1),[5]流入チャネル別顧客一覧_ユニーク!$H:$H,"others")</f>
        <v>0</v>
      </c>
      <c r="AL53" s="8">
        <f t="shared" si="31"/>
        <v>0</v>
      </c>
      <c r="AM53" s="2">
        <f t="shared" si="32"/>
        <v>11</v>
      </c>
      <c r="AN53" s="2">
        <f t="shared" si="33"/>
        <v>3</v>
      </c>
      <c r="AO53" s="35"/>
      <c r="AP53" s="35"/>
      <c r="AQ53" s="35"/>
      <c r="AR53" s="35"/>
      <c r="AS53" s="35"/>
      <c r="AT53" s="35"/>
    </row>
    <row r="54" spans="1:50" ht="18">
      <c r="B54" s="2" t="s">
        <v>6</v>
      </c>
      <c r="C54" s="2" t="s">
        <v>7</v>
      </c>
      <c r="D54" s="2" t="s">
        <v>8</v>
      </c>
      <c r="E54" s="2" t="s">
        <v>9</v>
      </c>
      <c r="F54" s="2" t="s">
        <v>10</v>
      </c>
      <c r="G54" s="2" t="s">
        <v>11</v>
      </c>
      <c r="H54" s="2" t="s">
        <v>12</v>
      </c>
      <c r="I54" s="2" t="s">
        <v>13</v>
      </c>
      <c r="J54" s="2" t="s">
        <v>14</v>
      </c>
      <c r="K54" s="2" t="s">
        <v>15</v>
      </c>
      <c r="L54" s="2" t="s">
        <v>16</v>
      </c>
      <c r="M54" s="2" t="s">
        <v>17</v>
      </c>
      <c r="N54" s="118">
        <v>45717</v>
      </c>
      <c r="O54" s="118">
        <v>45748</v>
      </c>
      <c r="P54" s="118">
        <v>45778</v>
      </c>
      <c r="Q54" s="118">
        <v>45809</v>
      </c>
      <c r="R54" s="118">
        <v>45839</v>
      </c>
      <c r="S54" s="118">
        <v>45870</v>
      </c>
      <c r="T54" s="118">
        <v>45901</v>
      </c>
      <c r="U54" s="118">
        <v>45931</v>
      </c>
      <c r="V54" s="118">
        <v>45962</v>
      </c>
      <c r="W54" s="118">
        <v>45992</v>
      </c>
      <c r="X54" s="118">
        <v>46023</v>
      </c>
      <c r="Y54" s="118">
        <v>46054</v>
      </c>
      <c r="Z54" s="118">
        <v>46082</v>
      </c>
      <c r="AA54" s="118">
        <v>46113</v>
      </c>
      <c r="AB54" s="118">
        <v>46143</v>
      </c>
      <c r="AC54" s="118">
        <v>46174</v>
      </c>
      <c r="AD54" s="118">
        <v>46204</v>
      </c>
      <c r="AE54" s="118">
        <v>46235</v>
      </c>
      <c r="AF54" s="118">
        <v>46266</v>
      </c>
      <c r="AG54" s="118">
        <v>46296</v>
      </c>
      <c r="AH54" s="118">
        <v>46327</v>
      </c>
      <c r="AI54" s="118">
        <v>46357</v>
      </c>
      <c r="AJ54" s="118">
        <v>46388</v>
      </c>
      <c r="AK54" s="118">
        <v>46419</v>
      </c>
      <c r="AL54" s="8" t="s">
        <v>1</v>
      </c>
    </row>
    <row r="55" spans="1:50" s="140" customFormat="1" ht="18">
      <c r="A55" s="136" t="s">
        <v>66</v>
      </c>
      <c r="B55" s="137" t="s">
        <v>19</v>
      </c>
      <c r="C55" s="137" t="s">
        <v>19</v>
      </c>
      <c r="D55" s="137" t="s">
        <v>19</v>
      </c>
      <c r="E55" s="137">
        <v>5</v>
      </c>
      <c r="F55" s="137">
        <v>0</v>
      </c>
      <c r="G55" s="137">
        <v>2</v>
      </c>
      <c r="H55" s="137">
        <v>1</v>
      </c>
      <c r="I55" s="137">
        <v>3</v>
      </c>
      <c r="J55" s="137">
        <v>1</v>
      </c>
      <c r="K55" s="137">
        <v>3</v>
      </c>
      <c r="L55" s="137">
        <v>0</v>
      </c>
      <c r="M55" s="137">
        <v>4</v>
      </c>
      <c r="N55" s="137">
        <v>4</v>
      </c>
      <c r="O55" s="137">
        <v>1</v>
      </c>
      <c r="P55" s="137">
        <v>3</v>
      </c>
      <c r="Q55" s="137">
        <v>9</v>
      </c>
      <c r="R55" s="137">
        <v>4</v>
      </c>
      <c r="S55" s="137">
        <v>1</v>
      </c>
      <c r="T55" s="137">
        <v>3</v>
      </c>
      <c r="U55" s="137">
        <v>1</v>
      </c>
      <c r="V55" s="137">
        <v>0</v>
      </c>
      <c r="W55" s="137">
        <v>1</v>
      </c>
      <c r="X55" s="137">
        <v>5</v>
      </c>
      <c r="Y55" s="137">
        <v>1</v>
      </c>
      <c r="Z55" s="137">
        <v>3</v>
      </c>
      <c r="AA55" s="137">
        <v>1</v>
      </c>
      <c r="AB55" s="137">
        <v>2</v>
      </c>
      <c r="AC55" s="137">
        <v>3</v>
      </c>
      <c r="AD55" s="137"/>
      <c r="AE55" s="137"/>
      <c r="AF55" s="137"/>
      <c r="AG55" s="137"/>
      <c r="AH55" s="137"/>
      <c r="AI55" s="137"/>
      <c r="AJ55" s="137"/>
      <c r="AK55" s="137"/>
      <c r="AL55" s="138">
        <f t="shared" si="31"/>
        <v>19</v>
      </c>
      <c r="AM55" s="137"/>
      <c r="AN55" s="137"/>
      <c r="AO55" s="139"/>
      <c r="AP55" s="139"/>
      <c r="AQ55" s="139"/>
      <c r="AR55" s="139"/>
      <c r="AS55" s="139"/>
      <c r="AT55" s="139"/>
      <c r="AU55" s="137"/>
      <c r="AV55" s="137"/>
      <c r="AW55" s="137"/>
      <c r="AX55" s="137"/>
    </row>
    <row r="56" spans="1:50" s="140" customFormat="1" ht="18">
      <c r="A56" s="136" t="s">
        <v>67</v>
      </c>
      <c r="B56" s="137" t="s">
        <v>19</v>
      </c>
      <c r="C56" s="137" t="s">
        <v>19</v>
      </c>
      <c r="D56" s="137" t="s">
        <v>19</v>
      </c>
      <c r="E56" s="137">
        <v>7</v>
      </c>
      <c r="F56" s="137">
        <v>3</v>
      </c>
      <c r="G56" s="137">
        <v>3</v>
      </c>
      <c r="H56" s="137">
        <v>1</v>
      </c>
      <c r="I56" s="137">
        <v>1</v>
      </c>
      <c r="J56" s="137">
        <v>0</v>
      </c>
      <c r="K56" s="137">
        <v>1</v>
      </c>
      <c r="L56" s="137">
        <v>7</v>
      </c>
      <c r="M56" s="137">
        <v>6</v>
      </c>
      <c r="N56" s="137">
        <v>2</v>
      </c>
      <c r="O56" s="137">
        <v>4</v>
      </c>
      <c r="P56" s="137">
        <v>2</v>
      </c>
      <c r="Q56" s="137">
        <v>5</v>
      </c>
      <c r="R56" s="137">
        <v>12</v>
      </c>
      <c r="S56" s="137">
        <v>23</v>
      </c>
      <c r="T56" s="137">
        <v>1</v>
      </c>
      <c r="U56" s="137">
        <v>15</v>
      </c>
      <c r="V56" s="137">
        <v>9</v>
      </c>
      <c r="W56" s="137">
        <v>24</v>
      </c>
      <c r="X56" s="137">
        <v>17</v>
      </c>
      <c r="Y56" s="137">
        <v>19</v>
      </c>
      <c r="Z56" s="137">
        <v>13</v>
      </c>
      <c r="AA56" s="137">
        <v>4</v>
      </c>
      <c r="AB56" s="137">
        <v>8</v>
      </c>
      <c r="AC56" s="137">
        <v>13</v>
      </c>
      <c r="AD56" s="137"/>
      <c r="AE56" s="137"/>
      <c r="AF56" s="137"/>
      <c r="AG56" s="137"/>
      <c r="AH56" s="137"/>
      <c r="AI56" s="137"/>
      <c r="AJ56" s="137"/>
      <c r="AK56" s="137"/>
      <c r="AL56" s="138">
        <f t="shared" si="31"/>
        <v>29</v>
      </c>
      <c r="AM56" s="137"/>
      <c r="AN56" s="137"/>
      <c r="AO56" s="139"/>
      <c r="AP56" s="139"/>
      <c r="AQ56" s="139"/>
      <c r="AR56" s="139"/>
      <c r="AS56" s="139"/>
      <c r="AT56" s="139"/>
      <c r="AU56" s="137"/>
      <c r="AV56" s="137"/>
      <c r="AW56" s="137"/>
      <c r="AX56" s="137"/>
    </row>
    <row r="57" spans="1:50" s="140" customFormat="1" ht="18">
      <c r="A57" s="136" t="s">
        <v>68</v>
      </c>
      <c r="B57" s="137" t="s">
        <v>19</v>
      </c>
      <c r="C57" s="137" t="s">
        <v>19</v>
      </c>
      <c r="D57" s="137" t="s">
        <v>19</v>
      </c>
      <c r="E57" s="137">
        <v>0</v>
      </c>
      <c r="F57" s="137">
        <v>0</v>
      </c>
      <c r="G57" s="137">
        <v>0</v>
      </c>
      <c r="H57" s="137">
        <v>0</v>
      </c>
      <c r="I57" s="137">
        <v>0</v>
      </c>
      <c r="J57" s="137">
        <v>0</v>
      </c>
      <c r="K57" s="137">
        <v>0</v>
      </c>
      <c r="L57" s="137">
        <v>0</v>
      </c>
      <c r="M57" s="137">
        <v>83</v>
      </c>
      <c r="N57" s="137">
        <v>2</v>
      </c>
      <c r="O57" s="137">
        <v>5</v>
      </c>
      <c r="P57" s="137">
        <v>4</v>
      </c>
      <c r="Q57" s="137">
        <v>35</v>
      </c>
      <c r="R57" s="137">
        <v>0</v>
      </c>
      <c r="S57" s="137">
        <v>20</v>
      </c>
      <c r="T57" s="137">
        <v>1</v>
      </c>
      <c r="U57" s="137">
        <v>0</v>
      </c>
      <c r="V57" s="137">
        <v>0</v>
      </c>
      <c r="W57" s="137">
        <v>0</v>
      </c>
      <c r="X57" s="137">
        <v>0</v>
      </c>
      <c r="Y57" s="137">
        <v>18</v>
      </c>
      <c r="Z57" s="137">
        <v>4</v>
      </c>
      <c r="AA57" s="137">
        <v>0</v>
      </c>
      <c r="AB57" s="137">
        <v>4</v>
      </c>
      <c r="AC57" s="137">
        <v>4</v>
      </c>
      <c r="AD57" s="137"/>
      <c r="AE57" s="137"/>
      <c r="AF57" s="137"/>
      <c r="AG57" s="137"/>
      <c r="AH57" s="137"/>
      <c r="AI57" s="137"/>
      <c r="AJ57" s="137"/>
      <c r="AK57" s="137"/>
      <c r="AL57" s="138">
        <f t="shared" si="31"/>
        <v>83</v>
      </c>
      <c r="AM57" s="137"/>
      <c r="AN57" s="137"/>
      <c r="AO57" s="139"/>
      <c r="AP57" s="139"/>
      <c r="AQ57" s="139"/>
      <c r="AR57" s="139"/>
      <c r="AS57" s="139"/>
      <c r="AT57" s="139"/>
      <c r="AU57" s="137"/>
      <c r="AV57" s="137"/>
      <c r="AW57" s="137"/>
      <c r="AX57" s="137"/>
    </row>
    <row r="58" spans="1:50" s="5" customFormat="1" ht="18">
      <c r="A58" s="5" t="s">
        <v>69</v>
      </c>
      <c r="B58" s="6">
        <f>SUM(B55:B57)</f>
        <v>0</v>
      </c>
      <c r="C58" s="6">
        <f t="shared" ref="C58:N58" si="34">SUM(C55:C57)</f>
        <v>0</v>
      </c>
      <c r="D58" s="6">
        <f t="shared" si="34"/>
        <v>0</v>
      </c>
      <c r="E58" s="6">
        <f t="shared" si="34"/>
        <v>12</v>
      </c>
      <c r="F58" s="6">
        <f t="shared" si="34"/>
        <v>3</v>
      </c>
      <c r="G58" s="6">
        <f t="shared" si="34"/>
        <v>5</v>
      </c>
      <c r="H58" s="6">
        <f t="shared" si="34"/>
        <v>2</v>
      </c>
      <c r="I58" s="6">
        <f t="shared" si="34"/>
        <v>4</v>
      </c>
      <c r="J58" s="6">
        <f t="shared" si="34"/>
        <v>1</v>
      </c>
      <c r="K58" s="6">
        <f t="shared" si="34"/>
        <v>4</v>
      </c>
      <c r="L58" s="6">
        <f t="shared" si="34"/>
        <v>7</v>
      </c>
      <c r="M58" s="6">
        <f t="shared" si="34"/>
        <v>93</v>
      </c>
      <c r="N58" s="6">
        <f t="shared" si="34"/>
        <v>8</v>
      </c>
      <c r="O58" s="6">
        <f>SUM(O55:O57)</f>
        <v>10</v>
      </c>
      <c r="P58" s="6">
        <f t="shared" ref="P58:AL58" si="35">SUM(P55:P57)</f>
        <v>9</v>
      </c>
      <c r="Q58" s="6">
        <f t="shared" si="35"/>
        <v>49</v>
      </c>
      <c r="R58" s="6">
        <f t="shared" si="35"/>
        <v>16</v>
      </c>
      <c r="S58" s="6">
        <f t="shared" si="35"/>
        <v>44</v>
      </c>
      <c r="T58" s="6">
        <f t="shared" si="35"/>
        <v>5</v>
      </c>
      <c r="U58" s="6">
        <f t="shared" si="35"/>
        <v>16</v>
      </c>
      <c r="V58" s="6">
        <f t="shared" si="35"/>
        <v>9</v>
      </c>
      <c r="W58" s="6">
        <f t="shared" si="35"/>
        <v>25</v>
      </c>
      <c r="X58" s="6">
        <f t="shared" si="35"/>
        <v>22</v>
      </c>
      <c r="Y58" s="6">
        <f t="shared" si="35"/>
        <v>38</v>
      </c>
      <c r="Z58" s="6">
        <f t="shared" si="35"/>
        <v>20</v>
      </c>
      <c r="AA58" s="6">
        <f t="shared" si="35"/>
        <v>5</v>
      </c>
      <c r="AB58" s="6">
        <f t="shared" si="35"/>
        <v>14</v>
      </c>
      <c r="AC58" s="6">
        <f>SUM(AC56:AC57)</f>
        <v>17</v>
      </c>
      <c r="AD58" s="6">
        <f t="shared" si="35"/>
        <v>0</v>
      </c>
      <c r="AE58" s="6">
        <f t="shared" si="35"/>
        <v>0</v>
      </c>
      <c r="AF58" s="6">
        <f t="shared" si="35"/>
        <v>0</v>
      </c>
      <c r="AG58" s="6">
        <f t="shared" si="35"/>
        <v>0</v>
      </c>
      <c r="AH58" s="6">
        <f t="shared" si="35"/>
        <v>0</v>
      </c>
      <c r="AI58" s="6">
        <f t="shared" si="35"/>
        <v>0</v>
      </c>
      <c r="AJ58" s="6">
        <f t="shared" si="35"/>
        <v>0</v>
      </c>
      <c r="AK58" s="6">
        <f t="shared" si="35"/>
        <v>0</v>
      </c>
      <c r="AL58" s="6">
        <f t="shared" si="35"/>
        <v>131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 s="3" customFormat="1" ht="18" hidden="1">
      <c r="A59" s="3" t="s">
        <v>81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>
        <v>23.75</v>
      </c>
      <c r="O59" s="4">
        <v>23.75</v>
      </c>
      <c r="P59" s="4">
        <v>23.75</v>
      </c>
      <c r="Q59" s="4">
        <v>23.75</v>
      </c>
      <c r="R59" s="4">
        <v>23.75</v>
      </c>
      <c r="S59" s="4">
        <v>23.75</v>
      </c>
      <c r="T59" s="4">
        <v>23.75</v>
      </c>
      <c r="U59" s="4">
        <v>23.75</v>
      </c>
      <c r="V59" s="4">
        <v>23.75</v>
      </c>
      <c r="W59" s="4">
        <v>23.75</v>
      </c>
      <c r="X59" s="4">
        <v>23.75</v>
      </c>
      <c r="Y59" s="4">
        <v>23.75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8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</sheetData>
  <phoneticPr fontId="1"/>
  <conditionalFormatting sqref="A8:AK8 AO24:XFD29 AL28:AM37 AO38:XFD1048576 A41:Y43 AL41:AM44 A44:AE44 AL45:AL46 B45:M53 AL48:AL53 A54:M54 AL54:AM57 A55:Y64 Z58:AM58 AL59:AM1048576 B65:Y72 A73:Y1048576">
    <cfRule type="cellIs" dxfId="77" priority="6" operator="equal">
      <formula>#DIV/0!</formula>
    </cfRule>
  </conditionalFormatting>
  <conditionalFormatting sqref="B29:M37">
    <cfRule type="cellIs" dxfId="76" priority="16" operator="equal">
      <formula>#DIV/0!</formula>
    </cfRule>
  </conditionalFormatting>
  <conditionalFormatting sqref="B1:Y1 A2:Y2 A15:Y15 A17">
    <cfRule type="cellIs" dxfId="75" priority="17" operator="equal">
      <formula>#DIV/0!</formula>
    </cfRule>
  </conditionalFormatting>
  <conditionalFormatting sqref="T38:AL40">
    <cfRule type="cellIs" dxfId="74" priority="14" operator="equal">
      <formula>#DIV/0!</formula>
    </cfRule>
  </conditionalFormatting>
  <conditionalFormatting sqref="Z20:AK20 Z27:AK27">
    <cfRule type="cellIs" dxfId="73" priority="13" operator="equal">
      <formula>#DIV/0!</formula>
    </cfRule>
  </conditionalFormatting>
  <conditionalFormatting sqref="AL1:AM5 AO1:XFD5 AN2 A3:M3 B4:Y4 B5:M5 A7:M7 AL7:AM13 AO7:XFD13 A9:M9 A10:AK10 A11:M11 A12:AK12 A13:Y13 AL15:AM15 AO15:XFD15 N17:Y17 AM17:AM22 AO17:XFD22 A18:Y22 AL18:AL22 A24:A27 AM24:AM27 B25:Y27 AL25:AL27 A28:M28 T28:Y28 AY30:XFD37 A38:M40">
    <cfRule type="cellIs" dxfId="72" priority="18" operator="equal">
      <formula>#DIV/0!</formula>
    </cfRule>
  </conditionalFormatting>
  <conditionalFormatting sqref="AN8">
    <cfRule type="cellIs" dxfId="71" priority="1" operator="equal">
      <formula>#DIV/0!</formula>
    </cfRule>
  </conditionalFormatting>
  <conditionalFormatting sqref="AN20 AN27">
    <cfRule type="cellIs" dxfId="70" priority="12" operator="equal">
      <formula>#DIV/0!</formula>
    </cfRule>
  </conditionalFormatting>
  <conditionalFormatting sqref="AN24">
    <cfRule type="cellIs" dxfId="69" priority="11" operator="equal">
      <formula>#DIV/0!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59DE-7881-48AB-A244-B86CFF78EA65}">
  <dimension ref="B1:V23"/>
  <sheetViews>
    <sheetView tabSelected="1" zoomScale="85" zoomScaleNormal="85" workbookViewId="0">
      <selection activeCell="X15" sqref="X15"/>
    </sheetView>
  </sheetViews>
  <sheetFormatPr defaultColWidth="8.625" defaultRowHeight="16.5" customHeight="1"/>
  <cols>
    <col min="1" max="1" width="8.625" style="147"/>
    <col min="2" max="2" width="6.375" style="147" customWidth="1"/>
    <col min="3" max="3" width="7.875" style="159" customWidth="1"/>
    <col min="4" max="4" width="7.875" style="148" customWidth="1"/>
    <col min="5" max="9" width="7.375" style="148" customWidth="1"/>
    <col min="10" max="10" width="8.125" style="152" customWidth="1"/>
    <col min="11" max="11" width="8.125" style="149" customWidth="1"/>
    <col min="12" max="12" width="2.375" style="152" customWidth="1"/>
    <col min="13" max="13" width="6.375" style="147" customWidth="1"/>
    <col min="14" max="14" width="7.625" style="159" customWidth="1"/>
    <col min="15" max="15" width="7.625" style="148" customWidth="1"/>
    <col min="16" max="20" width="7.625" style="147" customWidth="1"/>
    <col min="21" max="21" width="8.125" style="153" customWidth="1"/>
    <col min="22" max="22" width="8.125" style="149" customWidth="1"/>
    <col min="23" max="16384" width="8.625" style="147"/>
  </cols>
  <sheetData>
    <row r="1" spans="2:22" ht="20.100000000000001"/>
    <row r="2" spans="2:22" s="144" customFormat="1" ht="30">
      <c r="B2" s="183" t="s">
        <v>82</v>
      </c>
      <c r="C2" s="169"/>
      <c r="D2" s="170" t="s">
        <v>83</v>
      </c>
      <c r="E2" s="170" t="s">
        <v>84</v>
      </c>
      <c r="F2" s="171" t="s">
        <v>85</v>
      </c>
      <c r="G2" s="170" t="s">
        <v>86</v>
      </c>
      <c r="H2" s="170" t="s">
        <v>87</v>
      </c>
      <c r="I2" s="171" t="s">
        <v>88</v>
      </c>
      <c r="J2" s="172" t="s">
        <v>89</v>
      </c>
      <c r="K2" s="173" t="s">
        <v>90</v>
      </c>
      <c r="L2" s="166"/>
      <c r="M2" s="183" t="s">
        <v>91</v>
      </c>
      <c r="N2" s="169"/>
      <c r="O2" s="170" t="s">
        <v>83</v>
      </c>
      <c r="P2" s="170" t="s">
        <v>84</v>
      </c>
      <c r="Q2" s="171" t="s">
        <v>85</v>
      </c>
      <c r="R2" s="170" t="s">
        <v>86</v>
      </c>
      <c r="S2" s="170" t="s">
        <v>87</v>
      </c>
      <c r="T2" s="171" t="s">
        <v>88</v>
      </c>
      <c r="U2" s="172" t="s">
        <v>89</v>
      </c>
      <c r="V2" s="173" t="s">
        <v>92</v>
      </c>
    </row>
    <row r="3" spans="2:22" ht="17.45" customHeight="1">
      <c r="B3" s="184"/>
      <c r="C3" s="159" t="s">
        <v>93</v>
      </c>
      <c r="D3" s="154">
        <v>2553</v>
      </c>
      <c r="E3" s="154">
        <v>2639</v>
      </c>
      <c r="F3" s="156">
        <v>4301</v>
      </c>
      <c r="G3" s="154">
        <f>F3-D3</f>
        <v>1748</v>
      </c>
      <c r="H3" s="154">
        <f>F3-E3</f>
        <v>1662</v>
      </c>
      <c r="I3" s="156">
        <f>オリジナルユニフォーム!AN4</f>
        <v>13139</v>
      </c>
      <c r="J3" s="155">
        <f>オリジナルユニフォーム!AN14</f>
        <v>0.33157522838540354</v>
      </c>
      <c r="K3" s="174">
        <v>0.99472568515621063</v>
      </c>
      <c r="L3" s="168"/>
      <c r="M3" s="184"/>
      <c r="N3" s="159" t="s">
        <v>93</v>
      </c>
      <c r="O3" s="154">
        <v>1823</v>
      </c>
      <c r="P3" s="154">
        <v>2887</v>
      </c>
      <c r="Q3" s="156">
        <v>2821</v>
      </c>
      <c r="R3" s="154">
        <f>Q3-O3</f>
        <v>998</v>
      </c>
      <c r="S3" s="154">
        <f>Q3-P3</f>
        <v>-66</v>
      </c>
      <c r="T3" s="156">
        <f>スクール!AN4</f>
        <v>10923</v>
      </c>
      <c r="U3" s="155">
        <f>スクール!AN14</f>
        <v>0.25467474935882489</v>
      </c>
      <c r="V3" s="174">
        <v>0.76402424807647473</v>
      </c>
    </row>
    <row r="4" spans="2:22" s="151" customFormat="1" ht="17.45" customHeight="1">
      <c r="B4" s="184"/>
      <c r="C4" s="163" t="s">
        <v>94</v>
      </c>
      <c r="D4" s="156">
        <v>15</v>
      </c>
      <c r="E4" s="156">
        <v>44</v>
      </c>
      <c r="F4" s="165">
        <v>22</v>
      </c>
      <c r="G4" s="156">
        <f>F4-D4</f>
        <v>7</v>
      </c>
      <c r="H4" s="156">
        <f>F4-E4</f>
        <v>-22</v>
      </c>
      <c r="I4" s="165">
        <f>オリジナルユニフォーム!AN5</f>
        <v>85</v>
      </c>
      <c r="J4" s="164">
        <f>オリジナルユニフォーム!AN16</f>
        <v>0.28333333333333333</v>
      </c>
      <c r="K4" s="175">
        <v>0.85</v>
      </c>
      <c r="L4" s="155"/>
      <c r="M4" s="184"/>
      <c r="N4" s="163" t="s">
        <v>94</v>
      </c>
      <c r="O4" s="156">
        <v>7</v>
      </c>
      <c r="P4" s="156">
        <v>4</v>
      </c>
      <c r="Q4" s="165">
        <v>3</v>
      </c>
      <c r="R4" s="156">
        <f>Q4-O4</f>
        <v>-4</v>
      </c>
      <c r="S4" s="156">
        <f>Q4-P4</f>
        <v>-1</v>
      </c>
      <c r="T4" s="165">
        <f>スクール!AN5</f>
        <v>17</v>
      </c>
      <c r="U4" s="164">
        <f>スクール!AN16</f>
        <v>0.24285714285714285</v>
      </c>
      <c r="V4" s="175">
        <v>0.72857142857142865</v>
      </c>
    </row>
    <row r="5" spans="2:22" s="150" customFormat="1" ht="17.45" customHeight="1">
      <c r="B5" s="184"/>
      <c r="C5" s="160" t="s">
        <v>95</v>
      </c>
      <c r="D5" s="157">
        <v>5.8754406580493537E-3</v>
      </c>
      <c r="E5" s="157">
        <v>1.6672982190223569E-2</v>
      </c>
      <c r="F5" s="164">
        <v>5.1150895140664966E-3</v>
      </c>
      <c r="G5" s="157"/>
      <c r="H5" s="157"/>
      <c r="I5" s="164">
        <f>オリジナルユニフォーム!AN6</f>
        <v>6.4692899002968263E-3</v>
      </c>
      <c r="J5" s="155"/>
      <c r="K5" s="174"/>
      <c r="L5" s="168"/>
      <c r="M5" s="184"/>
      <c r="N5" s="160" t="s">
        <v>95</v>
      </c>
      <c r="O5" s="157">
        <v>3.8398244651673065E-3</v>
      </c>
      <c r="P5" s="157">
        <v>1.3855213023900243E-3</v>
      </c>
      <c r="Q5" s="164">
        <v>1.0634526763559022E-3</v>
      </c>
      <c r="R5" s="157"/>
      <c r="S5" s="157"/>
      <c r="T5" s="164">
        <f>スクール!AN6</f>
        <v>1.5563489883731576E-3</v>
      </c>
      <c r="U5" s="155"/>
      <c r="V5" s="174"/>
    </row>
    <row r="6" spans="2:22" ht="17.45" customHeight="1">
      <c r="B6" s="184"/>
      <c r="C6" s="159" t="s">
        <v>22</v>
      </c>
      <c r="D6" s="154">
        <v>4</v>
      </c>
      <c r="E6" s="154">
        <v>3</v>
      </c>
      <c r="F6" s="156">
        <v>6</v>
      </c>
      <c r="G6" s="154">
        <f>F6-D6</f>
        <v>2</v>
      </c>
      <c r="H6" s="154">
        <f>F6-E6</f>
        <v>3</v>
      </c>
      <c r="I6" s="156">
        <f>オリジナルユニフォーム!AN7</f>
        <v>13</v>
      </c>
      <c r="J6" s="155"/>
      <c r="K6" s="176"/>
      <c r="L6" s="155"/>
      <c r="M6" s="184"/>
      <c r="N6" s="159" t="s">
        <v>22</v>
      </c>
      <c r="O6" s="154">
        <v>1</v>
      </c>
      <c r="P6" s="154">
        <v>1</v>
      </c>
      <c r="Q6" s="156">
        <v>0</v>
      </c>
      <c r="R6" s="154">
        <f>Q6-O6</f>
        <v>-1</v>
      </c>
      <c r="S6" s="154">
        <f>Q6-P6</f>
        <v>-1</v>
      </c>
      <c r="T6" s="156">
        <f>スクール!AN7</f>
        <v>1</v>
      </c>
      <c r="U6" s="155"/>
      <c r="V6" s="176"/>
    </row>
    <row r="7" spans="2:22" s="150" customFormat="1" ht="17.45" customHeight="1">
      <c r="B7" s="184"/>
      <c r="C7" s="162" t="s">
        <v>96</v>
      </c>
      <c r="D7" s="158">
        <v>0.26666666666666666</v>
      </c>
      <c r="E7" s="157">
        <v>6.8181818181818177E-2</v>
      </c>
      <c r="F7" s="164">
        <v>0.27272727272727271</v>
      </c>
      <c r="G7" s="157"/>
      <c r="H7" s="157"/>
      <c r="I7" s="164">
        <f>オリジナルユニフォーム!AN8</f>
        <v>0.15294117647058825</v>
      </c>
      <c r="J7" s="155"/>
      <c r="K7" s="176"/>
      <c r="L7" s="155"/>
      <c r="M7" s="184"/>
      <c r="N7" s="162" t="s">
        <v>96</v>
      </c>
      <c r="O7" s="158">
        <v>0.14285714285714285</v>
      </c>
      <c r="P7" s="157">
        <v>0.25</v>
      </c>
      <c r="Q7" s="164" t="s">
        <v>97</v>
      </c>
      <c r="R7" s="157"/>
      <c r="S7" s="157"/>
      <c r="T7" s="164">
        <f>スクール!AN8</f>
        <v>5.8823529411764705E-2</v>
      </c>
      <c r="U7" s="155"/>
      <c r="V7" s="176"/>
    </row>
    <row r="8" spans="2:22" s="151" customFormat="1" ht="17.45" customHeight="1">
      <c r="B8" s="184"/>
      <c r="C8" s="163" t="s">
        <v>98</v>
      </c>
      <c r="D8" s="156">
        <v>4</v>
      </c>
      <c r="E8" s="156">
        <v>2</v>
      </c>
      <c r="F8" s="165">
        <v>5</v>
      </c>
      <c r="G8" s="156">
        <f>F8-D8</f>
        <v>1</v>
      </c>
      <c r="H8" s="156">
        <f>F8-E8</f>
        <v>3</v>
      </c>
      <c r="I8" s="165">
        <f>オリジナルユニフォーム!AN9</f>
        <v>8</v>
      </c>
      <c r="J8" s="164">
        <f>オリジナルユニフォーム!AN23</f>
        <v>0.13333333333333333</v>
      </c>
      <c r="K8" s="175">
        <v>0.4</v>
      </c>
      <c r="L8" s="155"/>
      <c r="M8" s="184"/>
      <c r="N8" s="163" t="s">
        <v>98</v>
      </c>
      <c r="O8" s="156">
        <v>0</v>
      </c>
      <c r="P8" s="156">
        <v>0</v>
      </c>
      <c r="Q8" s="165">
        <v>0</v>
      </c>
      <c r="R8" s="156">
        <f>Q8-O8</f>
        <v>0</v>
      </c>
      <c r="S8" s="156">
        <f>Q8-P8</f>
        <v>0</v>
      </c>
      <c r="T8" s="165">
        <f>スクール!AN9</f>
        <v>0</v>
      </c>
      <c r="U8" s="164">
        <f>スクール!AN23</f>
        <v>0</v>
      </c>
      <c r="V8" s="175">
        <v>0</v>
      </c>
    </row>
    <row r="9" spans="2:22" s="150" customFormat="1" ht="17.45" customHeight="1">
      <c r="B9" s="184"/>
      <c r="C9" s="160" t="s">
        <v>99</v>
      </c>
      <c r="D9" s="157">
        <v>0.26666666666666666</v>
      </c>
      <c r="E9" s="157">
        <v>4.5454545454545456E-2</v>
      </c>
      <c r="F9" s="164">
        <v>0.22727272727272727</v>
      </c>
      <c r="G9" s="157"/>
      <c r="H9" s="157"/>
      <c r="I9" s="164">
        <f>オリジナルユニフォーム!AN10</f>
        <v>9.4117647058823528E-2</v>
      </c>
      <c r="J9" s="155"/>
      <c r="K9" s="176"/>
      <c r="L9" s="155"/>
      <c r="M9" s="184"/>
      <c r="N9" s="160" t="s">
        <v>99</v>
      </c>
      <c r="O9" s="157" t="s">
        <v>97</v>
      </c>
      <c r="P9" s="157" t="s">
        <v>97</v>
      </c>
      <c r="Q9" s="164" t="s">
        <v>97</v>
      </c>
      <c r="R9" s="157"/>
      <c r="S9" s="157"/>
      <c r="T9" s="164" t="str">
        <f>スクール!AN10</f>
        <v>0%</v>
      </c>
      <c r="U9" s="155"/>
      <c r="V9" s="176"/>
    </row>
    <row r="10" spans="2:22" ht="17.45" customHeight="1">
      <c r="B10" s="184"/>
      <c r="C10" s="159" t="s">
        <v>26</v>
      </c>
      <c r="D10" s="154">
        <v>0</v>
      </c>
      <c r="E10" s="154">
        <v>0</v>
      </c>
      <c r="F10" s="156">
        <v>0</v>
      </c>
      <c r="G10" s="154">
        <f>F10-D10</f>
        <v>0</v>
      </c>
      <c r="H10" s="154">
        <f>F10-E10</f>
        <v>0</v>
      </c>
      <c r="I10" s="156">
        <f>オリジナルユニフォーム!AN11</f>
        <v>0</v>
      </c>
      <c r="J10" s="155"/>
      <c r="K10" s="176"/>
      <c r="L10" s="155"/>
      <c r="M10" s="184"/>
      <c r="N10" s="159" t="s">
        <v>26</v>
      </c>
      <c r="O10" s="154">
        <v>0</v>
      </c>
      <c r="P10" s="154">
        <v>0</v>
      </c>
      <c r="Q10" s="156">
        <v>0</v>
      </c>
      <c r="R10" s="154">
        <f>Q10-O10</f>
        <v>0</v>
      </c>
      <c r="S10" s="154">
        <f>Q10-P10</f>
        <v>0</v>
      </c>
      <c r="T10" s="156">
        <f>スクール!AN11</f>
        <v>0</v>
      </c>
      <c r="U10" s="155"/>
      <c r="V10" s="176"/>
    </row>
    <row r="11" spans="2:22" s="150" customFormat="1" ht="17.45" customHeight="1">
      <c r="B11" s="185"/>
      <c r="C11" s="177" t="s">
        <v>100</v>
      </c>
      <c r="D11" s="178" t="s">
        <v>97</v>
      </c>
      <c r="E11" s="178" t="s">
        <v>97</v>
      </c>
      <c r="F11" s="179" t="s">
        <v>97</v>
      </c>
      <c r="G11" s="178"/>
      <c r="H11" s="178"/>
      <c r="I11" s="179" t="str">
        <f>オリジナルユニフォーム!AN12</f>
        <v>0%</v>
      </c>
      <c r="J11" s="180"/>
      <c r="K11" s="181"/>
      <c r="L11" s="155"/>
      <c r="M11" s="185"/>
      <c r="N11" s="177" t="s">
        <v>100</v>
      </c>
      <c r="O11" s="178" t="s">
        <v>97</v>
      </c>
      <c r="P11" s="178" t="s">
        <v>97</v>
      </c>
      <c r="Q11" s="179" t="s">
        <v>97</v>
      </c>
      <c r="R11" s="178"/>
      <c r="S11" s="178"/>
      <c r="T11" s="179">
        <f>スクール!AN12</f>
        <v>0</v>
      </c>
      <c r="U11" s="180"/>
      <c r="V11" s="181"/>
    </row>
    <row r="12" spans="2:22" s="153" customFormat="1" ht="17.45" customHeight="1">
      <c r="B12" s="167"/>
      <c r="C12" s="161"/>
      <c r="D12" s="155"/>
      <c r="E12" s="155"/>
      <c r="F12" s="155"/>
      <c r="G12" s="155"/>
      <c r="H12" s="155"/>
      <c r="I12" s="155"/>
      <c r="J12" s="155"/>
      <c r="K12" s="155"/>
      <c r="L12" s="155"/>
      <c r="M12" s="167"/>
      <c r="N12" s="161"/>
      <c r="O12" s="155"/>
      <c r="P12" s="155"/>
      <c r="Q12" s="155"/>
      <c r="R12" s="155"/>
      <c r="S12" s="155"/>
      <c r="T12" s="155"/>
      <c r="U12" s="155"/>
      <c r="V12" s="155"/>
    </row>
    <row r="13" spans="2:22" s="144" customFormat="1" ht="30">
      <c r="B13" s="183" t="s">
        <v>101</v>
      </c>
      <c r="C13" s="169"/>
      <c r="D13" s="170" t="s">
        <v>83</v>
      </c>
      <c r="E13" s="170" t="s">
        <v>84</v>
      </c>
      <c r="F13" s="171" t="s">
        <v>85</v>
      </c>
      <c r="G13" s="170" t="s">
        <v>86</v>
      </c>
      <c r="H13" s="170" t="s">
        <v>87</v>
      </c>
      <c r="I13" s="171" t="s">
        <v>88</v>
      </c>
      <c r="J13" s="172" t="s">
        <v>89</v>
      </c>
      <c r="K13" s="173" t="s">
        <v>92</v>
      </c>
      <c r="L13" s="166"/>
      <c r="M13" s="183" t="s">
        <v>102</v>
      </c>
      <c r="N13" s="169"/>
      <c r="O13" s="170" t="s">
        <v>83</v>
      </c>
      <c r="P13" s="170" t="s">
        <v>84</v>
      </c>
      <c r="Q13" s="171" t="s">
        <v>85</v>
      </c>
      <c r="R13" s="170" t="s">
        <v>86</v>
      </c>
      <c r="S13" s="170" t="s">
        <v>87</v>
      </c>
      <c r="T13" s="171" t="s">
        <v>88</v>
      </c>
      <c r="U13" s="172" t="s">
        <v>89</v>
      </c>
      <c r="V13" s="173" t="s">
        <v>92</v>
      </c>
    </row>
    <row r="14" spans="2:22" ht="17.45" customHeight="1">
      <c r="B14" s="184"/>
      <c r="C14" s="159" t="s">
        <v>93</v>
      </c>
      <c r="D14" s="154">
        <v>3298</v>
      </c>
      <c r="E14" s="154">
        <v>2455</v>
      </c>
      <c r="F14" s="156">
        <v>2648</v>
      </c>
      <c r="G14" s="154">
        <f>F14-D14</f>
        <v>-650</v>
      </c>
      <c r="H14" s="154">
        <f>F14-E14</f>
        <v>193</v>
      </c>
      <c r="I14" s="156">
        <f>メディカル!AN4</f>
        <v>9689</v>
      </c>
      <c r="J14" s="155">
        <f>メディカル!AN14</f>
        <v>0.20688403476181325</v>
      </c>
      <c r="K14" s="174">
        <v>0.62065210428543971</v>
      </c>
      <c r="L14" s="168"/>
      <c r="M14" s="184"/>
      <c r="N14" s="159" t="s">
        <v>93</v>
      </c>
      <c r="O14" s="154">
        <v>1028</v>
      </c>
      <c r="P14" s="154">
        <v>1172</v>
      </c>
      <c r="Q14" s="156">
        <v>1452</v>
      </c>
      <c r="R14" s="154">
        <f>Q14-O14</f>
        <v>424</v>
      </c>
      <c r="S14" s="154">
        <f>Q14-P14</f>
        <v>280</v>
      </c>
      <c r="T14" s="156">
        <f>インサイトセールス!AN4</f>
        <v>5391</v>
      </c>
      <c r="U14" s="155">
        <f>インサイトセールス!AN14</f>
        <v>0.21424313476135595</v>
      </c>
      <c r="V14" s="174">
        <v>0.64272940428406788</v>
      </c>
    </row>
    <row r="15" spans="2:22" ht="17.45" customHeight="1">
      <c r="B15" s="184"/>
      <c r="C15" s="163" t="s">
        <v>94</v>
      </c>
      <c r="D15" s="156">
        <v>18</v>
      </c>
      <c r="E15" s="156">
        <v>34</v>
      </c>
      <c r="F15" s="165">
        <v>27</v>
      </c>
      <c r="G15" s="156">
        <f>F15-D15</f>
        <v>9</v>
      </c>
      <c r="H15" s="156">
        <f>F15-E15</f>
        <v>-7</v>
      </c>
      <c r="I15" s="165">
        <f>メディカル!AN5</f>
        <v>105</v>
      </c>
      <c r="J15" s="164">
        <f>メディカル!AN16</f>
        <v>0.23333333333333334</v>
      </c>
      <c r="K15" s="175">
        <v>0.7</v>
      </c>
      <c r="L15" s="155"/>
      <c r="M15" s="184"/>
      <c r="N15" s="163" t="s">
        <v>94</v>
      </c>
      <c r="O15" s="156">
        <v>12</v>
      </c>
      <c r="P15" s="156">
        <v>14</v>
      </c>
      <c r="Q15" s="165">
        <v>16</v>
      </c>
      <c r="R15" s="156">
        <f>Q15-O15</f>
        <v>4</v>
      </c>
      <c r="S15" s="156">
        <f>Q15-P15</f>
        <v>2</v>
      </c>
      <c r="T15" s="165">
        <f>インサイトセールス!AN5</f>
        <v>48</v>
      </c>
      <c r="U15" s="164">
        <f>インサイトセールス!AN16</f>
        <v>0.17391304347826086</v>
      </c>
      <c r="V15" s="175">
        <v>0.52173913043478259</v>
      </c>
    </row>
    <row r="16" spans="2:22" s="150" customFormat="1" ht="17.45" customHeight="1">
      <c r="B16" s="184"/>
      <c r="C16" s="161" t="s">
        <v>95</v>
      </c>
      <c r="D16" s="155">
        <v>5.4578532443905394E-3</v>
      </c>
      <c r="E16" s="157">
        <v>1.3849287169042769E-2</v>
      </c>
      <c r="F16" s="164">
        <v>1.0196374622356496E-2</v>
      </c>
      <c r="G16" s="157"/>
      <c r="H16" s="157"/>
      <c r="I16" s="182">
        <f>メディカル!AN6</f>
        <v>1.0837031685416451E-2</v>
      </c>
      <c r="J16" s="155"/>
      <c r="K16" s="174"/>
      <c r="L16" s="168"/>
      <c r="M16" s="184"/>
      <c r="N16" s="160" t="s">
        <v>95</v>
      </c>
      <c r="O16" s="157">
        <v>1.1673151750972763E-2</v>
      </c>
      <c r="P16" s="157">
        <v>1.1945392491467578E-2</v>
      </c>
      <c r="Q16" s="164">
        <v>1.1019283746556474E-2</v>
      </c>
      <c r="R16" s="157"/>
      <c r="S16" s="157"/>
      <c r="T16" s="182">
        <f>インサイトセールス!AN6</f>
        <v>8.9037284362826936E-3</v>
      </c>
      <c r="U16" s="155"/>
      <c r="V16" s="174"/>
    </row>
    <row r="17" spans="2:22" ht="17.45" customHeight="1">
      <c r="B17" s="184"/>
      <c r="C17" s="159" t="s">
        <v>22</v>
      </c>
      <c r="D17" s="154">
        <v>4</v>
      </c>
      <c r="E17" s="154">
        <v>3</v>
      </c>
      <c r="F17" s="156">
        <v>1</v>
      </c>
      <c r="G17" s="154">
        <f>F17-D17</f>
        <v>-3</v>
      </c>
      <c r="H17" s="154">
        <f>F17-E17</f>
        <v>-2</v>
      </c>
      <c r="I17" s="156">
        <f>メディカル!AN7</f>
        <v>11</v>
      </c>
      <c r="J17" s="155"/>
      <c r="K17" s="176"/>
      <c r="L17" s="155"/>
      <c r="M17" s="184"/>
      <c r="N17" s="159" t="s">
        <v>22</v>
      </c>
      <c r="O17" s="154">
        <v>2</v>
      </c>
      <c r="P17" s="154">
        <v>3</v>
      </c>
      <c r="Q17" s="156">
        <v>0</v>
      </c>
      <c r="R17" s="154">
        <f>Q17-O17</f>
        <v>-2</v>
      </c>
      <c r="S17" s="154">
        <f>Q17-P17</f>
        <v>-3</v>
      </c>
      <c r="T17" s="156">
        <f>インサイトセールス!AN7</f>
        <v>5</v>
      </c>
      <c r="U17" s="155"/>
      <c r="V17" s="176"/>
    </row>
    <row r="18" spans="2:22" s="150" customFormat="1" ht="17.45" customHeight="1">
      <c r="B18" s="184"/>
      <c r="C18" s="162" t="s">
        <v>96</v>
      </c>
      <c r="D18" s="158">
        <v>0.22222222222222221</v>
      </c>
      <c r="E18" s="157">
        <v>8.8235294117647065E-2</v>
      </c>
      <c r="F18" s="164">
        <v>3.7037037037037035E-2</v>
      </c>
      <c r="G18" s="157"/>
      <c r="H18" s="157"/>
      <c r="I18" s="164">
        <f>メディカル!AN8</f>
        <v>0.10476190476190476</v>
      </c>
      <c r="J18" s="155"/>
      <c r="K18" s="176"/>
      <c r="L18" s="155"/>
      <c r="M18" s="184"/>
      <c r="N18" s="162" t="s">
        <v>96</v>
      </c>
      <c r="O18" s="158">
        <v>0.16666666666666666</v>
      </c>
      <c r="P18" s="157">
        <v>0.21428571428571427</v>
      </c>
      <c r="Q18" s="164" t="s">
        <v>97</v>
      </c>
      <c r="R18" s="157"/>
      <c r="S18" s="157"/>
      <c r="T18" s="182">
        <f>インサイトセールス!AN8</f>
        <v>0.10416666666666667</v>
      </c>
      <c r="U18" s="155"/>
      <c r="V18" s="176"/>
    </row>
    <row r="19" spans="2:22" ht="17.45" customHeight="1">
      <c r="B19" s="184"/>
      <c r="C19" s="163" t="s">
        <v>98</v>
      </c>
      <c r="D19" s="156">
        <v>3</v>
      </c>
      <c r="E19" s="156">
        <v>0</v>
      </c>
      <c r="F19" s="165">
        <v>2</v>
      </c>
      <c r="G19" s="156">
        <f>F19-D19</f>
        <v>-1</v>
      </c>
      <c r="H19" s="156">
        <f>F19-E19</f>
        <v>2</v>
      </c>
      <c r="I19" s="165">
        <f>メディカル!AN9</f>
        <v>5</v>
      </c>
      <c r="J19" s="164">
        <f>メディカル!AN23</f>
        <v>0.16666666666666666</v>
      </c>
      <c r="K19" s="175">
        <v>0.5</v>
      </c>
      <c r="L19" s="155"/>
      <c r="M19" s="184"/>
      <c r="N19" s="163" t="s">
        <v>98</v>
      </c>
      <c r="O19" s="156">
        <v>1</v>
      </c>
      <c r="P19" s="156">
        <v>0</v>
      </c>
      <c r="Q19" s="165">
        <v>2</v>
      </c>
      <c r="R19" s="156">
        <f>Q19-O19</f>
        <v>1</v>
      </c>
      <c r="S19" s="156">
        <f>Q19-P19</f>
        <v>2</v>
      </c>
      <c r="T19" s="165">
        <f>インサイトセールス!AN9</f>
        <v>3</v>
      </c>
      <c r="U19" s="164">
        <f>インサイトセールス!AN19</f>
        <v>0</v>
      </c>
      <c r="V19" s="175">
        <v>0.75</v>
      </c>
    </row>
    <row r="20" spans="2:22" s="150" customFormat="1" ht="17.45" customHeight="1">
      <c r="B20" s="184"/>
      <c r="C20" s="160" t="s">
        <v>99</v>
      </c>
      <c r="D20" s="157">
        <v>0.16666666666666666</v>
      </c>
      <c r="E20" s="157" t="s">
        <v>97</v>
      </c>
      <c r="F20" s="164">
        <v>7.407407407407407E-2</v>
      </c>
      <c r="G20" s="157"/>
      <c r="H20" s="157"/>
      <c r="I20" s="164">
        <f>メディカル!AN10</f>
        <v>4.7619047619047616E-2</v>
      </c>
      <c r="J20" s="155"/>
      <c r="K20" s="176"/>
      <c r="L20" s="155"/>
      <c r="M20" s="184"/>
      <c r="N20" s="160" t="s">
        <v>99</v>
      </c>
      <c r="O20" s="157">
        <v>8.3333333333333329E-2</v>
      </c>
      <c r="P20" s="157" t="s">
        <v>97</v>
      </c>
      <c r="Q20" s="164">
        <v>0.125</v>
      </c>
      <c r="R20" s="157"/>
      <c r="S20" s="157"/>
      <c r="T20" s="182">
        <f>インサイトセールス!AN10</f>
        <v>6.25E-2</v>
      </c>
      <c r="U20" s="155"/>
      <c r="V20" s="176"/>
    </row>
    <row r="21" spans="2:22" ht="17.45" customHeight="1">
      <c r="B21" s="184"/>
      <c r="C21" s="159" t="s">
        <v>26</v>
      </c>
      <c r="D21" s="154">
        <v>0</v>
      </c>
      <c r="E21" s="154">
        <v>0</v>
      </c>
      <c r="F21" s="156">
        <v>0</v>
      </c>
      <c r="G21" s="154">
        <f>F21-D21</f>
        <v>0</v>
      </c>
      <c r="H21" s="154">
        <f>F21-E21</f>
        <v>0</v>
      </c>
      <c r="I21" s="156">
        <f>メディカル!AN11</f>
        <v>0</v>
      </c>
      <c r="J21" s="155"/>
      <c r="K21" s="176"/>
      <c r="L21" s="155"/>
      <c r="M21" s="184"/>
      <c r="N21" s="159" t="s">
        <v>26</v>
      </c>
      <c r="O21" s="154">
        <v>0</v>
      </c>
      <c r="P21" s="154">
        <v>0</v>
      </c>
      <c r="Q21" s="156">
        <v>0</v>
      </c>
      <c r="R21" s="154">
        <f>Q21-O21</f>
        <v>0</v>
      </c>
      <c r="S21" s="154">
        <f>Q21-P21</f>
        <v>0</v>
      </c>
      <c r="T21" s="156">
        <f>インサイトセールス!AN11</f>
        <v>1</v>
      </c>
      <c r="U21" s="155"/>
      <c r="V21" s="176"/>
    </row>
    <row r="22" spans="2:22" s="150" customFormat="1" ht="17.45" customHeight="1">
      <c r="B22" s="185"/>
      <c r="C22" s="177" t="s">
        <v>100</v>
      </c>
      <c r="D22" s="178" t="s">
        <v>97</v>
      </c>
      <c r="E22" s="178" t="s">
        <v>97</v>
      </c>
      <c r="F22" s="179" t="s">
        <v>97</v>
      </c>
      <c r="G22" s="178"/>
      <c r="H22" s="178"/>
      <c r="I22" s="179">
        <f>メディカル!AN12</f>
        <v>0</v>
      </c>
      <c r="J22" s="180"/>
      <c r="K22" s="181"/>
      <c r="L22" s="155"/>
      <c r="M22" s="185"/>
      <c r="N22" s="177" t="s">
        <v>100</v>
      </c>
      <c r="O22" s="178" t="s">
        <v>97</v>
      </c>
      <c r="P22" s="178" t="s">
        <v>97</v>
      </c>
      <c r="Q22" s="179" t="s">
        <v>97</v>
      </c>
      <c r="R22" s="178"/>
      <c r="S22" s="178"/>
      <c r="T22" s="186">
        <f>インサイトセールス!AN12</f>
        <v>0</v>
      </c>
      <c r="U22" s="180"/>
      <c r="V22" s="181"/>
    </row>
    <row r="23" spans="2:22" ht="20.100000000000001"/>
  </sheetData>
  <mergeCells count="4">
    <mergeCell ref="M13:M22"/>
    <mergeCell ref="B13:B22"/>
    <mergeCell ref="M2:M11"/>
    <mergeCell ref="B2:B11"/>
  </mergeCells>
  <phoneticPr fontId="1"/>
  <conditionalFormatting sqref="C6:D7">
    <cfRule type="cellIs" dxfId="68" priority="7" operator="equal">
      <formula>#DIV/0!</formula>
    </cfRule>
  </conditionalFormatting>
  <conditionalFormatting sqref="C17:D18">
    <cfRule type="cellIs" dxfId="67" priority="5" operator="equal">
      <formula>#DIV/0!</formula>
    </cfRule>
  </conditionalFormatting>
  <conditionalFormatting sqref="E7:F7">
    <cfRule type="cellIs" dxfId="66" priority="8" operator="equal">
      <formula>#DIV/0!</formula>
    </cfRule>
  </conditionalFormatting>
  <conditionalFormatting sqref="E18:F18">
    <cfRule type="cellIs" dxfId="65" priority="6" operator="equal">
      <formula>#DIV/0!</formula>
    </cfRule>
  </conditionalFormatting>
  <conditionalFormatting sqref="N6:O7">
    <cfRule type="cellIs" dxfId="64" priority="3" operator="equal">
      <formula>#DIV/0!</formula>
    </cfRule>
  </conditionalFormatting>
  <conditionalFormatting sqref="N17:O18">
    <cfRule type="cellIs" dxfId="63" priority="1" operator="equal">
      <formula>#DIV/0!</formula>
    </cfRule>
  </conditionalFormatting>
  <conditionalFormatting sqref="P7:Q7">
    <cfRule type="cellIs" dxfId="62" priority="4" operator="equal">
      <formula>#DIV/0!</formula>
    </cfRule>
  </conditionalFormatting>
  <conditionalFormatting sqref="P18:Q18">
    <cfRule type="cellIs" dxfId="61" priority="2" operator="equal">
      <formula>#DIV/0!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ABD1-8D14-4B24-864F-AC420186CC03}">
  <dimension ref="A1:X35"/>
  <sheetViews>
    <sheetView workbookViewId="0">
      <selection activeCell="M10" sqref="M10"/>
    </sheetView>
  </sheetViews>
  <sheetFormatPr defaultRowHeight="18"/>
  <cols>
    <col min="1" max="4" width="13.625" customWidth="1"/>
    <col min="5" max="5" width="16.75" bestFit="1" customWidth="1"/>
    <col min="6" max="6" width="13.625" customWidth="1"/>
    <col min="7" max="7" width="16.75" bestFit="1" customWidth="1"/>
    <col min="8" max="8" width="13.625" customWidth="1"/>
    <col min="9" max="9" width="16.75" customWidth="1"/>
    <col min="10" max="19" width="13.625" customWidth="1"/>
    <col min="20" max="20" width="11.25" bestFit="1" customWidth="1"/>
    <col min="21" max="21" width="10.125" bestFit="1" customWidth="1"/>
  </cols>
  <sheetData>
    <row r="1" spans="1:24">
      <c r="A1" s="32" t="s">
        <v>103</v>
      </c>
      <c r="B1" t="s">
        <v>104</v>
      </c>
      <c r="D1" t="s">
        <v>105</v>
      </c>
      <c r="F1" t="s">
        <v>100</v>
      </c>
      <c r="H1" t="s">
        <v>106</v>
      </c>
      <c r="J1" t="s">
        <v>54</v>
      </c>
      <c r="L1" t="s">
        <v>55</v>
      </c>
      <c r="N1" t="s">
        <v>107</v>
      </c>
      <c r="T1" s="3" t="s">
        <v>108</v>
      </c>
      <c r="U1" s="3"/>
      <c r="V1" s="3" t="s">
        <v>109</v>
      </c>
      <c r="W1" s="3"/>
      <c r="X1" t="s">
        <v>110</v>
      </c>
    </row>
    <row r="2" spans="1:24">
      <c r="B2" t="s">
        <v>111</v>
      </c>
      <c r="C2" t="s">
        <v>112</v>
      </c>
      <c r="D2" t="s">
        <v>111</v>
      </c>
      <c r="E2" t="s">
        <v>112</v>
      </c>
      <c r="F2" t="s">
        <v>111</v>
      </c>
      <c r="G2" t="s">
        <v>112</v>
      </c>
      <c r="H2" t="s">
        <v>111</v>
      </c>
      <c r="I2" t="s">
        <v>112</v>
      </c>
      <c r="J2" t="s">
        <v>111</v>
      </c>
      <c r="K2" t="s">
        <v>112</v>
      </c>
      <c r="L2" t="s">
        <v>111</v>
      </c>
      <c r="M2" t="s">
        <v>112</v>
      </c>
      <c r="N2" t="s">
        <v>104</v>
      </c>
      <c r="O2" t="s">
        <v>105</v>
      </c>
      <c r="P2" t="s">
        <v>100</v>
      </c>
      <c r="Q2" t="s">
        <v>113</v>
      </c>
      <c r="R2" t="s">
        <v>54</v>
      </c>
      <c r="S2" t="s">
        <v>55</v>
      </c>
      <c r="T2" s="3" t="s">
        <v>114</v>
      </c>
      <c r="U2" s="3" t="s">
        <v>115</v>
      </c>
      <c r="V2" s="3"/>
      <c r="W2" s="3"/>
      <c r="X2" s="38">
        <v>0.05</v>
      </c>
    </row>
    <row r="3" spans="1:24">
      <c r="A3">
        <v>2021</v>
      </c>
      <c r="B3">
        <v>106</v>
      </c>
      <c r="C3">
        <v>14</v>
      </c>
      <c r="D3">
        <v>75</v>
      </c>
      <c r="E3">
        <v>6</v>
      </c>
      <c r="F3" s="25">
        <v>0.70799999999999996</v>
      </c>
      <c r="G3" s="25">
        <v>0.75</v>
      </c>
      <c r="H3" s="24">
        <v>323000000</v>
      </c>
      <c r="I3" s="24">
        <v>204000000</v>
      </c>
      <c r="J3" s="24">
        <f>H3/B3</f>
        <v>3047169.8113207547</v>
      </c>
      <c r="K3" s="24">
        <f>I3/C3</f>
        <v>14571428.571428571</v>
      </c>
      <c r="L3" s="24">
        <f>H3/D3</f>
        <v>4306666.666666667</v>
      </c>
      <c r="M3" s="24">
        <f>I3/E3</f>
        <v>34000000</v>
      </c>
      <c r="N3">
        <f>SUM(B3:C3)</f>
        <v>120</v>
      </c>
      <c r="O3">
        <f>SUM(D3:E3)</f>
        <v>81</v>
      </c>
      <c r="P3" s="25">
        <f>O3/N3</f>
        <v>0.67500000000000004</v>
      </c>
      <c r="Q3" s="24">
        <f>SUM(H3:I3)</f>
        <v>527000000</v>
      </c>
      <c r="R3" s="24">
        <f>Q3/N3</f>
        <v>4391666.666666667</v>
      </c>
      <c r="S3" s="24">
        <f>Q3/O3</f>
        <v>6506172.8395061726</v>
      </c>
      <c r="T3" s="3">
        <f>N3/0.1</f>
        <v>1200</v>
      </c>
      <c r="U3" s="3">
        <f>N3/0.05</f>
        <v>2400</v>
      </c>
      <c r="V3" s="3">
        <f>ROUNDUP(T3/12,0)</f>
        <v>100</v>
      </c>
      <c r="W3" s="3">
        <f>ROUNDUP(U3/12,0)</f>
        <v>200</v>
      </c>
    </row>
    <row r="4" spans="1:24">
      <c r="A4">
        <v>2022</v>
      </c>
      <c r="B4">
        <v>111</v>
      </c>
      <c r="C4">
        <v>18</v>
      </c>
      <c r="D4">
        <v>81</v>
      </c>
      <c r="E4">
        <v>11</v>
      </c>
      <c r="F4" s="25">
        <v>0.73</v>
      </c>
      <c r="G4" s="25">
        <v>0.84599999999999997</v>
      </c>
      <c r="H4" s="24">
        <v>262000000</v>
      </c>
      <c r="I4" s="24">
        <v>296000000</v>
      </c>
      <c r="J4" s="24">
        <f t="shared" ref="J4:J6" si="0">H4/B4</f>
        <v>2360360.3603603602</v>
      </c>
      <c r="K4" s="24">
        <f t="shared" ref="K4:K6" si="1">I4/C4</f>
        <v>16444444.444444444</v>
      </c>
      <c r="L4" s="24">
        <f t="shared" ref="L4:L6" si="2">H4/D4</f>
        <v>3234567.9012345681</v>
      </c>
      <c r="M4" s="24">
        <f t="shared" ref="M4:M6" si="3">I4/E4</f>
        <v>26909090.90909091</v>
      </c>
      <c r="N4">
        <f t="shared" ref="N4" si="4">SUM(B4:C4)</f>
        <v>129</v>
      </c>
      <c r="O4">
        <f t="shared" ref="O4" si="5">SUM(D4:E4)</f>
        <v>92</v>
      </c>
      <c r="P4" s="25">
        <f t="shared" ref="P4:P6" si="6">O4/N4</f>
        <v>0.71317829457364346</v>
      </c>
      <c r="Q4" s="24">
        <f t="shared" ref="Q4:Q6" si="7">SUM(H4:I4)</f>
        <v>558000000</v>
      </c>
      <c r="R4" s="24">
        <f t="shared" ref="R4:R6" si="8">Q4/N4</f>
        <v>4325581.3953488376</v>
      </c>
      <c r="S4" s="24">
        <f t="shared" ref="S4:S6" si="9">Q4/O4</f>
        <v>6065217.3913043477</v>
      </c>
      <c r="T4" s="3">
        <f t="shared" ref="T4:T6" si="10">N4/0.1</f>
        <v>1290</v>
      </c>
      <c r="U4" s="3">
        <f t="shared" ref="U4:U6" si="11">N4/0.05</f>
        <v>2580</v>
      </c>
      <c r="V4" s="3">
        <f t="shared" ref="V4:V6" si="12">ROUNDUP(T4/12,0)</f>
        <v>108</v>
      </c>
      <c r="W4" s="3">
        <f t="shared" ref="W4:W6" si="13">ROUNDUP(U4/12,0)</f>
        <v>215</v>
      </c>
    </row>
    <row r="5" spans="1:24">
      <c r="A5">
        <v>2023</v>
      </c>
      <c r="B5">
        <v>114</v>
      </c>
      <c r="C5">
        <v>15</v>
      </c>
      <c r="D5">
        <v>76</v>
      </c>
      <c r="E5">
        <v>4</v>
      </c>
      <c r="F5" s="25">
        <v>0.66700000000000004</v>
      </c>
      <c r="G5" s="25">
        <v>0.8</v>
      </c>
      <c r="H5" s="24">
        <v>363000000</v>
      </c>
      <c r="I5" s="24">
        <v>143000000</v>
      </c>
      <c r="J5" s="24">
        <f t="shared" si="0"/>
        <v>3184210.5263157897</v>
      </c>
      <c r="K5" s="24">
        <f t="shared" si="1"/>
        <v>9533333.333333334</v>
      </c>
      <c r="L5" s="24">
        <f t="shared" si="2"/>
        <v>4776315.7894736845</v>
      </c>
      <c r="M5" s="24">
        <f t="shared" si="3"/>
        <v>35750000</v>
      </c>
      <c r="N5">
        <f t="shared" ref="N5:N6" si="14">SUM(B5:C5)</f>
        <v>129</v>
      </c>
      <c r="O5">
        <f t="shared" ref="O5:O6" si="15">SUM(D5:E5)</f>
        <v>80</v>
      </c>
      <c r="P5" s="25">
        <f t="shared" si="6"/>
        <v>0.62015503875968991</v>
      </c>
      <c r="Q5" s="24">
        <v>671000000</v>
      </c>
      <c r="R5" s="24">
        <f t="shared" si="8"/>
        <v>5201550.3875968996</v>
      </c>
      <c r="S5" s="24">
        <f t="shared" si="9"/>
        <v>8387500</v>
      </c>
      <c r="T5" s="3">
        <f t="shared" si="10"/>
        <v>1290</v>
      </c>
      <c r="U5" s="3">
        <f t="shared" si="11"/>
        <v>2580</v>
      </c>
      <c r="V5" s="3">
        <f t="shared" si="12"/>
        <v>108</v>
      </c>
      <c r="W5" s="3">
        <f t="shared" si="13"/>
        <v>215</v>
      </c>
    </row>
    <row r="6" spans="1:24">
      <c r="A6">
        <v>2024</v>
      </c>
      <c r="B6">
        <v>117</v>
      </c>
      <c r="C6">
        <v>9</v>
      </c>
      <c r="D6">
        <v>79</v>
      </c>
      <c r="E6">
        <v>2</v>
      </c>
      <c r="F6" s="25">
        <v>0.68100000000000005</v>
      </c>
      <c r="G6" s="25">
        <v>0.5</v>
      </c>
      <c r="H6" s="24">
        <v>402000000</v>
      </c>
      <c r="I6" s="24">
        <v>100000000</v>
      </c>
      <c r="J6" s="24">
        <f t="shared" si="0"/>
        <v>3435897.435897436</v>
      </c>
      <c r="K6" s="24">
        <f t="shared" si="1"/>
        <v>11111111.111111112</v>
      </c>
      <c r="L6" s="24">
        <f t="shared" si="2"/>
        <v>5088607.5949367089</v>
      </c>
      <c r="M6" s="24">
        <f t="shared" si="3"/>
        <v>50000000</v>
      </c>
      <c r="N6">
        <f t="shared" si="14"/>
        <v>126</v>
      </c>
      <c r="O6">
        <f t="shared" si="15"/>
        <v>81</v>
      </c>
      <c r="P6" s="25">
        <f t="shared" si="6"/>
        <v>0.6428571428571429</v>
      </c>
      <c r="Q6" s="24">
        <f t="shared" si="7"/>
        <v>502000000</v>
      </c>
      <c r="R6" s="24">
        <f t="shared" si="8"/>
        <v>3984126.9841269841</v>
      </c>
      <c r="S6" s="24">
        <f t="shared" si="9"/>
        <v>6197530.8641975308</v>
      </c>
      <c r="T6" s="3">
        <f t="shared" si="10"/>
        <v>1260</v>
      </c>
      <c r="U6" s="3">
        <f t="shared" si="11"/>
        <v>2520</v>
      </c>
      <c r="V6" s="3">
        <f t="shared" si="12"/>
        <v>105</v>
      </c>
      <c r="W6" s="3">
        <f t="shared" si="13"/>
        <v>210</v>
      </c>
    </row>
    <row r="7" spans="1:24" s="10" customFormat="1">
      <c r="A7" s="26" t="s">
        <v>116</v>
      </c>
      <c r="B7" s="10">
        <f>AVERAGE(B3:B6)</f>
        <v>112</v>
      </c>
      <c r="C7" s="10">
        <f t="shared" ref="C7:W7" si="16">AVERAGE(C3:C6)</f>
        <v>14</v>
      </c>
      <c r="D7" s="10">
        <f t="shared" si="16"/>
        <v>77.75</v>
      </c>
      <c r="E7" s="10">
        <f t="shared" si="16"/>
        <v>5.75</v>
      </c>
      <c r="F7" s="27">
        <f t="shared" si="16"/>
        <v>0.69650000000000001</v>
      </c>
      <c r="G7" s="27">
        <f t="shared" si="16"/>
        <v>0.72399999999999998</v>
      </c>
      <c r="H7" s="28">
        <f t="shared" si="16"/>
        <v>337500000</v>
      </c>
      <c r="I7" s="28">
        <f t="shared" si="16"/>
        <v>185750000</v>
      </c>
      <c r="J7" s="28">
        <f t="shared" si="16"/>
        <v>3006909.5334735853</v>
      </c>
      <c r="K7" s="28">
        <f t="shared" si="16"/>
        <v>12915079.365079366</v>
      </c>
      <c r="L7" s="28">
        <f t="shared" si="16"/>
        <v>4351539.4880779069</v>
      </c>
      <c r="M7" s="28">
        <f t="shared" si="16"/>
        <v>36664772.727272727</v>
      </c>
      <c r="N7" s="10">
        <f t="shared" si="16"/>
        <v>126</v>
      </c>
      <c r="O7" s="10">
        <f t="shared" si="16"/>
        <v>83.5</v>
      </c>
      <c r="P7" s="27">
        <f t="shared" si="16"/>
        <v>0.66279761904761914</v>
      </c>
      <c r="Q7" s="28">
        <f t="shared" si="16"/>
        <v>564500000</v>
      </c>
      <c r="R7" s="28">
        <f t="shared" si="16"/>
        <v>4475731.3584348466</v>
      </c>
      <c r="S7" s="28">
        <f t="shared" si="16"/>
        <v>6789105.2737520123</v>
      </c>
      <c r="T7" s="10">
        <f t="shared" si="16"/>
        <v>1260</v>
      </c>
      <c r="U7" s="10">
        <f t="shared" si="16"/>
        <v>2520</v>
      </c>
      <c r="V7" s="10">
        <f t="shared" si="16"/>
        <v>105.25</v>
      </c>
      <c r="W7" s="10">
        <f t="shared" si="16"/>
        <v>210</v>
      </c>
    </row>
    <row r="8" spans="1:24">
      <c r="A8" s="29" t="s">
        <v>117</v>
      </c>
      <c r="B8" s="3">
        <f>ROUNDUP(B6*1.1,0)</f>
        <v>129</v>
      </c>
      <c r="C8" s="3">
        <f t="shared" ref="C8:M8" si="17">ROUNDUP(C6*1.1,0)</f>
        <v>10</v>
      </c>
      <c r="D8" s="3">
        <f t="shared" si="17"/>
        <v>87</v>
      </c>
      <c r="E8" s="3">
        <f t="shared" si="17"/>
        <v>3</v>
      </c>
      <c r="F8" s="30">
        <f>D8/B8</f>
        <v>0.67441860465116277</v>
      </c>
      <c r="G8" s="30">
        <f>E8/C8</f>
        <v>0.3</v>
      </c>
      <c r="H8" s="31">
        <f>ROUNDUP(H6*1.1,0)</f>
        <v>442200000</v>
      </c>
      <c r="I8" s="31">
        <f t="shared" si="17"/>
        <v>110000000</v>
      </c>
      <c r="J8" s="31">
        <f t="shared" si="17"/>
        <v>3779488</v>
      </c>
      <c r="K8" s="31">
        <f t="shared" si="17"/>
        <v>12222223</v>
      </c>
      <c r="L8" s="31">
        <f t="shared" si="17"/>
        <v>5597469</v>
      </c>
      <c r="M8" s="31">
        <f t="shared" si="17"/>
        <v>55000000</v>
      </c>
      <c r="N8" s="3">
        <f>ROUNDUP(O8/P7,0)</f>
        <v>124</v>
      </c>
      <c r="O8" s="3">
        <f>ROUNDUP(Q8/S7,0)</f>
        <v>82</v>
      </c>
      <c r="P8" s="30">
        <f>O8/N8</f>
        <v>0.66129032258064513</v>
      </c>
      <c r="Q8" s="31">
        <f>ROUNDUP(Q6*1.1,0)</f>
        <v>552200000</v>
      </c>
      <c r="R8" s="31">
        <f t="shared" ref="R8" si="18">Q8/N8</f>
        <v>4453225.8064516131</v>
      </c>
      <c r="S8" s="31">
        <f t="shared" ref="S8" si="19">Q8/O8</f>
        <v>6734146.341463415</v>
      </c>
      <c r="T8" s="3">
        <f>N8/0.1</f>
        <v>1240</v>
      </c>
      <c r="U8" s="3">
        <f>N8/0.05</f>
        <v>2480</v>
      </c>
      <c r="V8" s="3">
        <f>ROUNDUP(T8/12,0)</f>
        <v>104</v>
      </c>
      <c r="W8" s="34">
        <f>ROUNDUP(U8/12,0)</f>
        <v>207</v>
      </c>
      <c r="X8">
        <f>ROUNDUP(W8*0.1,0)</f>
        <v>21</v>
      </c>
    </row>
    <row r="9" spans="1:24">
      <c r="A9" t="s">
        <v>118</v>
      </c>
      <c r="N9">
        <f>ROUNDUP(N8*0.1,0)</f>
        <v>13</v>
      </c>
      <c r="U9">
        <f>U8*0.1</f>
        <v>248</v>
      </c>
    </row>
    <row r="10" spans="1:24">
      <c r="A10" t="s">
        <v>119</v>
      </c>
      <c r="P10" s="40"/>
    </row>
    <row r="11" spans="1:24">
      <c r="A11" t="s">
        <v>120</v>
      </c>
    </row>
    <row r="13" spans="1:24">
      <c r="A13" s="32" t="s">
        <v>121</v>
      </c>
      <c r="B13" t="s">
        <v>104</v>
      </c>
      <c r="D13" t="s">
        <v>105</v>
      </c>
      <c r="F13" t="s">
        <v>100</v>
      </c>
      <c r="H13" t="s">
        <v>106</v>
      </c>
      <c r="J13" t="s">
        <v>54</v>
      </c>
      <c r="L13" t="s">
        <v>55</v>
      </c>
      <c r="N13" t="s">
        <v>107</v>
      </c>
      <c r="T13" s="3" t="s">
        <v>108</v>
      </c>
      <c r="U13" s="3"/>
      <c r="V13" s="3" t="s">
        <v>109</v>
      </c>
      <c r="W13" s="3"/>
    </row>
    <row r="14" spans="1:24">
      <c r="B14" t="s">
        <v>111</v>
      </c>
      <c r="C14" t="s">
        <v>122</v>
      </c>
      <c r="D14" t="s">
        <v>111</v>
      </c>
      <c r="E14" t="s">
        <v>122</v>
      </c>
      <c r="F14" t="s">
        <v>111</v>
      </c>
      <c r="G14" t="s">
        <v>122</v>
      </c>
      <c r="H14" t="s">
        <v>111</v>
      </c>
      <c r="I14" t="s">
        <v>122</v>
      </c>
      <c r="J14" t="s">
        <v>111</v>
      </c>
      <c r="K14" t="s">
        <v>122</v>
      </c>
      <c r="L14" t="s">
        <v>111</v>
      </c>
      <c r="M14" t="s">
        <v>122</v>
      </c>
      <c r="N14" t="s">
        <v>104</v>
      </c>
      <c r="O14" t="s">
        <v>105</v>
      </c>
      <c r="P14" t="s">
        <v>100</v>
      </c>
      <c r="Q14" t="s">
        <v>113</v>
      </c>
      <c r="R14" t="s">
        <v>54</v>
      </c>
      <c r="S14" t="s">
        <v>55</v>
      </c>
      <c r="T14" s="3" t="s">
        <v>114</v>
      </c>
      <c r="U14" s="3" t="s">
        <v>115</v>
      </c>
      <c r="V14" s="3"/>
      <c r="W14" s="3"/>
      <c r="X14" s="38">
        <v>0.05</v>
      </c>
    </row>
    <row r="15" spans="1:24">
      <c r="A15">
        <v>2023</v>
      </c>
      <c r="B15">
        <v>281</v>
      </c>
      <c r="C15">
        <v>86</v>
      </c>
      <c r="D15">
        <v>176</v>
      </c>
      <c r="E15">
        <v>41</v>
      </c>
      <c r="F15" s="25">
        <v>0.73299999999999998</v>
      </c>
      <c r="G15" s="25">
        <v>0.621</v>
      </c>
      <c r="H15" s="24">
        <v>7878888888</v>
      </c>
      <c r="I15" s="24">
        <v>1969000000</v>
      </c>
      <c r="J15" s="24">
        <f>H15/B15</f>
        <v>28038750.491103202</v>
      </c>
      <c r="K15" s="24">
        <f>I15/C15</f>
        <v>22895348.837209303</v>
      </c>
      <c r="L15">
        <f>H15/D15</f>
        <v>44766414.136363633</v>
      </c>
      <c r="M15">
        <f>I15/E15</f>
        <v>48024390.243902437</v>
      </c>
      <c r="N15">
        <f>SUM(B15:C15)</f>
        <v>367</v>
      </c>
      <c r="O15">
        <f>SUM(D15:E15)</f>
        <v>217</v>
      </c>
      <c r="P15" s="25">
        <f>O15/N15</f>
        <v>0.59128065395095364</v>
      </c>
      <c r="Q15" s="24">
        <f>SUM(H15:I15)</f>
        <v>9847888888</v>
      </c>
      <c r="R15" s="24">
        <f>Q15/N15</f>
        <v>26833484.708446868</v>
      </c>
      <c r="S15" s="24">
        <f>Q15/O15</f>
        <v>45381976.442396313</v>
      </c>
      <c r="T15" s="3">
        <f>N15/0.1</f>
        <v>3670</v>
      </c>
      <c r="U15" s="3">
        <f>N15/0.05</f>
        <v>7340</v>
      </c>
      <c r="V15" s="3">
        <f>ROUNDUP(T15/12,0)</f>
        <v>306</v>
      </c>
      <c r="W15" s="3">
        <f>ROUNDUP(U15/12,0)</f>
        <v>612</v>
      </c>
    </row>
    <row r="16" spans="1:24">
      <c r="A16">
        <v>2024</v>
      </c>
      <c r="B16">
        <v>257</v>
      </c>
      <c r="C16">
        <v>58</v>
      </c>
      <c r="D16">
        <v>162</v>
      </c>
      <c r="E16">
        <v>24</v>
      </c>
      <c r="F16" s="25">
        <v>0.77100000000000002</v>
      </c>
      <c r="G16" s="25">
        <v>0.55800000000000005</v>
      </c>
      <c r="H16" s="24">
        <v>7764000000</v>
      </c>
      <c r="I16" s="24">
        <v>1555100000</v>
      </c>
      <c r="J16" s="24">
        <f t="shared" ref="J16" si="20">H16/B16</f>
        <v>30210116.731517509</v>
      </c>
      <c r="K16" s="24">
        <f t="shared" ref="K16" si="21">I16/C16</f>
        <v>26812068.965517242</v>
      </c>
      <c r="L16">
        <f t="shared" ref="L16" si="22">H16/D16</f>
        <v>47925925.925925925</v>
      </c>
      <c r="M16">
        <f t="shared" ref="M16" si="23">I16/E16</f>
        <v>64795833.333333336</v>
      </c>
      <c r="N16">
        <f>SUM(B16:C16)</f>
        <v>315</v>
      </c>
      <c r="O16">
        <f>SUM(D16:E16)</f>
        <v>186</v>
      </c>
      <c r="P16" s="25">
        <f t="shared" ref="P16" si="24">O16/N16</f>
        <v>0.59047619047619049</v>
      </c>
      <c r="Q16" s="24">
        <f t="shared" ref="Q16" si="25">SUM(H16:I16)</f>
        <v>9319100000</v>
      </c>
      <c r="R16" s="24">
        <f t="shared" ref="R16" si="26">Q16/N16</f>
        <v>29584444.444444444</v>
      </c>
      <c r="S16" s="24">
        <f t="shared" ref="S16" si="27">Q16/O16</f>
        <v>50102688.172043011</v>
      </c>
      <c r="T16" s="3">
        <f t="shared" ref="T16" si="28">N16/0.1</f>
        <v>3150</v>
      </c>
      <c r="U16" s="3">
        <f t="shared" ref="U16" si="29">N16/0.05</f>
        <v>6300</v>
      </c>
      <c r="V16" s="3">
        <f t="shared" ref="V16" si="30">ROUNDUP(T16/12,0)</f>
        <v>263</v>
      </c>
      <c r="W16" s="3">
        <f t="shared" ref="W16" si="31">ROUNDUP(U16/12,0)</f>
        <v>525</v>
      </c>
    </row>
    <row r="17" spans="1:24">
      <c r="A17" s="26" t="s">
        <v>116</v>
      </c>
      <c r="B17" s="10">
        <f>AVERAGE(B15:B16)</f>
        <v>269</v>
      </c>
      <c r="C17" s="10">
        <f t="shared" ref="C17:W17" si="32">AVERAGE(C15:C16)</f>
        <v>72</v>
      </c>
      <c r="D17" s="10">
        <f t="shared" si="32"/>
        <v>169</v>
      </c>
      <c r="E17" s="10">
        <f t="shared" si="32"/>
        <v>32.5</v>
      </c>
      <c r="F17" s="27">
        <f t="shared" si="32"/>
        <v>0.752</v>
      </c>
      <c r="G17" s="27">
        <f t="shared" si="32"/>
        <v>0.58950000000000002</v>
      </c>
      <c r="H17" s="28">
        <f t="shared" si="32"/>
        <v>7821444444</v>
      </c>
      <c r="I17" s="28">
        <f t="shared" si="32"/>
        <v>1762050000</v>
      </c>
      <c r="J17" s="28">
        <f t="shared" si="32"/>
        <v>29124433.611310355</v>
      </c>
      <c r="K17" s="28">
        <f t="shared" si="32"/>
        <v>24853708.901363272</v>
      </c>
      <c r="L17" s="28">
        <f t="shared" si="32"/>
        <v>46346170.031144783</v>
      </c>
      <c r="M17" s="28">
        <f t="shared" si="32"/>
        <v>56410111.788617887</v>
      </c>
      <c r="N17" s="10">
        <f t="shared" si="32"/>
        <v>341</v>
      </c>
      <c r="O17" s="10">
        <f t="shared" si="32"/>
        <v>201.5</v>
      </c>
      <c r="P17" s="27">
        <f t="shared" si="32"/>
        <v>0.59087842221357212</v>
      </c>
      <c r="Q17" s="28">
        <f t="shared" si="32"/>
        <v>9583494444</v>
      </c>
      <c r="R17" s="28">
        <f t="shared" si="32"/>
        <v>28208964.576445654</v>
      </c>
      <c r="S17" s="28">
        <f t="shared" si="32"/>
        <v>47742332.307219662</v>
      </c>
      <c r="T17" s="10">
        <f t="shared" si="32"/>
        <v>3410</v>
      </c>
      <c r="U17" s="10">
        <f t="shared" si="32"/>
        <v>6820</v>
      </c>
      <c r="V17" s="10">
        <f t="shared" si="32"/>
        <v>284.5</v>
      </c>
      <c r="W17" s="10">
        <f t="shared" si="32"/>
        <v>568.5</v>
      </c>
    </row>
    <row r="18" spans="1:24">
      <c r="A18" s="29" t="s">
        <v>117</v>
      </c>
      <c r="B18" s="3">
        <f>ROUNDUP(B16*1.1,0)</f>
        <v>283</v>
      </c>
      <c r="C18" s="3">
        <f>ROUNDUP(C16*1.1,0)</f>
        <v>64</v>
      </c>
      <c r="D18" s="3">
        <f>ROUNDUP(D16*1.1,0)</f>
        <v>179</v>
      </c>
      <c r="E18" s="3">
        <f>ROUNDUP(E16*1.1,0)</f>
        <v>27</v>
      </c>
      <c r="F18" s="30">
        <f>D18/B18</f>
        <v>0.63250883392226154</v>
      </c>
      <c r="G18" s="30">
        <f>E18/C18</f>
        <v>0.421875</v>
      </c>
      <c r="H18" s="31">
        <f t="shared" ref="H18:M18" si="33">ROUNDUP(H16*1.1,0)</f>
        <v>8540400000</v>
      </c>
      <c r="I18" s="31">
        <f t="shared" si="33"/>
        <v>1710610000</v>
      </c>
      <c r="J18" s="31">
        <f t="shared" si="33"/>
        <v>33231129</v>
      </c>
      <c r="K18" s="31">
        <f t="shared" si="33"/>
        <v>29493276</v>
      </c>
      <c r="L18" s="31">
        <f t="shared" si="33"/>
        <v>52718519</v>
      </c>
      <c r="M18" s="31">
        <f t="shared" si="33"/>
        <v>71275417</v>
      </c>
      <c r="N18" s="3">
        <f>ROUNDUP(O18/P17,0)</f>
        <v>364</v>
      </c>
      <c r="O18" s="3">
        <f>ROUNDUP(Q18/S17,0)</f>
        <v>215</v>
      </c>
      <c r="P18" s="30">
        <f t="shared" ref="P18" si="34">O18/N18</f>
        <v>0.59065934065934067</v>
      </c>
      <c r="Q18" s="31">
        <f>ROUNDUP(Q16*1.1,0)</f>
        <v>10251010000</v>
      </c>
      <c r="R18" s="31">
        <f t="shared" ref="R18" si="35">Q18/N18</f>
        <v>28162115.384615384</v>
      </c>
      <c r="S18" s="31">
        <f t="shared" ref="S18" si="36">Q18/O18</f>
        <v>47679116.279069766</v>
      </c>
      <c r="T18" s="3">
        <f>ROUNDUP(T16*1.1,0)</f>
        <v>3465</v>
      </c>
      <c r="U18" s="3">
        <f>ROUNDUP(U16*1.1,0)</f>
        <v>6930</v>
      </c>
      <c r="V18" s="3">
        <f>ROUNDUP(V16*1.1,0)</f>
        <v>290</v>
      </c>
      <c r="W18" s="34">
        <f>ROUNDUP(W16*1.1,0)</f>
        <v>578</v>
      </c>
      <c r="X18">
        <f>ROUNDUP(W18*0.1,0)</f>
        <v>58</v>
      </c>
    </row>
    <row r="19" spans="1:24">
      <c r="N19">
        <f>ROUNDUP(N18*0.1,0)</f>
        <v>37</v>
      </c>
      <c r="U19">
        <f>U18*0.1</f>
        <v>693</v>
      </c>
    </row>
    <row r="20" spans="1:24">
      <c r="A20" s="32" t="s">
        <v>123</v>
      </c>
      <c r="B20" t="s">
        <v>104</v>
      </c>
      <c r="C20" t="s">
        <v>105</v>
      </c>
      <c r="D20" t="s">
        <v>100</v>
      </c>
      <c r="E20" t="s">
        <v>113</v>
      </c>
      <c r="H20" t="s">
        <v>54</v>
      </c>
      <c r="I20" t="s">
        <v>55</v>
      </c>
      <c r="J20" s="3" t="s">
        <v>108</v>
      </c>
      <c r="K20" s="3"/>
      <c r="L20" s="3" t="s">
        <v>109</v>
      </c>
      <c r="M20" s="3"/>
      <c r="N20" t="s">
        <v>110</v>
      </c>
    </row>
    <row r="21" spans="1:24">
      <c r="A21" s="33"/>
      <c r="B21" t="s">
        <v>107</v>
      </c>
      <c r="C21" t="s">
        <v>107</v>
      </c>
      <c r="D21" t="s">
        <v>124</v>
      </c>
      <c r="E21" t="s">
        <v>125</v>
      </c>
      <c r="F21" t="s">
        <v>122</v>
      </c>
      <c r="G21" t="s">
        <v>107</v>
      </c>
      <c r="J21" s="3" t="s">
        <v>114</v>
      </c>
      <c r="K21" s="3" t="s">
        <v>115</v>
      </c>
      <c r="L21" s="3"/>
      <c r="M21" s="3"/>
      <c r="N21" s="38">
        <v>0.05</v>
      </c>
    </row>
    <row r="22" spans="1:24">
      <c r="A22">
        <v>2022</v>
      </c>
      <c r="D22" s="43" t="e">
        <f>C22/B22</f>
        <v>#DIV/0!</v>
      </c>
      <c r="E22" s="24">
        <v>4502000000</v>
      </c>
      <c r="F22" s="24">
        <v>1932000000</v>
      </c>
      <c r="G22" s="24">
        <f>SUM(E22:F22)</f>
        <v>6434000000</v>
      </c>
      <c r="H22" s="24" t="e">
        <f>G22/B22</f>
        <v>#DIV/0!</v>
      </c>
      <c r="I22" s="24" t="e">
        <f>G22/C22</f>
        <v>#DIV/0!</v>
      </c>
      <c r="J22" s="3">
        <f>B22/0.1</f>
        <v>0</v>
      </c>
      <c r="K22" s="3">
        <f>B22/0.05</f>
        <v>0</v>
      </c>
      <c r="L22" s="3">
        <f>J22/12</f>
        <v>0</v>
      </c>
      <c r="M22" s="3">
        <f>K22/12</f>
        <v>0</v>
      </c>
    </row>
    <row r="23" spans="1:24">
      <c r="A23">
        <v>2023</v>
      </c>
      <c r="B23">
        <v>105</v>
      </c>
      <c r="C23">
        <v>24</v>
      </c>
      <c r="D23" s="43">
        <f>C23/B23</f>
        <v>0.22857142857142856</v>
      </c>
      <c r="E23" s="24">
        <v>5120000000</v>
      </c>
      <c r="F23" s="24">
        <v>2613000000</v>
      </c>
      <c r="G23" s="24">
        <f t="shared" ref="G23:G24" si="37">SUM(E23:F23)</f>
        <v>7733000000</v>
      </c>
      <c r="H23" s="24">
        <f>G23/B23</f>
        <v>73647619.047619045</v>
      </c>
      <c r="I23" s="24">
        <f>G23/C23</f>
        <v>322208333.33333331</v>
      </c>
      <c r="J23" s="3">
        <f>B23/0.1</f>
        <v>1050</v>
      </c>
      <c r="K23" s="3">
        <f>B23/0.05</f>
        <v>2100</v>
      </c>
      <c r="L23" s="3">
        <f t="shared" ref="L23" si="38">J23/12</f>
        <v>87.5</v>
      </c>
      <c r="M23" s="3">
        <f>K23/12</f>
        <v>175</v>
      </c>
    </row>
    <row r="24" spans="1:24">
      <c r="A24">
        <v>2024</v>
      </c>
      <c r="B24">
        <v>132</v>
      </c>
      <c r="C24">
        <v>26</v>
      </c>
      <c r="D24" s="43">
        <f>C24/B24</f>
        <v>0.19696969696969696</v>
      </c>
      <c r="E24" s="24">
        <v>7341000000</v>
      </c>
      <c r="F24" s="24">
        <v>3026000000</v>
      </c>
      <c r="G24" s="24">
        <f t="shared" si="37"/>
        <v>10367000000</v>
      </c>
      <c r="H24" s="24">
        <f>G24/B24</f>
        <v>78537878.787878782</v>
      </c>
      <c r="I24" s="24">
        <f>G24/C24</f>
        <v>398730769.23076922</v>
      </c>
      <c r="J24" s="3">
        <f>B24/0.1</f>
        <v>1320</v>
      </c>
      <c r="K24" s="3">
        <f>B24/0.05</f>
        <v>2640</v>
      </c>
      <c r="L24" s="3">
        <f>J24/12</f>
        <v>110</v>
      </c>
      <c r="M24" s="3">
        <f>K24/12</f>
        <v>220</v>
      </c>
    </row>
    <row r="25" spans="1:24">
      <c r="A25" s="26" t="s">
        <v>116</v>
      </c>
      <c r="B25" s="10">
        <f>AVERAGE(B23:B24)</f>
        <v>118.5</v>
      </c>
      <c r="C25" s="10">
        <f t="shared" ref="C25:M25" si="39">AVERAGE(C23:C24)</f>
        <v>25</v>
      </c>
      <c r="D25" s="47">
        <f t="shared" si="39"/>
        <v>0.21277056277056278</v>
      </c>
      <c r="E25" s="28">
        <f t="shared" si="39"/>
        <v>6230500000</v>
      </c>
      <c r="F25" s="28">
        <f t="shared" si="39"/>
        <v>2819500000</v>
      </c>
      <c r="G25" s="28">
        <f t="shared" si="39"/>
        <v>9050000000</v>
      </c>
      <c r="H25" s="28">
        <f t="shared" si="39"/>
        <v>76092748.917748913</v>
      </c>
      <c r="I25" s="28">
        <f t="shared" si="39"/>
        <v>360469551.28205127</v>
      </c>
      <c r="J25" s="10">
        <f t="shared" si="39"/>
        <v>1185</v>
      </c>
      <c r="K25" s="10">
        <f t="shared" si="39"/>
        <v>2370</v>
      </c>
      <c r="L25" s="44">
        <f t="shared" si="39"/>
        <v>98.75</v>
      </c>
      <c r="M25" s="44">
        <f t="shared" si="39"/>
        <v>197.5</v>
      </c>
    </row>
    <row r="26" spans="1:24">
      <c r="A26" s="29" t="s">
        <v>117</v>
      </c>
      <c r="B26" s="3">
        <f>B24*1.1</f>
        <v>145.20000000000002</v>
      </c>
      <c r="C26" s="3">
        <f>C24*1.1</f>
        <v>28.6</v>
      </c>
      <c r="D26" s="46">
        <f>C26/B26</f>
        <v>0.19696969696969696</v>
      </c>
      <c r="E26" s="52">
        <f>E24*1.1</f>
        <v>8075100000.000001</v>
      </c>
      <c r="F26" s="52">
        <f>F24*1.1</f>
        <v>3328600000.0000005</v>
      </c>
      <c r="G26" s="52">
        <f>G24*1.1</f>
        <v>11403700000</v>
      </c>
      <c r="H26" s="52">
        <f>G26/B26</f>
        <v>78537878.787878782</v>
      </c>
      <c r="I26" s="52">
        <f>G26/C26</f>
        <v>398730769.23076922</v>
      </c>
      <c r="J26" s="3">
        <f>B26/0.1</f>
        <v>1452</v>
      </c>
      <c r="K26" s="3">
        <f>B26/0.05</f>
        <v>2904</v>
      </c>
      <c r="L26" s="3">
        <f>J26/12</f>
        <v>121</v>
      </c>
      <c r="M26" s="34">
        <f>K26/12</f>
        <v>242</v>
      </c>
      <c r="N26">
        <f>M26*0.1</f>
        <v>24.200000000000003</v>
      </c>
    </row>
    <row r="27" spans="1:24">
      <c r="B27">
        <f>B26*0.1</f>
        <v>14.520000000000003</v>
      </c>
      <c r="K27">
        <f>K26*0.1</f>
        <v>290.40000000000003</v>
      </c>
    </row>
    <row r="28" spans="1:24">
      <c r="A28" s="32" t="s">
        <v>126</v>
      </c>
      <c r="B28" t="s">
        <v>104</v>
      </c>
      <c r="C28" t="s">
        <v>105</v>
      </c>
      <c r="D28" t="s">
        <v>100</v>
      </c>
      <c r="E28" t="s">
        <v>113</v>
      </c>
      <c r="H28" t="s">
        <v>54</v>
      </c>
      <c r="I28" t="s">
        <v>55</v>
      </c>
      <c r="J28" s="3" t="s">
        <v>108</v>
      </c>
      <c r="K28" s="3"/>
      <c r="L28" s="3" t="s">
        <v>109</v>
      </c>
      <c r="M28" s="3"/>
      <c r="N28" t="s">
        <v>110</v>
      </c>
    </row>
    <row r="29" spans="1:24">
      <c r="A29" s="33"/>
      <c r="B29" t="s">
        <v>107</v>
      </c>
      <c r="C29" t="s">
        <v>107</v>
      </c>
      <c r="D29" t="s">
        <v>124</v>
      </c>
      <c r="E29" t="s">
        <v>125</v>
      </c>
      <c r="F29" t="s">
        <v>122</v>
      </c>
      <c r="G29" t="s">
        <v>107</v>
      </c>
      <c r="J29" s="3" t="s">
        <v>114</v>
      </c>
      <c r="K29" s="3" t="s">
        <v>115</v>
      </c>
      <c r="L29" s="3"/>
      <c r="M29" s="3"/>
      <c r="N29" s="38">
        <v>0.05</v>
      </c>
    </row>
    <row r="30" spans="1:24">
      <c r="A30">
        <v>2022</v>
      </c>
      <c r="D30" s="43" t="e">
        <f t="shared" ref="D30:D32" si="40">C30/B30</f>
        <v>#DIV/0!</v>
      </c>
      <c r="E30" s="24">
        <v>1124000000</v>
      </c>
      <c r="F30" s="24">
        <v>45000000</v>
      </c>
      <c r="G30" s="24">
        <f t="shared" ref="G30:G32" si="41">SUM(E30:F30)</f>
        <v>1169000000</v>
      </c>
      <c r="H30" s="24" t="e">
        <f>G30/B30</f>
        <v>#DIV/0!</v>
      </c>
      <c r="I30" s="24" t="e">
        <f>G30/C30</f>
        <v>#DIV/0!</v>
      </c>
      <c r="J30" s="3">
        <f>B30/0.1</f>
        <v>0</v>
      </c>
      <c r="K30" s="3">
        <f>B30/0.05</f>
        <v>0</v>
      </c>
      <c r="L30" s="3">
        <f>J30/12</f>
        <v>0</v>
      </c>
      <c r="M30" s="3">
        <f>K30/12</f>
        <v>0</v>
      </c>
    </row>
    <row r="31" spans="1:24">
      <c r="A31">
        <v>2023</v>
      </c>
      <c r="B31">
        <v>26</v>
      </c>
      <c r="C31">
        <v>7</v>
      </c>
      <c r="D31" s="43">
        <f t="shared" si="40"/>
        <v>0.26923076923076922</v>
      </c>
      <c r="E31" s="24">
        <v>1106000000</v>
      </c>
      <c r="F31" s="24">
        <v>1380000000</v>
      </c>
      <c r="G31" s="24">
        <f t="shared" si="41"/>
        <v>2486000000</v>
      </c>
      <c r="H31" s="24">
        <f>G31/B31</f>
        <v>95615384.615384609</v>
      </c>
      <c r="I31" s="24">
        <f>G31/C31</f>
        <v>355142857.14285713</v>
      </c>
      <c r="J31" s="3">
        <f>B31/0.1</f>
        <v>260</v>
      </c>
      <c r="K31" s="3">
        <f>B31/0.05</f>
        <v>520</v>
      </c>
      <c r="L31" s="3">
        <f>ROUNDUP(J31/12,0)</f>
        <v>22</v>
      </c>
      <c r="M31" s="3">
        <f>ROUNDUP(K31/12,0)</f>
        <v>44</v>
      </c>
    </row>
    <row r="32" spans="1:24">
      <c r="A32">
        <v>2024</v>
      </c>
      <c r="B32">
        <v>33</v>
      </c>
      <c r="C32">
        <v>1</v>
      </c>
      <c r="D32" s="43">
        <f t="shared" si="40"/>
        <v>3.0303030303030304E-2</v>
      </c>
      <c r="E32" s="24">
        <v>1188000000</v>
      </c>
      <c r="F32" s="24">
        <v>131000000</v>
      </c>
      <c r="G32" s="24">
        <f t="shared" si="41"/>
        <v>1319000000</v>
      </c>
      <c r="H32" s="24">
        <f>G32/B32</f>
        <v>39969696.969696969</v>
      </c>
      <c r="I32" s="24">
        <f>G32/C32</f>
        <v>1319000000</v>
      </c>
      <c r="J32" s="3">
        <f>B32/0.1</f>
        <v>330</v>
      </c>
      <c r="K32" s="3">
        <f>B32/0.05</f>
        <v>660</v>
      </c>
      <c r="L32" s="3">
        <f>J32/12</f>
        <v>27.5</v>
      </c>
      <c r="M32" s="3">
        <f>K32/12</f>
        <v>55</v>
      </c>
    </row>
    <row r="33" spans="1:14">
      <c r="A33" s="26" t="s">
        <v>116</v>
      </c>
      <c r="B33" s="10">
        <f t="shared" ref="B33:M33" si="42">AVERAGE(B31:B32)</f>
        <v>29.5</v>
      </c>
      <c r="C33" s="10">
        <f t="shared" si="42"/>
        <v>4</v>
      </c>
      <c r="D33" s="47">
        <f t="shared" si="42"/>
        <v>0.14976689976689977</v>
      </c>
      <c r="E33" s="28">
        <f t="shared" si="42"/>
        <v>1147000000</v>
      </c>
      <c r="F33" s="28">
        <f t="shared" si="42"/>
        <v>755500000</v>
      </c>
      <c r="G33" s="28">
        <f t="shared" si="42"/>
        <v>1902500000</v>
      </c>
      <c r="H33" s="28">
        <f t="shared" si="42"/>
        <v>67792540.792540789</v>
      </c>
      <c r="I33" s="28">
        <f t="shared" si="42"/>
        <v>837071428.57142854</v>
      </c>
      <c r="J33" s="45">
        <f t="shared" si="42"/>
        <v>295</v>
      </c>
      <c r="K33" s="45">
        <f t="shared" si="42"/>
        <v>590</v>
      </c>
      <c r="L33" s="44">
        <f t="shared" si="42"/>
        <v>24.75</v>
      </c>
      <c r="M33" s="44">
        <f t="shared" si="42"/>
        <v>49.5</v>
      </c>
    </row>
    <row r="34" spans="1:14">
      <c r="A34" s="29" t="s">
        <v>117</v>
      </c>
      <c r="B34" s="3">
        <f>B32*1.1</f>
        <v>36.300000000000004</v>
      </c>
      <c r="C34" s="3">
        <f>C32*1.1</f>
        <v>1.1000000000000001</v>
      </c>
      <c r="D34" s="46">
        <f>C34/B34</f>
        <v>3.03030303030303E-2</v>
      </c>
      <c r="E34" s="48">
        <f>E32*1.1</f>
        <v>1306800000</v>
      </c>
      <c r="F34" s="48">
        <f>F32*1.1</f>
        <v>144100000</v>
      </c>
      <c r="G34" s="48">
        <f>G32*1.1</f>
        <v>1450900000</v>
      </c>
      <c r="H34" s="52">
        <f>G34/B34</f>
        <v>39969696.969696961</v>
      </c>
      <c r="I34" s="52">
        <f>G34/C34</f>
        <v>1319000000</v>
      </c>
      <c r="J34" s="3">
        <f>B34/0.1</f>
        <v>363</v>
      </c>
      <c r="K34" s="3">
        <f>B34/0.05</f>
        <v>726</v>
      </c>
      <c r="L34" s="3">
        <f>J34/12</f>
        <v>30.25</v>
      </c>
      <c r="M34" s="34">
        <f>K34/12</f>
        <v>60.5</v>
      </c>
      <c r="N34">
        <f>M34*0.1</f>
        <v>6.0500000000000007</v>
      </c>
    </row>
    <row r="35" spans="1:14">
      <c r="B35">
        <f>B34*0.1</f>
        <v>3.6300000000000008</v>
      </c>
      <c r="K35">
        <f>K34*0.1</f>
        <v>72.600000000000009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5E8E-0139-43EB-8CC5-08D4DD9FC512}">
  <dimension ref="A1:BD92"/>
  <sheetViews>
    <sheetView zoomScale="80" zoomScaleNormal="80" workbookViewId="0">
      <pane xSplit="1" ySplit="3" topLeftCell="H4" activePane="bottomRight" state="frozen"/>
      <selection pane="bottomRight" activeCell="O5" sqref="O5"/>
      <selection pane="bottomLeft" activeCell="AJ68" sqref="AJ68"/>
      <selection pane="topRight" activeCell="AJ68" sqref="AJ68"/>
    </sheetView>
  </sheetViews>
  <sheetFormatPr defaultColWidth="9" defaultRowHeight="15.75" customHeight="1"/>
  <cols>
    <col min="1" max="1" width="24.375" style="1" customWidth="1"/>
    <col min="2" max="4" width="8.875" style="1" hidden="1" customWidth="1"/>
    <col min="5" max="5" width="8.875" style="2" hidden="1" customWidth="1"/>
    <col min="6" max="7" width="9" style="2" hidden="1" customWidth="1"/>
    <col min="8" max="8" width="9.875" style="2" bestFit="1" customWidth="1"/>
    <col min="9" max="9" width="10" style="2" bestFit="1" customWidth="1"/>
    <col min="10" max="13" width="12.125" style="2" customWidth="1"/>
    <col min="14" max="16" width="11.125" style="2" bestFit="1" customWidth="1"/>
    <col min="17" max="19" width="10.5" style="2" bestFit="1" customWidth="1"/>
    <col min="20" max="20" width="10" style="2" bestFit="1" customWidth="1"/>
    <col min="21" max="21" width="10.75" style="2" bestFit="1" customWidth="1"/>
    <col min="22" max="23" width="10" style="2" bestFit="1" customWidth="1"/>
    <col min="24" max="24" width="11.125" style="2" customWidth="1"/>
    <col min="25" max="25" width="11.375" style="2" customWidth="1"/>
    <col min="26" max="37" width="9" style="2"/>
    <col min="38" max="38" width="11" style="8" customWidth="1"/>
    <col min="39" max="39" width="12.25" style="2" customWidth="1"/>
    <col min="40" max="40" width="9" style="2"/>
    <col min="41" max="41" width="9" style="8"/>
    <col min="42" max="43" width="9" style="2"/>
    <col min="44" max="44" width="10.125" style="8" bestFit="1" customWidth="1"/>
    <col min="45" max="45" width="11.375" style="2" customWidth="1"/>
    <col min="46" max="46" width="9" style="2"/>
    <col min="47" max="47" width="11.375" style="2" customWidth="1"/>
    <col min="48" max="56" width="9" style="2"/>
    <col min="57" max="16384" width="9" style="1"/>
  </cols>
  <sheetData>
    <row r="1" spans="1:56" ht="18"/>
    <row r="2" spans="1:56" ht="18">
      <c r="A2" s="49" t="s">
        <v>0</v>
      </c>
      <c r="B2" s="2" t="s">
        <v>1</v>
      </c>
      <c r="N2" s="2" t="s">
        <v>2</v>
      </c>
      <c r="Z2" s="2" t="s">
        <v>3</v>
      </c>
      <c r="AL2" s="101" t="s">
        <v>5</v>
      </c>
      <c r="AM2" s="6"/>
      <c r="AO2" s="101" t="s">
        <v>127</v>
      </c>
      <c r="AP2" s="17"/>
      <c r="AR2" s="101" t="s">
        <v>128</v>
      </c>
      <c r="AS2" s="19"/>
      <c r="AU2" s="15"/>
      <c r="AW2" s="15"/>
      <c r="AY2" s="20"/>
      <c r="BC2" s="2" t="s">
        <v>129</v>
      </c>
    </row>
    <row r="3" spans="1:56" ht="18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118">
        <v>45717</v>
      </c>
      <c r="O3" s="118">
        <v>45748</v>
      </c>
      <c r="P3" s="118">
        <v>45778</v>
      </c>
      <c r="Q3" s="118">
        <v>45809</v>
      </c>
      <c r="R3" s="118">
        <v>45839</v>
      </c>
      <c r="S3" s="118">
        <v>45870</v>
      </c>
      <c r="T3" s="118">
        <v>45901</v>
      </c>
      <c r="U3" s="118">
        <v>45931</v>
      </c>
      <c r="V3" s="118">
        <v>45962</v>
      </c>
      <c r="W3" s="118">
        <v>45992</v>
      </c>
      <c r="X3" s="118">
        <v>46023</v>
      </c>
      <c r="Y3" s="2" t="s">
        <v>130</v>
      </c>
      <c r="Z3" s="2" t="s">
        <v>131</v>
      </c>
      <c r="AA3" s="2" t="s">
        <v>7</v>
      </c>
      <c r="AB3" s="2" t="s">
        <v>8</v>
      </c>
      <c r="AC3" s="2" t="s">
        <v>132</v>
      </c>
      <c r="AD3" s="2" t="s">
        <v>133</v>
      </c>
      <c r="AE3" s="2" t="s">
        <v>134</v>
      </c>
      <c r="AF3" s="2" t="s">
        <v>135</v>
      </c>
      <c r="AG3" s="2" t="s">
        <v>136</v>
      </c>
      <c r="AH3" s="2" t="s">
        <v>137</v>
      </c>
      <c r="AI3" s="2" t="s">
        <v>138</v>
      </c>
      <c r="AJ3" s="2" t="s">
        <v>139</v>
      </c>
      <c r="AK3" s="2" t="s">
        <v>130</v>
      </c>
      <c r="AL3" s="8" t="s">
        <v>1</v>
      </c>
      <c r="AM3" s="2" t="s">
        <v>2</v>
      </c>
      <c r="AN3" s="2" t="s">
        <v>3</v>
      </c>
      <c r="AO3" s="8" t="s">
        <v>1</v>
      </c>
      <c r="AP3" s="2" t="s">
        <v>2</v>
      </c>
      <c r="AQ3" s="2" t="s">
        <v>3</v>
      </c>
      <c r="AR3" s="8" t="s">
        <v>1</v>
      </c>
      <c r="AS3" s="2" t="s">
        <v>2</v>
      </c>
      <c r="AT3" s="2" t="s">
        <v>3</v>
      </c>
      <c r="BC3" s="2" t="s">
        <v>1</v>
      </c>
      <c r="BD3" s="2" t="s">
        <v>2</v>
      </c>
    </row>
    <row r="4" spans="1:56" ht="18">
      <c r="A4" s="1" t="s">
        <v>140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13" t="s">
        <v>19</v>
      </c>
      <c r="H4" s="2">
        <v>129</v>
      </c>
      <c r="I4" s="2">
        <v>911</v>
      </c>
      <c r="J4" s="2">
        <v>2080</v>
      </c>
      <c r="K4" s="2">
        <v>1487</v>
      </c>
      <c r="L4" s="2">
        <v>3187</v>
      </c>
      <c r="M4" s="2">
        <v>1772</v>
      </c>
      <c r="N4" s="2">
        <v>2488</v>
      </c>
      <c r="O4" s="2">
        <v>1959</v>
      </c>
      <c r="P4" s="2">
        <v>2159</v>
      </c>
      <c r="Q4" s="2">
        <v>2553</v>
      </c>
      <c r="R4" s="2">
        <v>5181</v>
      </c>
      <c r="S4" s="2">
        <v>2621</v>
      </c>
      <c r="T4" s="2">
        <v>2797</v>
      </c>
      <c r="U4" s="2">
        <v>3226</v>
      </c>
      <c r="V4" s="2">
        <v>2881</v>
      </c>
      <c r="W4" s="2">
        <v>2908</v>
      </c>
      <c r="X4" s="2">
        <v>3355</v>
      </c>
      <c r="Y4" s="2">
        <v>3007</v>
      </c>
      <c r="AL4" s="8">
        <v>9566</v>
      </c>
      <c r="AM4" s="2">
        <v>35135</v>
      </c>
      <c r="AO4" s="8">
        <v>6986</v>
      </c>
      <c r="AR4" s="105">
        <v>1.3693100486687662</v>
      </c>
    </row>
    <row r="5" spans="1:56" ht="18">
      <c r="A5" s="1" t="s">
        <v>141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13" t="s">
        <v>19</v>
      </c>
      <c r="H5" s="2">
        <v>3</v>
      </c>
      <c r="I5" s="2">
        <v>7</v>
      </c>
      <c r="J5" s="2">
        <v>25</v>
      </c>
      <c r="K5" s="2">
        <v>10</v>
      </c>
      <c r="L5" s="2">
        <v>16</v>
      </c>
      <c r="M5" s="2">
        <v>18</v>
      </c>
      <c r="N5" s="2">
        <v>33</v>
      </c>
      <c r="O5" s="76">
        <v>20</v>
      </c>
      <c r="P5" s="2">
        <v>13</v>
      </c>
      <c r="Q5" s="2">
        <v>15</v>
      </c>
      <c r="R5" s="2">
        <v>44</v>
      </c>
      <c r="S5" s="2">
        <v>29</v>
      </c>
      <c r="T5" s="76">
        <v>30</v>
      </c>
      <c r="U5" s="76">
        <v>19</v>
      </c>
      <c r="V5" s="76">
        <v>23</v>
      </c>
      <c r="W5" s="76">
        <v>14</v>
      </c>
      <c r="X5" s="76">
        <v>13</v>
      </c>
      <c r="Y5" s="76">
        <v>13</v>
      </c>
      <c r="Z5" s="76">
        <v>0</v>
      </c>
      <c r="AA5" s="76">
        <v>0</v>
      </c>
      <c r="AB5" s="76">
        <v>0</v>
      </c>
      <c r="AC5" s="76">
        <v>0</v>
      </c>
      <c r="AD5" s="76">
        <v>0</v>
      </c>
      <c r="AE5" s="76">
        <v>0</v>
      </c>
      <c r="AF5" s="76">
        <v>0</v>
      </c>
      <c r="AG5" s="76">
        <v>0</v>
      </c>
      <c r="AH5" s="76">
        <v>0</v>
      </c>
      <c r="AI5" s="76">
        <v>0</v>
      </c>
      <c r="AJ5" s="76">
        <v>0</v>
      </c>
      <c r="AK5" s="76">
        <v>0</v>
      </c>
      <c r="AL5" s="8">
        <v>79</v>
      </c>
      <c r="AM5" s="2">
        <v>266</v>
      </c>
      <c r="AR5" s="8" t="e">
        <v>#DIV/0!</v>
      </c>
    </row>
    <row r="6" spans="1:56" ht="18">
      <c r="A6" t="s">
        <v>22</v>
      </c>
      <c r="B6" s="2"/>
      <c r="C6" s="2"/>
      <c r="D6" s="2"/>
      <c r="H6" s="2">
        <v>0</v>
      </c>
      <c r="I6" s="2">
        <v>2</v>
      </c>
      <c r="J6" s="2">
        <v>4</v>
      </c>
      <c r="K6" s="2">
        <v>1</v>
      </c>
      <c r="L6" s="2">
        <v>3</v>
      </c>
      <c r="M6" s="2">
        <v>5</v>
      </c>
      <c r="N6" s="2">
        <v>5</v>
      </c>
      <c r="O6" s="2">
        <v>4</v>
      </c>
      <c r="P6" s="2">
        <v>4</v>
      </c>
      <c r="Q6" s="2">
        <v>4</v>
      </c>
      <c r="R6" s="2">
        <v>8</v>
      </c>
      <c r="S6" s="2">
        <v>4</v>
      </c>
      <c r="T6" s="2">
        <v>6</v>
      </c>
      <c r="U6" s="2">
        <v>3</v>
      </c>
      <c r="V6" s="2">
        <v>4</v>
      </c>
      <c r="W6" s="2">
        <v>5</v>
      </c>
      <c r="X6" s="2">
        <v>3</v>
      </c>
      <c r="Y6" s="2">
        <v>3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M6" s="2">
        <v>53</v>
      </c>
    </row>
    <row r="7" spans="1:56" ht="18">
      <c r="A7" s="10" t="s">
        <v>23</v>
      </c>
      <c r="B7" s="11"/>
      <c r="C7" s="11"/>
      <c r="D7" s="11"/>
      <c r="E7" s="11"/>
      <c r="F7" s="11"/>
      <c r="G7" s="12" t="s">
        <v>97</v>
      </c>
      <c r="H7" s="12" t="s">
        <v>97</v>
      </c>
      <c r="I7" s="12">
        <v>0.2857142857142857</v>
      </c>
      <c r="J7" s="12">
        <v>0.16</v>
      </c>
      <c r="K7" s="12">
        <v>0.1</v>
      </c>
      <c r="L7" s="12">
        <v>0.1875</v>
      </c>
      <c r="M7" s="12">
        <v>0.27777777777777779</v>
      </c>
      <c r="N7" s="12">
        <v>0.15151515151515152</v>
      </c>
      <c r="O7" s="12">
        <v>0.2</v>
      </c>
      <c r="P7" s="12">
        <v>0.30769230769230771</v>
      </c>
      <c r="Q7" s="12">
        <v>0.26666666666666666</v>
      </c>
      <c r="R7" s="12">
        <v>0.18181818181818182</v>
      </c>
      <c r="S7" s="12">
        <v>0.13793103448275862</v>
      </c>
      <c r="T7" s="12">
        <v>0.2</v>
      </c>
      <c r="U7" s="12">
        <v>0.15789473684210525</v>
      </c>
      <c r="V7" s="12">
        <v>0.17391304347826086</v>
      </c>
      <c r="W7" s="12">
        <v>0.35714285714285715</v>
      </c>
      <c r="X7" s="12">
        <v>0.23076923076923078</v>
      </c>
      <c r="Y7" s="12">
        <v>0.23076923076923078</v>
      </c>
      <c r="Z7" s="12" t="s">
        <v>97</v>
      </c>
      <c r="AA7" s="12" t="s">
        <v>97</v>
      </c>
      <c r="AB7" s="12" t="s">
        <v>97</v>
      </c>
      <c r="AC7" s="12" t="s">
        <v>97</v>
      </c>
      <c r="AD7" s="12" t="s">
        <v>97</v>
      </c>
      <c r="AE7" s="12" t="s">
        <v>97</v>
      </c>
      <c r="AF7" s="12" t="s">
        <v>97</v>
      </c>
      <c r="AG7" s="12" t="s">
        <v>97</v>
      </c>
      <c r="AH7" s="12" t="s">
        <v>97</v>
      </c>
      <c r="AI7" s="12" t="s">
        <v>97</v>
      </c>
      <c r="AJ7" s="12" t="s">
        <v>97</v>
      </c>
      <c r="AK7" s="12" t="s">
        <v>97</v>
      </c>
      <c r="AM7" s="11"/>
      <c r="AN7" s="12"/>
      <c r="AP7" s="11"/>
      <c r="AQ7" s="12"/>
      <c r="AS7" s="11"/>
      <c r="AT7" s="12"/>
      <c r="AU7" s="11"/>
      <c r="AV7" s="11"/>
      <c r="AW7" s="11"/>
      <c r="AX7" s="11"/>
      <c r="AY7" s="11"/>
      <c r="AZ7" s="11"/>
      <c r="BA7" s="11"/>
      <c r="BB7" s="11"/>
      <c r="BC7" s="11"/>
      <c r="BD7" s="11"/>
    </row>
    <row r="8" spans="1:56" ht="18">
      <c r="A8" s="1" t="s">
        <v>24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13" t="s">
        <v>19</v>
      </c>
      <c r="H8" s="2">
        <v>0</v>
      </c>
      <c r="I8" s="2">
        <v>1</v>
      </c>
      <c r="J8" s="2">
        <v>5</v>
      </c>
      <c r="K8" s="2">
        <v>0</v>
      </c>
      <c r="L8" s="2">
        <v>2</v>
      </c>
      <c r="M8" s="2">
        <v>1</v>
      </c>
      <c r="N8" s="2">
        <v>2</v>
      </c>
      <c r="O8" s="2">
        <v>5</v>
      </c>
      <c r="P8" s="2">
        <v>3</v>
      </c>
      <c r="Q8" s="2">
        <v>4</v>
      </c>
      <c r="R8" s="2">
        <v>3</v>
      </c>
      <c r="S8" s="2">
        <v>6</v>
      </c>
      <c r="T8" s="2">
        <v>8</v>
      </c>
      <c r="U8" s="2">
        <v>2</v>
      </c>
      <c r="V8" s="2">
        <v>4</v>
      </c>
      <c r="W8" s="2">
        <v>3</v>
      </c>
      <c r="X8" s="2">
        <v>3</v>
      </c>
      <c r="Y8" s="2">
        <v>2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8">
        <v>9</v>
      </c>
      <c r="AM8" s="2">
        <v>45</v>
      </c>
      <c r="AO8" s="8">
        <v>15.4</v>
      </c>
      <c r="AR8" s="8">
        <v>0.58441558441558439</v>
      </c>
    </row>
    <row r="9" spans="1:56" s="10" customFormat="1" ht="18">
      <c r="A9" s="10" t="s">
        <v>25</v>
      </c>
      <c r="B9" s="11" t="s">
        <v>19</v>
      </c>
      <c r="C9" s="11" t="s">
        <v>19</v>
      </c>
      <c r="D9" s="11" t="s">
        <v>19</v>
      </c>
      <c r="E9" s="11" t="s">
        <v>19</v>
      </c>
      <c r="F9" s="11" t="s">
        <v>19</v>
      </c>
      <c r="G9" s="11" t="s">
        <v>19</v>
      </c>
      <c r="H9" s="12" t="s">
        <v>97</v>
      </c>
      <c r="I9" s="12">
        <v>0.14285714285714285</v>
      </c>
      <c r="J9" s="12">
        <v>0.2</v>
      </c>
      <c r="K9" s="12" t="s">
        <v>97</v>
      </c>
      <c r="L9" s="12">
        <v>0.125</v>
      </c>
      <c r="M9" s="12">
        <v>5.5555555555555552E-2</v>
      </c>
      <c r="N9" s="12">
        <v>6.0606060606060608E-2</v>
      </c>
      <c r="O9" s="12">
        <v>0.25</v>
      </c>
      <c r="P9" s="12">
        <v>0.23076923076923078</v>
      </c>
      <c r="Q9" s="12">
        <v>0.26666666666666666</v>
      </c>
      <c r="R9" s="12">
        <v>6.8181818181818177E-2</v>
      </c>
      <c r="S9" s="12">
        <v>0.20689655172413793</v>
      </c>
      <c r="T9" s="12">
        <v>0.26666666666666666</v>
      </c>
      <c r="U9" s="12">
        <v>0.10526315789473684</v>
      </c>
      <c r="V9" s="12">
        <v>0.17391304347826086</v>
      </c>
      <c r="W9" s="12">
        <v>0.21428571428571427</v>
      </c>
      <c r="X9" s="12">
        <v>0.23076923076923078</v>
      </c>
      <c r="Y9" s="12">
        <v>0.15384615384615385</v>
      </c>
      <c r="Z9" s="12" t="s">
        <v>97</v>
      </c>
      <c r="AA9" s="12" t="s">
        <v>97</v>
      </c>
      <c r="AB9" s="12" t="s">
        <v>97</v>
      </c>
      <c r="AC9" s="12" t="s">
        <v>97</v>
      </c>
      <c r="AD9" s="12" t="s">
        <v>97</v>
      </c>
      <c r="AE9" s="12" t="s">
        <v>97</v>
      </c>
      <c r="AF9" s="12" t="s">
        <v>97</v>
      </c>
      <c r="AG9" s="12" t="s">
        <v>97</v>
      </c>
      <c r="AH9" s="12" t="s">
        <v>97</v>
      </c>
      <c r="AI9" s="12" t="s">
        <v>97</v>
      </c>
      <c r="AJ9" s="12" t="s">
        <v>97</v>
      </c>
      <c r="AK9" s="12" t="s">
        <v>97</v>
      </c>
      <c r="AL9" s="8"/>
      <c r="AM9" s="11"/>
      <c r="AN9" s="12"/>
      <c r="AO9" s="8"/>
      <c r="AP9" s="11"/>
      <c r="AQ9" s="12"/>
      <c r="AR9" s="8" t="e">
        <v>#DIV/0!</v>
      </c>
      <c r="AS9" s="11"/>
      <c r="AT9" s="12"/>
      <c r="AU9" s="11"/>
      <c r="AV9" s="11"/>
      <c r="AW9" s="11"/>
      <c r="AX9" s="11"/>
      <c r="AY9" s="11"/>
      <c r="AZ9" s="11"/>
      <c r="BA9" s="11"/>
      <c r="BB9" s="11"/>
      <c r="BC9" s="11"/>
      <c r="BD9" s="11"/>
    </row>
    <row r="10" spans="1:56" ht="18">
      <c r="A10" s="1" t="s">
        <v>26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13" t="s">
        <v>19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2</v>
      </c>
      <c r="U10" s="2">
        <v>0</v>
      </c>
      <c r="V10" s="2">
        <v>1</v>
      </c>
      <c r="W10" s="2">
        <v>0</v>
      </c>
      <c r="X10" s="2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8">
        <v>1</v>
      </c>
      <c r="AM10" s="2">
        <v>6</v>
      </c>
      <c r="AO10" s="8">
        <v>1.3</v>
      </c>
      <c r="AR10" s="8">
        <v>0.76923076923076916</v>
      </c>
    </row>
    <row r="11" spans="1:56" s="10" customFormat="1" ht="18">
      <c r="A11" s="10" t="s">
        <v>27</v>
      </c>
      <c r="B11" s="11" t="s">
        <v>19</v>
      </c>
      <c r="C11" s="11" t="s">
        <v>19</v>
      </c>
      <c r="D11" s="11" t="s">
        <v>19</v>
      </c>
      <c r="E11" s="11" t="s">
        <v>19</v>
      </c>
      <c r="F11" s="11" t="s">
        <v>19</v>
      </c>
      <c r="G11" s="11" t="s">
        <v>19</v>
      </c>
      <c r="H11" s="12" t="s">
        <v>97</v>
      </c>
      <c r="I11" s="12" t="s">
        <v>97</v>
      </c>
      <c r="J11" s="12" t="s">
        <v>97</v>
      </c>
      <c r="K11" s="12" t="s">
        <v>97</v>
      </c>
      <c r="L11" s="12">
        <v>6.25E-2</v>
      </c>
      <c r="M11" s="12" t="s">
        <v>97</v>
      </c>
      <c r="N11" s="12" t="s">
        <v>97</v>
      </c>
      <c r="O11" s="12" t="s">
        <v>97</v>
      </c>
      <c r="P11" s="12">
        <v>7.6923076923076927E-2</v>
      </c>
      <c r="Q11" s="12" t="s">
        <v>97</v>
      </c>
      <c r="R11" s="12" t="s">
        <v>97</v>
      </c>
      <c r="S11" s="12" t="s">
        <v>97</v>
      </c>
      <c r="T11" s="12">
        <v>6.6666666666666666E-2</v>
      </c>
      <c r="U11" s="12" t="s">
        <v>97</v>
      </c>
      <c r="V11" s="12">
        <v>4.3478260869565216E-2</v>
      </c>
      <c r="W11" s="12" t="s">
        <v>97</v>
      </c>
      <c r="X11" s="12">
        <v>7.6923076923076927E-2</v>
      </c>
      <c r="Y11" s="12" t="s">
        <v>97</v>
      </c>
      <c r="Z11" s="12" t="s">
        <v>97</v>
      </c>
      <c r="AA11" s="12" t="s">
        <v>97</v>
      </c>
      <c r="AB11" s="12" t="s">
        <v>97</v>
      </c>
      <c r="AC11" s="12" t="s">
        <v>97</v>
      </c>
      <c r="AD11" s="12" t="s">
        <v>97</v>
      </c>
      <c r="AE11" s="12" t="s">
        <v>97</v>
      </c>
      <c r="AF11" s="12" t="s">
        <v>97</v>
      </c>
      <c r="AG11" s="12" t="s">
        <v>97</v>
      </c>
      <c r="AH11" s="12" t="s">
        <v>97</v>
      </c>
      <c r="AI11" s="12" t="s">
        <v>97</v>
      </c>
      <c r="AJ11" s="12" t="s">
        <v>97</v>
      </c>
      <c r="AK11" s="12" t="s">
        <v>97</v>
      </c>
      <c r="AL11" s="8"/>
      <c r="AM11" s="11"/>
      <c r="AN11" s="12"/>
      <c r="AO11" s="8"/>
      <c r="AP11" s="11"/>
      <c r="AQ11" s="12"/>
      <c r="AR11" s="8" t="e">
        <v>#DIV/0!</v>
      </c>
      <c r="AS11" s="11"/>
      <c r="AT11" s="12"/>
      <c r="AU11" s="11"/>
      <c r="AV11" s="11"/>
      <c r="AW11" s="11"/>
      <c r="AX11" s="11"/>
      <c r="AY11" s="11"/>
      <c r="AZ11" s="11"/>
      <c r="BA11" s="11"/>
      <c r="BB11" s="11"/>
      <c r="BC11" s="11"/>
      <c r="BD11" s="11"/>
    </row>
    <row r="12" spans="1:56" s="7" customFormat="1" ht="18">
      <c r="A12" s="7" t="s">
        <v>28</v>
      </c>
      <c r="B12" s="7">
        <v>269</v>
      </c>
      <c r="C12" s="7">
        <v>349</v>
      </c>
      <c r="D12" s="7">
        <v>404</v>
      </c>
      <c r="E12" s="8">
        <v>454</v>
      </c>
      <c r="F12" s="8">
        <v>504</v>
      </c>
      <c r="G12" s="8">
        <v>564</v>
      </c>
      <c r="H12" s="8">
        <v>614</v>
      </c>
      <c r="I12" s="8">
        <v>664</v>
      </c>
      <c r="J12" s="8">
        <v>724</v>
      </c>
      <c r="K12" s="8">
        <v>874</v>
      </c>
      <c r="L12" s="8">
        <v>924</v>
      </c>
      <c r="M12" s="8">
        <v>924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 t="e">
        <v>#DIV/0!</v>
      </c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1:56" s="3" customFormat="1" ht="18">
      <c r="A13" s="117" t="s">
        <v>30</v>
      </c>
      <c r="B13" s="41">
        <v>3</v>
      </c>
      <c r="C13" s="41">
        <v>4</v>
      </c>
      <c r="D13" s="41">
        <v>4</v>
      </c>
      <c r="E13" s="14">
        <v>4</v>
      </c>
      <c r="F13" s="14">
        <v>4</v>
      </c>
      <c r="G13" s="14">
        <v>4</v>
      </c>
      <c r="H13" s="14">
        <v>5</v>
      </c>
      <c r="I13" s="14">
        <v>5</v>
      </c>
      <c r="J13" s="14">
        <v>5</v>
      </c>
      <c r="K13" s="14">
        <v>6</v>
      </c>
      <c r="L13" s="14">
        <v>7</v>
      </c>
      <c r="M13" s="14">
        <v>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8"/>
      <c r="AM13" s="4"/>
      <c r="AN13" s="4"/>
      <c r="AO13" s="8">
        <v>47</v>
      </c>
      <c r="AP13" s="4"/>
      <c r="AQ13" s="4"/>
      <c r="AR13" s="8" t="e">
        <v>#REF!</v>
      </c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</row>
    <row r="14" spans="1:56" s="3" customFormat="1" ht="18">
      <c r="A14" s="3" t="s">
        <v>32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4">
        <v>8</v>
      </c>
      <c r="O14" s="4">
        <v>8</v>
      </c>
      <c r="P14" s="4">
        <v>8</v>
      </c>
      <c r="Q14" s="4">
        <v>8</v>
      </c>
      <c r="R14" s="4">
        <v>8</v>
      </c>
      <c r="S14" s="4">
        <v>8</v>
      </c>
      <c r="T14" s="4">
        <v>8</v>
      </c>
      <c r="U14" s="4">
        <v>8</v>
      </c>
      <c r="V14" s="4">
        <v>8</v>
      </c>
      <c r="W14" s="4">
        <v>8</v>
      </c>
      <c r="X14" s="4">
        <v>8</v>
      </c>
      <c r="Y14" s="4">
        <v>8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7"/>
      <c r="AM14" s="4"/>
      <c r="AN14" s="4"/>
      <c r="AO14" s="8"/>
      <c r="AP14" s="4">
        <v>96</v>
      </c>
      <c r="AQ14" s="4"/>
      <c r="AR14" s="8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</row>
    <row r="15" spans="1:56" s="3" customFormat="1" ht="18">
      <c r="A15" s="3" t="s">
        <v>33</v>
      </c>
      <c r="B15" s="7"/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4">
        <v>0.7416666666666667</v>
      </c>
      <c r="O15" s="4">
        <v>0.7416666666666667</v>
      </c>
      <c r="P15" s="4">
        <v>0.7416666666666667</v>
      </c>
      <c r="Q15" s="4">
        <v>0.7416666666666667</v>
      </c>
      <c r="R15" s="4">
        <v>0.7416666666666667</v>
      </c>
      <c r="S15" s="4">
        <v>0.7416666666666667</v>
      </c>
      <c r="T15" s="4">
        <v>0.7416666666666667</v>
      </c>
      <c r="U15" s="4">
        <v>0.7416666666666667</v>
      </c>
      <c r="V15" s="4">
        <v>0.7416666666666667</v>
      </c>
      <c r="W15" s="4">
        <v>0.7416666666666667</v>
      </c>
      <c r="X15" s="4">
        <v>0.7416666666666667</v>
      </c>
      <c r="Y15" s="4">
        <v>0.7416666666666667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8"/>
      <c r="AM15" s="4"/>
      <c r="AN15" s="4"/>
      <c r="AO15" s="8"/>
      <c r="AP15" s="4">
        <v>8.9000000000000021</v>
      </c>
      <c r="AQ15" s="4"/>
      <c r="AR15" s="8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</row>
    <row r="16" spans="1:56" s="3" customFormat="1" ht="18">
      <c r="A16" s="3" t="s">
        <v>34</v>
      </c>
      <c r="B16" s="7"/>
      <c r="C16" s="7"/>
      <c r="D16" s="7"/>
      <c r="E16" s="8"/>
      <c r="F16" s="8"/>
      <c r="G16" s="8"/>
      <c r="H16" s="8"/>
      <c r="I16" s="8"/>
      <c r="J16" s="8"/>
      <c r="K16" s="8"/>
      <c r="L16" s="8"/>
      <c r="M16" s="8"/>
      <c r="N16" s="4">
        <v>24.2</v>
      </c>
      <c r="O16" s="4">
        <v>24.2</v>
      </c>
      <c r="P16" s="4">
        <v>24.2</v>
      </c>
      <c r="Q16" s="4">
        <v>24.2</v>
      </c>
      <c r="R16" s="4">
        <v>24.2</v>
      </c>
      <c r="S16" s="4">
        <v>24.2</v>
      </c>
      <c r="T16" s="4">
        <v>24.2</v>
      </c>
      <c r="U16" s="4">
        <v>24.2</v>
      </c>
      <c r="V16" s="4">
        <v>24.2</v>
      </c>
      <c r="W16" s="4">
        <v>24.2</v>
      </c>
      <c r="X16" s="4">
        <v>24.2</v>
      </c>
      <c r="Y16" s="4">
        <v>24.2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8"/>
      <c r="AM16" s="4"/>
      <c r="AN16" s="4"/>
      <c r="AO16" s="8"/>
      <c r="AP16" s="4">
        <v>290.39999999999992</v>
      </c>
      <c r="AQ16" s="4"/>
      <c r="AR16" s="8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</row>
    <row r="17" spans="1:56" s="3" customFormat="1" ht="18">
      <c r="A17" s="3" t="s">
        <v>35</v>
      </c>
      <c r="B17" s="7"/>
      <c r="C17" s="7"/>
      <c r="D17" s="7"/>
      <c r="E17" s="8"/>
      <c r="F17" s="8"/>
      <c r="G17" s="8"/>
      <c r="H17" s="8"/>
      <c r="I17" s="8"/>
      <c r="J17" s="8"/>
      <c r="K17" s="8"/>
      <c r="L17" s="8"/>
      <c r="M17" s="8"/>
      <c r="N17" s="39">
        <v>10.980555555555554</v>
      </c>
      <c r="O17" s="39">
        <v>10.980555555555554</v>
      </c>
      <c r="P17" s="39">
        <v>10.980555555555554</v>
      </c>
      <c r="Q17" s="39">
        <v>10.980555555555554</v>
      </c>
      <c r="R17" s="39">
        <v>10.980555555555554</v>
      </c>
      <c r="S17" s="39">
        <v>10.980555555555554</v>
      </c>
      <c r="T17" s="39">
        <v>10.980555555555554</v>
      </c>
      <c r="U17" s="39">
        <v>10.980555555555554</v>
      </c>
      <c r="V17" s="39">
        <v>10.980555555555554</v>
      </c>
      <c r="W17" s="39">
        <v>10.980555555555554</v>
      </c>
      <c r="X17" s="39">
        <v>10.980555555555554</v>
      </c>
      <c r="Y17" s="39">
        <v>10.980555555555554</v>
      </c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8"/>
      <c r="AM17" s="4"/>
      <c r="AN17" s="39"/>
      <c r="AO17" s="8"/>
      <c r="AP17" s="39">
        <v>131.76666666666665</v>
      </c>
      <c r="AQ17" s="39"/>
      <c r="AR17" s="8"/>
      <c r="AS17" s="4"/>
      <c r="AT17" s="39"/>
      <c r="AU17" s="4"/>
      <c r="AV17" s="4"/>
      <c r="AW17" s="4"/>
      <c r="AX17" s="4"/>
      <c r="AY17" s="4"/>
      <c r="AZ17" s="4"/>
      <c r="BA17" s="4"/>
      <c r="BB17" s="4"/>
      <c r="BC17" s="4"/>
      <c r="BD17" s="4"/>
    </row>
    <row r="18" spans="1:56" s="7" customFormat="1" ht="18">
      <c r="A18" s="7" t="s">
        <v>36</v>
      </c>
      <c r="B18" s="7">
        <v>1.3</v>
      </c>
      <c r="C18" s="7">
        <v>2.2999999999999998</v>
      </c>
      <c r="D18" s="7">
        <v>3</v>
      </c>
      <c r="E18" s="8">
        <v>3.4</v>
      </c>
      <c r="F18" s="8">
        <v>3.9</v>
      </c>
      <c r="G18" s="8">
        <v>4.3</v>
      </c>
      <c r="H18" s="8">
        <v>4.5999999999999996</v>
      </c>
      <c r="I18" s="8">
        <v>4.9000000000000004</v>
      </c>
      <c r="J18" s="8">
        <v>5.2</v>
      </c>
      <c r="K18" s="8">
        <v>6.2</v>
      </c>
      <c r="L18" s="8">
        <v>6.2</v>
      </c>
      <c r="M18" s="8">
        <v>6.2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 t="e">
        <v>#DIV/0!</v>
      </c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1:56" s="3" customFormat="1" ht="18">
      <c r="A19" s="117" t="s">
        <v>37</v>
      </c>
      <c r="B19" s="41">
        <v>0.5</v>
      </c>
      <c r="C19" s="41">
        <v>0.8</v>
      </c>
      <c r="D19" s="41">
        <v>0.9</v>
      </c>
      <c r="E19" s="14">
        <v>1.1000000000000001</v>
      </c>
      <c r="F19" s="14">
        <v>1.2</v>
      </c>
      <c r="G19" s="14">
        <v>1.3</v>
      </c>
      <c r="H19" s="14">
        <v>1.4</v>
      </c>
      <c r="I19" s="14">
        <v>1.5</v>
      </c>
      <c r="J19" s="14">
        <v>1.6</v>
      </c>
      <c r="K19" s="14">
        <v>1.9</v>
      </c>
      <c r="L19" s="14">
        <v>1.9</v>
      </c>
      <c r="M19" s="14">
        <v>1.9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8"/>
      <c r="AM19" s="4"/>
      <c r="AN19" s="4"/>
      <c r="AO19" s="8">
        <v>13.8</v>
      </c>
      <c r="AP19" s="4"/>
      <c r="AQ19" s="4"/>
      <c r="AR19" s="8" t="e">
        <v>#REF!</v>
      </c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</row>
    <row r="20" spans="1:56" s="3" customFormat="1" ht="18">
      <c r="A20" s="3" t="s">
        <v>39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7"/>
      <c r="AM20" s="4"/>
      <c r="AN20" s="4"/>
      <c r="AO20" s="8"/>
      <c r="AP20" s="4">
        <v>12</v>
      </c>
      <c r="AQ20" s="4"/>
      <c r="AR20" s="8" t="e">
        <v>#REF!</v>
      </c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</row>
    <row r="21" spans="1:56" s="3" customFormat="1" ht="18">
      <c r="A21" s="3" t="s">
        <v>40</v>
      </c>
      <c r="B21" s="7"/>
      <c r="C21" s="7"/>
      <c r="D21" s="7"/>
      <c r="E21" s="8"/>
      <c r="F21" s="8"/>
      <c r="G21" s="8"/>
      <c r="H21" s="8"/>
      <c r="I21" s="8"/>
      <c r="J21" s="8"/>
      <c r="K21" s="8"/>
      <c r="L21" s="8"/>
      <c r="M21" s="8"/>
      <c r="N21" s="4">
        <v>3.3820000000000003E-2</v>
      </c>
      <c r="O21" s="4">
        <v>3.3820000000000003E-2</v>
      </c>
      <c r="P21" s="4">
        <v>3.3820000000000003E-2</v>
      </c>
      <c r="Q21" s="4">
        <v>3.3820000000000003E-2</v>
      </c>
      <c r="R21" s="4">
        <v>3.3820000000000003E-2</v>
      </c>
      <c r="S21" s="4">
        <v>3.3820000000000003E-2</v>
      </c>
      <c r="T21" s="4">
        <v>3.3820000000000003E-2</v>
      </c>
      <c r="U21" s="4">
        <v>3.3820000000000003E-2</v>
      </c>
      <c r="V21" s="4">
        <v>3.3820000000000003E-2</v>
      </c>
      <c r="W21" s="4">
        <v>3.3820000000000003E-2</v>
      </c>
      <c r="X21" s="4">
        <v>3.3820000000000003E-2</v>
      </c>
      <c r="Y21" s="4">
        <v>3.3820000000000003E-2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8"/>
      <c r="AM21" s="4"/>
      <c r="AN21" s="4"/>
      <c r="AO21" s="8"/>
      <c r="AP21" s="4">
        <v>0.40584000000000015</v>
      </c>
      <c r="AQ21" s="4"/>
      <c r="AR21" s="8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</row>
    <row r="22" spans="1:56" s="3" customFormat="1" ht="18">
      <c r="A22" s="3" t="s">
        <v>41</v>
      </c>
      <c r="B22" s="7"/>
      <c r="C22" s="7"/>
      <c r="D22" s="7"/>
      <c r="E22" s="8"/>
      <c r="F22" s="8"/>
      <c r="G22" s="8"/>
      <c r="H22" s="8"/>
      <c r="I22" s="8"/>
      <c r="J22" s="8"/>
      <c r="K22" s="8"/>
      <c r="L22" s="8"/>
      <c r="M22" s="8"/>
      <c r="N22" s="4">
        <v>2</v>
      </c>
      <c r="O22" s="4">
        <v>2</v>
      </c>
      <c r="P22" s="4">
        <v>2</v>
      </c>
      <c r="Q22" s="4">
        <v>2</v>
      </c>
      <c r="R22" s="4">
        <v>2</v>
      </c>
      <c r="S22" s="4">
        <v>2</v>
      </c>
      <c r="T22" s="4">
        <v>2</v>
      </c>
      <c r="U22" s="4">
        <v>2</v>
      </c>
      <c r="V22" s="4">
        <v>2</v>
      </c>
      <c r="W22" s="4">
        <v>2</v>
      </c>
      <c r="X22" s="4">
        <v>2</v>
      </c>
      <c r="Y22" s="4">
        <v>2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8"/>
      <c r="AM22" s="4"/>
      <c r="AN22" s="4"/>
      <c r="AO22" s="8"/>
      <c r="AP22" s="4">
        <v>24</v>
      </c>
      <c r="AQ22" s="4"/>
      <c r="AR22" s="8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</row>
    <row r="23" spans="1:56" s="3" customFormat="1" ht="18">
      <c r="A23" s="3" t="s">
        <v>42</v>
      </c>
      <c r="B23" s="7"/>
      <c r="C23" s="7"/>
      <c r="D23" s="7"/>
      <c r="E23" s="8"/>
      <c r="F23" s="8"/>
      <c r="G23" s="8"/>
      <c r="H23" s="8"/>
      <c r="I23" s="8"/>
      <c r="J23" s="8"/>
      <c r="K23" s="8"/>
      <c r="L23" s="8"/>
      <c r="M23" s="8"/>
      <c r="N23" s="39">
        <v>1.0112733333333332</v>
      </c>
      <c r="O23" s="39">
        <v>1.0112733333333332</v>
      </c>
      <c r="P23" s="39">
        <v>1.0112733333333332</v>
      </c>
      <c r="Q23" s="39">
        <v>1.0112733333333332</v>
      </c>
      <c r="R23" s="39">
        <v>1.0112733333333332</v>
      </c>
      <c r="S23" s="39">
        <v>1.0112733333333332</v>
      </c>
      <c r="T23" s="39">
        <v>1.0112733333333332</v>
      </c>
      <c r="U23" s="39">
        <v>1.0112733333333332</v>
      </c>
      <c r="V23" s="39">
        <v>1.0112733333333332</v>
      </c>
      <c r="W23" s="39">
        <v>1.0112733333333332</v>
      </c>
      <c r="X23" s="39">
        <v>1.0112733333333332</v>
      </c>
      <c r="Y23" s="39">
        <v>1.0112733333333332</v>
      </c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8"/>
      <c r="AM23" s="4"/>
      <c r="AN23" s="39"/>
      <c r="AO23" s="8"/>
      <c r="AP23" s="39">
        <v>12.13528</v>
      </c>
      <c r="AQ23" s="39"/>
      <c r="AR23" s="8"/>
      <c r="AS23" s="4"/>
      <c r="AT23" s="39"/>
      <c r="AU23" s="4"/>
      <c r="AV23" s="4"/>
      <c r="AW23" s="4"/>
      <c r="AX23" s="4"/>
      <c r="AY23" s="4"/>
      <c r="AZ23" s="4"/>
      <c r="BA23" s="4"/>
      <c r="BB23" s="4"/>
      <c r="BC23" s="4"/>
      <c r="BD23" s="4"/>
    </row>
    <row r="24" spans="1:56" s="10" customFormat="1" ht="18">
      <c r="A24" s="10" t="s">
        <v>142</v>
      </c>
      <c r="E24" s="11"/>
      <c r="F24" s="11"/>
      <c r="G24" s="11"/>
      <c r="H24" s="12">
        <v>1.6666666666666667</v>
      </c>
      <c r="I24" s="12">
        <v>0.7142857142857143</v>
      </c>
      <c r="J24" s="12">
        <v>0.2</v>
      </c>
      <c r="K24" s="12">
        <v>0.6</v>
      </c>
      <c r="L24" s="12">
        <v>0.4375</v>
      </c>
      <c r="M24" s="12">
        <v>0.3888888888888889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8"/>
      <c r="AM24" s="11"/>
      <c r="AN24" s="11"/>
      <c r="AO24" s="8"/>
      <c r="AP24" s="11"/>
      <c r="AQ24" s="11"/>
      <c r="AR24" s="8" t="e">
        <v>#DIV/0!</v>
      </c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</row>
    <row r="25" spans="1:56" s="3" customFormat="1" ht="18">
      <c r="A25" s="3" t="s">
        <v>43</v>
      </c>
      <c r="E25" s="4"/>
      <c r="F25" s="4"/>
      <c r="G25" s="4"/>
      <c r="H25" s="4"/>
      <c r="I25" s="4"/>
      <c r="J25" s="4"/>
      <c r="K25" s="4"/>
      <c r="L25" s="4"/>
      <c r="M25" s="4"/>
      <c r="N25" s="86">
        <v>1287500</v>
      </c>
      <c r="O25" s="86">
        <v>1287500</v>
      </c>
      <c r="P25" s="86">
        <v>1175000</v>
      </c>
      <c r="Q25" s="86">
        <v>1175000</v>
      </c>
      <c r="R25" s="86">
        <v>1175000</v>
      </c>
      <c r="S25" s="86">
        <v>1175000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8"/>
      <c r="AM25" s="4"/>
      <c r="AN25" s="4"/>
      <c r="AO25" s="8"/>
      <c r="AP25" s="4"/>
      <c r="AQ25" s="4"/>
      <c r="AR25" s="8" t="e">
        <v>#DIV/0!</v>
      </c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</row>
    <row r="26" spans="1:56" s="95" customFormat="1" ht="18">
      <c r="A26" s="95" t="s">
        <v>44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500000</v>
      </c>
      <c r="H26" s="96">
        <v>420000</v>
      </c>
      <c r="I26" s="96">
        <v>500000</v>
      </c>
      <c r="J26" s="96">
        <v>780000</v>
      </c>
      <c r="K26" s="96">
        <v>610000</v>
      </c>
      <c r="L26" s="96">
        <v>460000</v>
      </c>
      <c r="M26" s="96">
        <v>430000</v>
      </c>
      <c r="N26" s="98">
        <v>730614</v>
      </c>
      <c r="O26" s="98">
        <v>904536</v>
      </c>
      <c r="P26" s="98">
        <v>575477</v>
      </c>
      <c r="Q26" s="98">
        <v>789410</v>
      </c>
      <c r="R26" s="98">
        <v>654768</v>
      </c>
      <c r="S26" s="98">
        <v>539796</v>
      </c>
      <c r="T26" s="98">
        <v>484185</v>
      </c>
      <c r="U26" s="98">
        <v>595988</v>
      </c>
      <c r="V26" s="98">
        <v>521641</v>
      </c>
      <c r="W26" s="98">
        <v>809267</v>
      </c>
      <c r="X26" s="98">
        <v>1202467</v>
      </c>
      <c r="Y26" s="98">
        <v>470000</v>
      </c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107">
        <v>3700000</v>
      </c>
      <c r="AM26" s="98">
        <v>8278149</v>
      </c>
      <c r="AN26" s="98"/>
      <c r="AO26" s="107"/>
      <c r="AP26" s="98"/>
      <c r="AQ26" s="98"/>
      <c r="AR26" s="107" t="e">
        <v>#DIV/0!</v>
      </c>
      <c r="AS26" s="98"/>
      <c r="AT26" s="98"/>
      <c r="AU26" s="97"/>
      <c r="AV26" s="97"/>
      <c r="AW26" s="97"/>
      <c r="AX26" s="97"/>
      <c r="AY26" s="97"/>
      <c r="AZ26" s="97"/>
      <c r="BA26" s="97"/>
      <c r="BB26" s="97"/>
      <c r="BC26" s="97"/>
      <c r="BD26" s="97"/>
    </row>
    <row r="27" spans="1:56" s="91" customFormat="1" ht="18">
      <c r="A27" s="91" t="s">
        <v>45</v>
      </c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9">
        <v>0</v>
      </c>
      <c r="O27" s="99">
        <v>220000</v>
      </c>
      <c r="P27" s="99">
        <v>0</v>
      </c>
      <c r="Q27" s="99">
        <v>220000</v>
      </c>
      <c r="R27" s="99">
        <v>55000</v>
      </c>
      <c r="S27" s="99">
        <v>0</v>
      </c>
      <c r="T27" s="99">
        <v>0</v>
      </c>
      <c r="U27" s="99">
        <v>110000</v>
      </c>
      <c r="V27" s="99">
        <v>0</v>
      </c>
      <c r="W27" s="99">
        <v>0</v>
      </c>
      <c r="X27" s="99">
        <v>330000</v>
      </c>
      <c r="Y27" s="99">
        <v>110000</v>
      </c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103"/>
      <c r="AM27" s="98">
        <v>1045000</v>
      </c>
      <c r="AN27" s="99"/>
      <c r="AO27" s="103"/>
      <c r="AP27" s="99"/>
      <c r="AQ27" s="99"/>
      <c r="AR27" s="103"/>
      <c r="AS27" s="99"/>
      <c r="AT27" s="99"/>
      <c r="AU27" s="93"/>
      <c r="AV27" s="93"/>
      <c r="AW27" s="93"/>
      <c r="AX27" s="93"/>
      <c r="AY27" s="93"/>
      <c r="AZ27" s="93"/>
      <c r="BA27" s="93"/>
      <c r="BB27" s="93"/>
      <c r="BC27" s="93"/>
      <c r="BD27" s="93"/>
    </row>
    <row r="28" spans="1:56" s="91" customFormat="1" ht="18">
      <c r="A28" s="91" t="s">
        <v>46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9">
        <v>90000</v>
      </c>
      <c r="O28" s="99">
        <v>30000</v>
      </c>
      <c r="P28" s="99">
        <v>30000</v>
      </c>
      <c r="Q28" s="99">
        <v>30000</v>
      </c>
      <c r="R28" s="99">
        <v>60000</v>
      </c>
      <c r="S28" s="99">
        <v>30000</v>
      </c>
      <c r="T28" s="99">
        <v>0</v>
      </c>
      <c r="U28" s="99">
        <v>0</v>
      </c>
      <c r="V28" s="99">
        <v>30000</v>
      </c>
      <c r="W28" s="99">
        <v>0</v>
      </c>
      <c r="X28" s="99">
        <v>45000</v>
      </c>
      <c r="Y28" s="99">
        <v>105000</v>
      </c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103"/>
      <c r="AM28" s="98">
        <v>450000</v>
      </c>
      <c r="AN28" s="99"/>
      <c r="AO28" s="103"/>
      <c r="AP28" s="99"/>
      <c r="AQ28" s="99"/>
      <c r="AR28" s="103"/>
      <c r="AS28" s="99"/>
      <c r="AT28" s="99"/>
      <c r="AU28" s="93"/>
      <c r="AV28" s="93"/>
      <c r="AW28" s="93"/>
      <c r="AX28" s="93"/>
      <c r="AY28" s="93"/>
      <c r="AZ28" s="93"/>
      <c r="BA28" s="93"/>
      <c r="BB28" s="93"/>
      <c r="BC28" s="93"/>
      <c r="BD28" s="93"/>
    </row>
    <row r="29" spans="1:56" s="91" customFormat="1" ht="18">
      <c r="A29" s="91" t="s">
        <v>47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103"/>
      <c r="AM29" s="98">
        <v>0</v>
      </c>
      <c r="AN29" s="99"/>
      <c r="AO29" s="103"/>
      <c r="AP29" s="99"/>
      <c r="AQ29" s="99"/>
      <c r="AR29" s="103"/>
      <c r="AS29" s="99"/>
      <c r="AT29" s="99"/>
      <c r="AU29" s="93"/>
      <c r="AV29" s="93"/>
      <c r="AW29" s="93"/>
      <c r="AX29" s="93"/>
      <c r="AY29" s="93"/>
      <c r="AZ29" s="93"/>
      <c r="BA29" s="93"/>
      <c r="BB29" s="93"/>
      <c r="BC29" s="93"/>
      <c r="BD29" s="93"/>
    </row>
    <row r="30" spans="1:56" s="91" customFormat="1" ht="18">
      <c r="A30" s="91" t="s">
        <v>48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9">
        <v>0</v>
      </c>
      <c r="O30" s="99">
        <v>10000</v>
      </c>
      <c r="P30" s="99">
        <v>20000</v>
      </c>
      <c r="Q30" s="99">
        <v>10000</v>
      </c>
      <c r="R30" s="99">
        <v>10000</v>
      </c>
      <c r="S30" s="99">
        <v>0</v>
      </c>
      <c r="T30" s="99">
        <v>0</v>
      </c>
      <c r="U30" s="99">
        <v>0</v>
      </c>
      <c r="V30" s="99">
        <v>0</v>
      </c>
      <c r="W30" s="99">
        <v>355000</v>
      </c>
      <c r="X30" s="99">
        <v>355000</v>
      </c>
      <c r="Y30" s="99">
        <v>0</v>
      </c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103"/>
      <c r="AM30" s="98">
        <v>760000</v>
      </c>
      <c r="AN30" s="99"/>
      <c r="AO30" s="103"/>
      <c r="AP30" s="99"/>
      <c r="AQ30" s="99"/>
      <c r="AR30" s="103"/>
      <c r="AS30" s="99"/>
      <c r="AT30" s="99"/>
      <c r="AU30" s="93"/>
      <c r="AV30" s="93"/>
      <c r="AW30" s="93"/>
      <c r="AX30" s="93"/>
      <c r="AY30" s="93"/>
      <c r="AZ30" s="93"/>
      <c r="BA30" s="93"/>
      <c r="BB30" s="93"/>
      <c r="BC30" s="93"/>
      <c r="BD30" s="93"/>
    </row>
    <row r="31" spans="1:56" s="91" customFormat="1" ht="18">
      <c r="A31" s="91" t="s">
        <v>49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9">
        <v>153114</v>
      </c>
      <c r="O31" s="99">
        <v>157036</v>
      </c>
      <c r="P31" s="99">
        <v>150477</v>
      </c>
      <c r="Q31" s="99">
        <v>154410</v>
      </c>
      <c r="R31" s="99">
        <v>154768</v>
      </c>
      <c r="S31" s="99">
        <v>134796</v>
      </c>
      <c r="T31" s="99">
        <v>229185</v>
      </c>
      <c r="U31" s="99">
        <v>230988</v>
      </c>
      <c r="V31" s="99">
        <v>236641</v>
      </c>
      <c r="W31" s="99">
        <v>199267</v>
      </c>
      <c r="X31" s="99">
        <v>217467</v>
      </c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103"/>
      <c r="AM31" s="98">
        <v>2018149</v>
      </c>
      <c r="AN31" s="99"/>
      <c r="AO31" s="103"/>
      <c r="AP31" s="99"/>
      <c r="AQ31" s="99"/>
      <c r="AR31" s="103"/>
      <c r="AS31" s="99"/>
      <c r="AT31" s="99"/>
      <c r="AU31" s="93"/>
      <c r="AV31" s="93"/>
      <c r="AW31" s="93"/>
      <c r="AX31" s="93"/>
      <c r="AY31" s="93"/>
      <c r="AZ31" s="93"/>
      <c r="BA31" s="93"/>
      <c r="BB31" s="93"/>
      <c r="BC31" s="93"/>
      <c r="BD31" s="93"/>
    </row>
    <row r="32" spans="1:56" s="91" customFormat="1" ht="18">
      <c r="A32" s="91" t="s">
        <v>50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55000</v>
      </c>
      <c r="U32" s="99">
        <v>55000</v>
      </c>
      <c r="V32" s="99">
        <v>55000</v>
      </c>
      <c r="W32" s="99">
        <v>55000</v>
      </c>
      <c r="X32" s="99">
        <v>55000</v>
      </c>
      <c r="Y32" s="99">
        <v>55000</v>
      </c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103"/>
      <c r="AM32" s="98">
        <v>330000</v>
      </c>
      <c r="AN32" s="99"/>
      <c r="AO32" s="103"/>
      <c r="AP32" s="99"/>
      <c r="AQ32" s="99"/>
      <c r="AR32" s="103"/>
      <c r="AS32" s="99"/>
      <c r="AT32" s="99"/>
      <c r="AU32" s="93"/>
      <c r="AV32" s="93"/>
      <c r="AW32" s="93"/>
      <c r="AX32" s="93"/>
      <c r="AY32" s="93"/>
      <c r="AZ32" s="93"/>
      <c r="BA32" s="93"/>
      <c r="BB32" s="93"/>
      <c r="BC32" s="93"/>
      <c r="BD32" s="93"/>
    </row>
    <row r="33" spans="1:56" s="91" customFormat="1" ht="18">
      <c r="A33" s="91" t="s">
        <v>51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9">
        <v>487500</v>
      </c>
      <c r="O33" s="99">
        <v>487500</v>
      </c>
      <c r="P33" s="99">
        <v>375000</v>
      </c>
      <c r="Q33" s="99">
        <v>375000</v>
      </c>
      <c r="R33" s="99">
        <v>375000</v>
      </c>
      <c r="S33" s="99">
        <v>375000</v>
      </c>
      <c r="T33" s="99">
        <v>200000</v>
      </c>
      <c r="U33" s="99">
        <v>200000</v>
      </c>
      <c r="V33" s="99">
        <v>200000</v>
      </c>
      <c r="W33" s="99">
        <v>200000</v>
      </c>
      <c r="X33" s="99">
        <v>200000</v>
      </c>
      <c r="Y33" s="99">
        <v>200000</v>
      </c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103"/>
      <c r="AM33" s="98">
        <v>3675000</v>
      </c>
      <c r="AN33" s="99"/>
      <c r="AO33" s="103"/>
      <c r="AP33" s="99"/>
      <c r="AQ33" s="99"/>
      <c r="AR33" s="103"/>
      <c r="AS33" s="99"/>
      <c r="AT33" s="99"/>
      <c r="AU33" s="93"/>
      <c r="AV33" s="93"/>
      <c r="AW33" s="93"/>
      <c r="AX33" s="93"/>
      <c r="AY33" s="93"/>
      <c r="AZ33" s="93"/>
      <c r="BA33" s="93"/>
      <c r="BB33" s="93"/>
      <c r="BC33" s="93"/>
      <c r="BD33" s="93"/>
    </row>
    <row r="34" spans="1:56" s="91" customFormat="1" ht="18">
      <c r="A34" s="91" t="s">
        <v>52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9">
        <v>0</v>
      </c>
      <c r="O34" s="99">
        <v>0</v>
      </c>
      <c r="P34" s="99">
        <v>0</v>
      </c>
      <c r="Q34" s="99">
        <v>0</v>
      </c>
      <c r="R34" s="99">
        <v>0</v>
      </c>
      <c r="S34" s="99">
        <v>0</v>
      </c>
      <c r="T34" s="99">
        <v>0</v>
      </c>
      <c r="U34" s="99">
        <v>0</v>
      </c>
      <c r="V34" s="99">
        <v>0</v>
      </c>
      <c r="W34" s="99">
        <v>0</v>
      </c>
      <c r="X34" s="99">
        <v>0</v>
      </c>
      <c r="Y34" s="99">
        <v>0</v>
      </c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103"/>
      <c r="AM34" s="98">
        <v>0</v>
      </c>
      <c r="AN34" s="99"/>
      <c r="AO34" s="103"/>
      <c r="AP34" s="99"/>
      <c r="AQ34" s="99"/>
      <c r="AR34" s="103"/>
      <c r="AS34" s="99"/>
      <c r="AT34" s="99"/>
      <c r="AU34" s="93"/>
      <c r="AV34" s="93"/>
      <c r="AW34" s="93"/>
      <c r="AX34" s="93"/>
      <c r="AY34" s="93"/>
      <c r="AZ34" s="93"/>
      <c r="BA34" s="93"/>
      <c r="BB34" s="93"/>
      <c r="BC34" s="93"/>
      <c r="BD34" s="93"/>
    </row>
    <row r="35" spans="1:56" s="87" customFormat="1" ht="18">
      <c r="A35" s="87" t="s">
        <v>53</v>
      </c>
      <c r="B35" s="88" t="s">
        <v>143</v>
      </c>
      <c r="C35" s="88" t="s">
        <v>143</v>
      </c>
      <c r="D35" s="88" t="s">
        <v>143</v>
      </c>
      <c r="E35" s="88" t="s">
        <v>143</v>
      </c>
      <c r="F35" s="88" t="s">
        <v>143</v>
      </c>
      <c r="G35" s="88">
        <v>83333.333333333328</v>
      </c>
      <c r="H35" s="88">
        <v>21000</v>
      </c>
      <c r="I35" s="88">
        <v>35714.285714285717</v>
      </c>
      <c r="J35" s="88">
        <v>26896.551724137931</v>
      </c>
      <c r="K35" s="88">
        <v>35882.352941176468</v>
      </c>
      <c r="L35" s="88">
        <v>24210.526315789473</v>
      </c>
      <c r="M35" s="88">
        <v>20476.190476190477</v>
      </c>
      <c r="N35" s="100">
        <v>22139.81818181818</v>
      </c>
      <c r="O35" s="100">
        <v>45226.8</v>
      </c>
      <c r="P35" s="100">
        <v>44267.461538461539</v>
      </c>
      <c r="Q35" s="100">
        <v>52627.333333333336</v>
      </c>
      <c r="R35" s="100">
        <v>14881.09090909091</v>
      </c>
      <c r="S35" s="100">
        <v>18613.655172413793</v>
      </c>
      <c r="T35" s="100">
        <v>24353.8</v>
      </c>
      <c r="U35" s="100">
        <v>38453.368421052633</v>
      </c>
      <c r="V35" s="100">
        <v>31765.82608695652</v>
      </c>
      <c r="W35" s="100">
        <v>52186.714285714283</v>
      </c>
      <c r="X35" s="100">
        <v>56201.076923076922</v>
      </c>
      <c r="Y35" s="100">
        <v>56201.076923076922</v>
      </c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3">
        <v>9248.2784810126577</v>
      </c>
      <c r="AM35" s="100">
        <v>31120.860902255637</v>
      </c>
      <c r="AN35" s="100"/>
      <c r="AO35" s="103"/>
      <c r="AP35" s="100"/>
      <c r="AQ35" s="100"/>
      <c r="AR35" s="103" t="e">
        <v>#DIV/0!</v>
      </c>
      <c r="AS35" s="100"/>
      <c r="AT35" s="100"/>
      <c r="AU35" s="89"/>
      <c r="AV35" s="89"/>
      <c r="AW35" s="89"/>
      <c r="AX35" s="89"/>
      <c r="AY35" s="89"/>
      <c r="AZ35" s="89"/>
      <c r="BA35" s="89"/>
      <c r="BB35" s="89"/>
      <c r="BC35" s="89"/>
      <c r="BD35" s="89"/>
    </row>
    <row r="36" spans="1:56" s="87" customFormat="1" ht="18" hidden="1">
      <c r="A36" s="87" t="s">
        <v>144</v>
      </c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3"/>
      <c r="AM36" s="100"/>
      <c r="AN36" s="100"/>
      <c r="AO36" s="103"/>
      <c r="AP36" s="100"/>
      <c r="AQ36" s="100"/>
      <c r="AR36" s="103"/>
      <c r="AS36" s="100"/>
      <c r="AT36" s="100"/>
      <c r="AU36" s="89"/>
      <c r="AV36" s="89"/>
      <c r="AW36" s="89"/>
      <c r="AX36" s="89"/>
      <c r="AY36" s="89"/>
      <c r="AZ36" s="89"/>
      <c r="BA36" s="89"/>
      <c r="BB36" s="89"/>
      <c r="BC36" s="89"/>
      <c r="BD36" s="89"/>
    </row>
    <row r="37" spans="1:56" s="87" customFormat="1" ht="18" hidden="1">
      <c r="A37" s="87" t="s">
        <v>145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3"/>
      <c r="AM37" s="100"/>
      <c r="AN37" s="100"/>
      <c r="AO37" s="103"/>
      <c r="AP37" s="100"/>
      <c r="AQ37" s="100"/>
      <c r="AR37" s="103"/>
      <c r="AS37" s="100"/>
      <c r="AT37" s="100"/>
      <c r="AU37" s="89"/>
      <c r="AV37" s="89"/>
      <c r="AW37" s="89"/>
      <c r="AX37" s="89"/>
      <c r="AY37" s="89"/>
      <c r="AZ37" s="89"/>
      <c r="BA37" s="89"/>
      <c r="BB37" s="89"/>
      <c r="BC37" s="89"/>
      <c r="BD37" s="89"/>
    </row>
    <row r="38" spans="1:56" s="87" customFormat="1" ht="18" hidden="1">
      <c r="A38" s="87" t="s">
        <v>146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3"/>
      <c r="AM38" s="100"/>
      <c r="AN38" s="100"/>
      <c r="AO38" s="103"/>
      <c r="AP38" s="100"/>
      <c r="AQ38" s="100"/>
      <c r="AR38" s="103"/>
      <c r="AS38" s="100"/>
      <c r="AT38" s="100"/>
      <c r="AU38" s="89"/>
      <c r="AV38" s="89"/>
      <c r="AW38" s="89"/>
      <c r="AX38" s="89"/>
      <c r="AY38" s="89"/>
      <c r="AZ38" s="89"/>
      <c r="BA38" s="89"/>
      <c r="BB38" s="89"/>
      <c r="BC38" s="89"/>
      <c r="BD38" s="89"/>
    </row>
    <row r="39" spans="1:56" s="87" customFormat="1" ht="18" hidden="1">
      <c r="A39" s="87" t="s">
        <v>147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3"/>
      <c r="AM39" s="100"/>
      <c r="AN39" s="100"/>
      <c r="AO39" s="103"/>
      <c r="AP39" s="100"/>
      <c r="AQ39" s="100"/>
      <c r="AR39" s="103"/>
      <c r="AS39" s="100"/>
      <c r="AT39" s="100"/>
      <c r="AU39" s="89"/>
      <c r="AV39" s="89"/>
      <c r="AW39" s="89"/>
      <c r="AX39" s="89"/>
      <c r="AY39" s="89"/>
      <c r="AZ39" s="89"/>
      <c r="BA39" s="89"/>
      <c r="BB39" s="89"/>
      <c r="BC39" s="89"/>
      <c r="BD39" s="89"/>
    </row>
    <row r="40" spans="1:56" s="87" customFormat="1" ht="18" hidden="1">
      <c r="A40" s="87" t="s">
        <v>148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3"/>
      <c r="AM40" s="100"/>
      <c r="AN40" s="100"/>
      <c r="AO40" s="103"/>
      <c r="AP40" s="100"/>
      <c r="AQ40" s="100"/>
      <c r="AR40" s="103"/>
      <c r="AS40" s="100"/>
      <c r="AT40" s="100"/>
      <c r="AU40" s="89"/>
      <c r="AV40" s="89"/>
      <c r="AW40" s="89"/>
      <c r="AX40" s="89"/>
      <c r="AY40" s="89"/>
      <c r="AZ40" s="89"/>
      <c r="BA40" s="89"/>
      <c r="BB40" s="89"/>
      <c r="BC40" s="89"/>
      <c r="BD40" s="89"/>
    </row>
    <row r="41" spans="1:56" s="87" customFormat="1" ht="18" hidden="1">
      <c r="A41" s="87" t="s">
        <v>149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3"/>
      <c r="AM41" s="100"/>
      <c r="AN41" s="100"/>
      <c r="AO41" s="103"/>
      <c r="AP41" s="100"/>
      <c r="AQ41" s="100"/>
      <c r="AR41" s="103"/>
      <c r="AS41" s="100"/>
      <c r="AT41" s="100"/>
      <c r="AU41" s="89"/>
      <c r="AV41" s="89"/>
      <c r="AW41" s="89"/>
      <c r="AX41" s="89"/>
      <c r="AY41" s="89"/>
      <c r="AZ41" s="89"/>
      <c r="BA41" s="89"/>
      <c r="BB41" s="89"/>
      <c r="BC41" s="89"/>
      <c r="BD41" s="89"/>
    </row>
    <row r="42" spans="1:56" s="87" customFormat="1" ht="18" hidden="1">
      <c r="A42" s="87" t="s">
        <v>150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3"/>
      <c r="AM42" s="100"/>
      <c r="AN42" s="100"/>
      <c r="AO42" s="103"/>
      <c r="AP42" s="100"/>
      <c r="AQ42" s="100"/>
      <c r="AR42" s="103"/>
      <c r="AS42" s="100"/>
      <c r="AT42" s="100"/>
      <c r="AU42" s="89"/>
      <c r="AV42" s="89"/>
      <c r="AW42" s="89"/>
      <c r="AX42" s="89"/>
      <c r="AY42" s="89"/>
      <c r="AZ42" s="89"/>
      <c r="BA42" s="89"/>
      <c r="BB42" s="89"/>
      <c r="BC42" s="89"/>
      <c r="BD42" s="89"/>
    </row>
    <row r="43" spans="1:56" s="87" customFormat="1" ht="18" hidden="1">
      <c r="A43" s="87" t="s">
        <v>151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3"/>
      <c r="AM43" s="100"/>
      <c r="AN43" s="100"/>
      <c r="AO43" s="103"/>
      <c r="AP43" s="100"/>
      <c r="AQ43" s="100"/>
      <c r="AR43" s="103"/>
      <c r="AS43" s="100"/>
      <c r="AT43" s="100"/>
      <c r="AU43" s="89"/>
      <c r="AV43" s="89"/>
      <c r="AW43" s="89"/>
      <c r="AX43" s="89"/>
      <c r="AY43" s="89"/>
      <c r="AZ43" s="89"/>
      <c r="BA43" s="89"/>
      <c r="BB43" s="89"/>
      <c r="BC43" s="89"/>
      <c r="BD43" s="89"/>
    </row>
    <row r="44" spans="1:56" s="87" customFormat="1" ht="18">
      <c r="A44" s="87" t="s">
        <v>54</v>
      </c>
      <c r="B44" s="88" t="s">
        <v>143</v>
      </c>
      <c r="C44" s="88" t="s">
        <v>143</v>
      </c>
      <c r="D44" s="88" t="s">
        <v>143</v>
      </c>
      <c r="E44" s="88" t="s">
        <v>143</v>
      </c>
      <c r="F44" s="88" t="s">
        <v>143</v>
      </c>
      <c r="G44" s="88" t="s">
        <v>143</v>
      </c>
      <c r="H44" s="88" t="s">
        <v>143</v>
      </c>
      <c r="I44" s="88">
        <v>500000</v>
      </c>
      <c r="J44" s="88">
        <v>156000</v>
      </c>
      <c r="K44" s="88" t="s">
        <v>143</v>
      </c>
      <c r="L44" s="88">
        <v>230000</v>
      </c>
      <c r="M44" s="88">
        <v>430000</v>
      </c>
      <c r="N44" s="100">
        <v>365307</v>
      </c>
      <c r="O44" s="100">
        <v>180907.2</v>
      </c>
      <c r="P44" s="100">
        <v>191825.66666666666</v>
      </c>
      <c r="Q44" s="100">
        <v>197352.5</v>
      </c>
      <c r="R44" s="100">
        <v>218256</v>
      </c>
      <c r="S44" s="100">
        <v>89966</v>
      </c>
      <c r="T44" s="100">
        <v>60523.125</v>
      </c>
      <c r="U44" s="100">
        <v>297994</v>
      </c>
      <c r="V44" s="100">
        <v>130410.25</v>
      </c>
      <c r="W44" s="100">
        <v>269755.66666666669</v>
      </c>
      <c r="X44" s="100">
        <v>400822.33333333331</v>
      </c>
      <c r="Y44" s="100">
        <v>235000</v>
      </c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3">
        <v>81179.333333333328</v>
      </c>
      <c r="AM44" s="100">
        <v>359919.52173913043</v>
      </c>
      <c r="AN44" s="100"/>
      <c r="AO44" s="103"/>
      <c r="AP44" s="100"/>
      <c r="AQ44" s="100"/>
      <c r="AR44" s="103" t="e">
        <v>#DIV/0!</v>
      </c>
      <c r="AS44" s="100"/>
      <c r="AT44" s="100"/>
      <c r="AU44" s="89"/>
      <c r="AV44" s="89"/>
      <c r="AW44" s="89"/>
      <c r="AX44" s="89"/>
      <c r="AY44" s="89"/>
      <c r="AZ44" s="89"/>
      <c r="BA44" s="89"/>
      <c r="BB44" s="89"/>
      <c r="BC44" s="89"/>
      <c r="BD44" s="89"/>
    </row>
    <row r="45" spans="1:56" s="87" customFormat="1" ht="18" hidden="1">
      <c r="A45" s="87" t="s">
        <v>152</v>
      </c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3"/>
      <c r="AM45" s="100"/>
      <c r="AN45" s="100"/>
      <c r="AO45" s="103"/>
      <c r="AP45" s="100"/>
      <c r="AQ45" s="100"/>
      <c r="AR45" s="103"/>
      <c r="AS45" s="100"/>
      <c r="AT45" s="100"/>
      <c r="AU45" s="89"/>
      <c r="AV45" s="89"/>
      <c r="AW45" s="89"/>
      <c r="AX45" s="89"/>
      <c r="AY45" s="89"/>
      <c r="AZ45" s="89"/>
      <c r="BA45" s="89"/>
      <c r="BB45" s="89"/>
      <c r="BC45" s="89"/>
      <c r="BD45" s="89"/>
    </row>
    <row r="46" spans="1:56" s="87" customFormat="1" ht="18" hidden="1">
      <c r="A46" s="87" t="s">
        <v>153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3"/>
      <c r="AM46" s="100"/>
      <c r="AN46" s="100"/>
      <c r="AO46" s="103"/>
      <c r="AP46" s="100"/>
      <c r="AQ46" s="100"/>
      <c r="AR46" s="103"/>
      <c r="AS46" s="100"/>
      <c r="AT46" s="100"/>
      <c r="AU46" s="89"/>
      <c r="AV46" s="89"/>
      <c r="AW46" s="89"/>
      <c r="AX46" s="89"/>
      <c r="AY46" s="89"/>
      <c r="AZ46" s="89"/>
      <c r="BA46" s="89"/>
      <c r="BB46" s="89"/>
      <c r="BC46" s="89"/>
      <c r="BD46" s="89"/>
    </row>
    <row r="47" spans="1:56" s="87" customFormat="1" ht="18" hidden="1">
      <c r="A47" s="87" t="s">
        <v>154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3"/>
      <c r="AM47" s="100"/>
      <c r="AN47" s="100"/>
      <c r="AO47" s="103"/>
      <c r="AP47" s="100"/>
      <c r="AQ47" s="100"/>
      <c r="AR47" s="103"/>
      <c r="AS47" s="100"/>
      <c r="AT47" s="100"/>
      <c r="AU47" s="89"/>
      <c r="AV47" s="89"/>
      <c r="AW47" s="89"/>
      <c r="AX47" s="89"/>
      <c r="AY47" s="89"/>
      <c r="AZ47" s="89"/>
      <c r="BA47" s="89"/>
      <c r="BB47" s="89"/>
      <c r="BC47" s="89"/>
      <c r="BD47" s="89"/>
    </row>
    <row r="48" spans="1:56" s="87" customFormat="1" ht="18" hidden="1">
      <c r="A48" s="87" t="s">
        <v>155</v>
      </c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3"/>
      <c r="AM48" s="100"/>
      <c r="AN48" s="100"/>
      <c r="AO48" s="103"/>
      <c r="AP48" s="100"/>
      <c r="AQ48" s="100"/>
      <c r="AR48" s="103"/>
      <c r="AS48" s="100"/>
      <c r="AT48" s="100"/>
      <c r="AU48" s="89"/>
      <c r="AV48" s="89"/>
      <c r="AW48" s="89"/>
      <c r="AX48" s="89"/>
      <c r="AY48" s="89"/>
      <c r="AZ48" s="89"/>
      <c r="BA48" s="89"/>
      <c r="BB48" s="89"/>
      <c r="BC48" s="89"/>
      <c r="BD48" s="89"/>
    </row>
    <row r="49" spans="1:56" s="87" customFormat="1" ht="18" hidden="1">
      <c r="A49" s="87" t="s">
        <v>156</v>
      </c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3"/>
      <c r="AM49" s="100"/>
      <c r="AN49" s="100"/>
      <c r="AO49" s="103"/>
      <c r="AP49" s="100"/>
      <c r="AQ49" s="100"/>
      <c r="AR49" s="103"/>
      <c r="AS49" s="100"/>
      <c r="AT49" s="100"/>
      <c r="AU49" s="89"/>
      <c r="AV49" s="89"/>
      <c r="AW49" s="89"/>
      <c r="AX49" s="89"/>
      <c r="AY49" s="89"/>
      <c r="AZ49" s="89"/>
      <c r="BA49" s="89"/>
      <c r="BB49" s="89"/>
      <c r="BC49" s="89"/>
      <c r="BD49" s="89"/>
    </row>
    <row r="50" spans="1:56" s="87" customFormat="1" ht="18" hidden="1">
      <c r="A50" s="87" t="s">
        <v>157</v>
      </c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3"/>
      <c r="AM50" s="100"/>
      <c r="AN50" s="100"/>
      <c r="AO50" s="103"/>
      <c r="AP50" s="100"/>
      <c r="AQ50" s="100"/>
      <c r="AR50" s="103"/>
      <c r="AS50" s="100"/>
      <c r="AT50" s="100"/>
      <c r="AU50" s="89"/>
      <c r="AV50" s="89"/>
      <c r="AW50" s="89"/>
      <c r="AX50" s="89"/>
      <c r="AY50" s="89"/>
      <c r="AZ50" s="89"/>
      <c r="BA50" s="89"/>
      <c r="BB50" s="89"/>
      <c r="BC50" s="89"/>
      <c r="BD50" s="89"/>
    </row>
    <row r="51" spans="1:56" s="87" customFormat="1" ht="18" hidden="1">
      <c r="A51" s="87" t="s">
        <v>158</v>
      </c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3"/>
      <c r="AM51" s="100"/>
      <c r="AN51" s="100"/>
      <c r="AO51" s="103"/>
      <c r="AP51" s="100"/>
      <c r="AQ51" s="100"/>
      <c r="AR51" s="103"/>
      <c r="AS51" s="100"/>
      <c r="AT51" s="100"/>
      <c r="AU51" s="89"/>
      <c r="AV51" s="89"/>
      <c r="AW51" s="89"/>
      <c r="AX51" s="89"/>
      <c r="AY51" s="89"/>
      <c r="AZ51" s="89"/>
      <c r="BA51" s="89"/>
      <c r="BB51" s="89"/>
      <c r="BC51" s="89"/>
      <c r="BD51" s="89"/>
    </row>
    <row r="52" spans="1:56" s="87" customFormat="1" ht="18" hidden="1">
      <c r="A52" s="87" t="s">
        <v>159</v>
      </c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3"/>
      <c r="AM52" s="100"/>
      <c r="AN52" s="100"/>
      <c r="AO52" s="103"/>
      <c r="AP52" s="100"/>
      <c r="AQ52" s="100"/>
      <c r="AR52" s="103"/>
      <c r="AS52" s="100"/>
      <c r="AT52" s="100"/>
      <c r="AU52" s="89"/>
      <c r="AV52" s="89"/>
      <c r="AW52" s="89"/>
      <c r="AX52" s="89"/>
      <c r="AY52" s="89"/>
      <c r="AZ52" s="89"/>
      <c r="BA52" s="89"/>
      <c r="BB52" s="89"/>
      <c r="BC52" s="89"/>
      <c r="BD52" s="89"/>
    </row>
    <row r="53" spans="1:56" s="87" customFormat="1" ht="18">
      <c r="A53" s="87" t="s">
        <v>55</v>
      </c>
      <c r="B53" s="88" t="s">
        <v>143</v>
      </c>
      <c r="C53" s="88" t="s">
        <v>143</v>
      </c>
      <c r="D53" s="88" t="s">
        <v>143</v>
      </c>
      <c r="E53" s="88" t="s">
        <v>143</v>
      </c>
      <c r="F53" s="88" t="s">
        <v>143</v>
      </c>
      <c r="G53" s="88" t="s">
        <v>143</v>
      </c>
      <c r="H53" s="88" t="s">
        <v>143</v>
      </c>
      <c r="I53" s="88" t="s">
        <v>143</v>
      </c>
      <c r="J53" s="88" t="s">
        <v>143</v>
      </c>
      <c r="K53" s="88" t="s">
        <v>143</v>
      </c>
      <c r="L53" s="88">
        <v>460000</v>
      </c>
      <c r="M53" s="88" t="s">
        <v>143</v>
      </c>
      <c r="N53" s="100">
        <v>0</v>
      </c>
      <c r="O53" s="100">
        <v>0</v>
      </c>
      <c r="P53" s="100">
        <v>575477</v>
      </c>
      <c r="Q53" s="100">
        <v>0</v>
      </c>
      <c r="R53" s="100">
        <v>0</v>
      </c>
      <c r="S53" s="100">
        <v>0</v>
      </c>
      <c r="T53" s="100">
        <v>242092.5</v>
      </c>
      <c r="U53" s="100">
        <v>0</v>
      </c>
      <c r="V53" s="100">
        <v>521641</v>
      </c>
      <c r="W53" s="100">
        <v>0</v>
      </c>
      <c r="X53" s="100">
        <v>1202467</v>
      </c>
      <c r="Y53" s="100">
        <v>0</v>
      </c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3">
        <v>730614</v>
      </c>
      <c r="AM53" s="100">
        <v>8278149</v>
      </c>
      <c r="AN53" s="100"/>
      <c r="AO53" s="103"/>
      <c r="AP53" s="100"/>
      <c r="AQ53" s="100"/>
      <c r="AR53" s="103" t="e">
        <v>#DIV/0!</v>
      </c>
      <c r="AS53" s="100"/>
      <c r="AT53" s="100"/>
      <c r="AU53" s="89"/>
      <c r="AV53" s="89"/>
      <c r="AW53" s="89"/>
      <c r="AX53" s="89"/>
      <c r="AY53" s="89"/>
      <c r="AZ53" s="89"/>
      <c r="BA53" s="89"/>
      <c r="BB53" s="89"/>
      <c r="BC53" s="89"/>
      <c r="BD53" s="89"/>
    </row>
    <row r="54" spans="1:56" s="87" customFormat="1" ht="18" hidden="1">
      <c r="A54" s="87" t="s">
        <v>160</v>
      </c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3"/>
      <c r="AM54" s="100"/>
      <c r="AN54" s="100"/>
      <c r="AO54" s="103"/>
      <c r="AP54" s="100"/>
      <c r="AQ54" s="100"/>
      <c r="AR54" s="103"/>
      <c r="AS54" s="100"/>
      <c r="AT54" s="100"/>
      <c r="AU54" s="89"/>
      <c r="AV54" s="89"/>
      <c r="AW54" s="89"/>
      <c r="AX54" s="89"/>
      <c r="AY54" s="89"/>
      <c r="AZ54" s="89"/>
      <c r="BA54" s="89"/>
      <c r="BB54" s="89"/>
      <c r="BC54" s="89"/>
      <c r="BD54" s="89"/>
    </row>
    <row r="55" spans="1:56" s="87" customFormat="1" ht="18" hidden="1">
      <c r="A55" s="87" t="s">
        <v>161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3"/>
      <c r="AM55" s="100"/>
      <c r="AN55" s="100"/>
      <c r="AO55" s="103"/>
      <c r="AP55" s="100"/>
      <c r="AQ55" s="100"/>
      <c r="AR55" s="103"/>
      <c r="AS55" s="100"/>
      <c r="AT55" s="100"/>
      <c r="AU55" s="89"/>
      <c r="AV55" s="89"/>
      <c r="AW55" s="89"/>
      <c r="AX55" s="89"/>
      <c r="AY55" s="89"/>
      <c r="AZ55" s="89"/>
      <c r="BA55" s="89"/>
      <c r="BB55" s="89"/>
      <c r="BC55" s="89"/>
      <c r="BD55" s="89"/>
    </row>
    <row r="56" spans="1:56" s="87" customFormat="1" ht="18" hidden="1">
      <c r="A56" s="87" t="s">
        <v>162</v>
      </c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3"/>
      <c r="AM56" s="100"/>
      <c r="AN56" s="100"/>
      <c r="AO56" s="103"/>
      <c r="AP56" s="100"/>
      <c r="AQ56" s="100"/>
      <c r="AR56" s="103"/>
      <c r="AS56" s="100"/>
      <c r="AT56" s="100"/>
      <c r="AU56" s="89"/>
      <c r="AV56" s="89"/>
      <c r="AW56" s="89"/>
      <c r="AX56" s="89"/>
      <c r="AY56" s="89"/>
      <c r="AZ56" s="89"/>
      <c r="BA56" s="89"/>
      <c r="BB56" s="89"/>
      <c r="BC56" s="89"/>
      <c r="BD56" s="89"/>
    </row>
    <row r="57" spans="1:56" s="87" customFormat="1" ht="18" hidden="1">
      <c r="A57" s="87" t="s">
        <v>163</v>
      </c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3"/>
      <c r="AM57" s="100"/>
      <c r="AN57" s="100"/>
      <c r="AO57" s="103"/>
      <c r="AP57" s="100"/>
      <c r="AQ57" s="100"/>
      <c r="AR57" s="103"/>
      <c r="AS57" s="100"/>
      <c r="AT57" s="100"/>
      <c r="AU57" s="89"/>
      <c r="AV57" s="89"/>
      <c r="AW57" s="89"/>
      <c r="AX57" s="89"/>
      <c r="AY57" s="89"/>
      <c r="AZ57" s="89"/>
      <c r="BA57" s="89"/>
      <c r="BB57" s="89"/>
      <c r="BC57" s="89"/>
      <c r="BD57" s="89"/>
    </row>
    <row r="58" spans="1:56" s="87" customFormat="1" ht="18" hidden="1">
      <c r="A58" s="87" t="s">
        <v>164</v>
      </c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3"/>
      <c r="AM58" s="100"/>
      <c r="AN58" s="100"/>
      <c r="AO58" s="103"/>
      <c r="AP58" s="100"/>
      <c r="AQ58" s="100"/>
      <c r="AR58" s="103"/>
      <c r="AS58" s="100"/>
      <c r="AT58" s="100"/>
      <c r="AU58" s="89"/>
      <c r="AV58" s="89"/>
      <c r="AW58" s="89"/>
      <c r="AX58" s="89"/>
      <c r="AY58" s="89"/>
      <c r="AZ58" s="89"/>
      <c r="BA58" s="89"/>
      <c r="BB58" s="89"/>
      <c r="BC58" s="89"/>
      <c r="BD58" s="89"/>
    </row>
    <row r="59" spans="1:56" s="87" customFormat="1" ht="18" hidden="1">
      <c r="A59" s="87" t="s">
        <v>165</v>
      </c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3"/>
      <c r="AM59" s="100"/>
      <c r="AN59" s="100"/>
      <c r="AO59" s="103"/>
      <c r="AP59" s="100"/>
      <c r="AQ59" s="100"/>
      <c r="AR59" s="103"/>
      <c r="AS59" s="100"/>
      <c r="AT59" s="100"/>
      <c r="AU59" s="89"/>
      <c r="AV59" s="89"/>
      <c r="AW59" s="89"/>
      <c r="AX59" s="89"/>
      <c r="AY59" s="89"/>
      <c r="AZ59" s="89"/>
      <c r="BA59" s="89"/>
      <c r="BB59" s="89"/>
      <c r="BC59" s="89"/>
      <c r="BD59" s="89"/>
    </row>
    <row r="60" spans="1:56" s="87" customFormat="1" ht="18" hidden="1">
      <c r="A60" s="87" t="s">
        <v>166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3"/>
      <c r="AM60" s="100"/>
      <c r="AN60" s="100"/>
      <c r="AO60" s="103"/>
      <c r="AP60" s="100"/>
      <c r="AQ60" s="100"/>
      <c r="AR60" s="103"/>
      <c r="AS60" s="100"/>
      <c r="AT60" s="100"/>
      <c r="AU60" s="89"/>
      <c r="AV60" s="89"/>
      <c r="AW60" s="89"/>
      <c r="AX60" s="89"/>
      <c r="AY60" s="89"/>
      <c r="AZ60" s="89"/>
      <c r="BA60" s="89"/>
      <c r="BB60" s="89"/>
      <c r="BC60" s="89"/>
      <c r="BD60" s="89"/>
    </row>
    <row r="61" spans="1:56" s="87" customFormat="1" ht="18" hidden="1">
      <c r="A61" s="87" t="s">
        <v>167</v>
      </c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3"/>
      <c r="AM61" s="100"/>
      <c r="AN61" s="100"/>
      <c r="AO61" s="103"/>
      <c r="AP61" s="100"/>
      <c r="AQ61" s="100"/>
      <c r="AR61" s="103"/>
      <c r="AS61" s="100"/>
      <c r="AT61" s="100"/>
      <c r="AU61" s="89"/>
      <c r="AV61" s="89"/>
      <c r="AW61" s="89"/>
      <c r="AX61" s="89"/>
      <c r="AY61" s="89"/>
      <c r="AZ61" s="89"/>
      <c r="BA61" s="89"/>
      <c r="BB61" s="89"/>
      <c r="BC61" s="89"/>
      <c r="BD61" s="89"/>
    </row>
    <row r="63" spans="1:56" ht="18"/>
    <row r="64" spans="1:56" ht="15.75" customHeight="1">
      <c r="AU64" s="21" t="s">
        <v>5</v>
      </c>
      <c r="AV64" s="21" t="s">
        <v>5</v>
      </c>
      <c r="AW64" s="21" t="s">
        <v>5</v>
      </c>
      <c r="AX64" s="21" t="s">
        <v>5</v>
      </c>
      <c r="AY64" s="21" t="s">
        <v>5</v>
      </c>
      <c r="AZ64" s="21" t="s">
        <v>5</v>
      </c>
    </row>
    <row r="65" spans="1:56" ht="18">
      <c r="A65" s="49" t="s">
        <v>56</v>
      </c>
      <c r="AU65" s="2" t="s">
        <v>1</v>
      </c>
      <c r="AV65" s="2" t="s">
        <v>1</v>
      </c>
      <c r="AW65" s="2" t="s">
        <v>1</v>
      </c>
      <c r="AX65" s="2" t="s">
        <v>1</v>
      </c>
      <c r="AY65" s="2" t="s">
        <v>1</v>
      </c>
      <c r="AZ65" s="2" t="s">
        <v>1</v>
      </c>
    </row>
    <row r="66" spans="1:56" ht="18">
      <c r="A66" s="1" t="s">
        <v>168</v>
      </c>
      <c r="B66" s="2" t="s">
        <v>19</v>
      </c>
      <c r="C66" s="2" t="s">
        <v>19</v>
      </c>
      <c r="D66" s="2" t="s">
        <v>19</v>
      </c>
      <c r="E66" s="2" t="s">
        <v>19</v>
      </c>
      <c r="F66" s="2" t="s">
        <v>19</v>
      </c>
      <c r="G66" s="2" t="s">
        <v>19</v>
      </c>
      <c r="H66" s="2">
        <v>0</v>
      </c>
      <c r="I66" s="2">
        <v>2</v>
      </c>
      <c r="J66" s="2">
        <v>7</v>
      </c>
      <c r="K66" s="2">
        <v>8</v>
      </c>
      <c r="L66" s="2">
        <v>8</v>
      </c>
      <c r="M66" s="2">
        <v>5</v>
      </c>
      <c r="N66" s="2">
        <v>8</v>
      </c>
      <c r="AL66" s="8">
        <v>30</v>
      </c>
      <c r="AU66" s="36">
        <v>2250000</v>
      </c>
      <c r="AV66" s="36">
        <v>0</v>
      </c>
      <c r="AW66" s="36">
        <v>0</v>
      </c>
      <c r="AX66" s="36">
        <v>0</v>
      </c>
      <c r="AY66" s="36">
        <v>0</v>
      </c>
      <c r="AZ66" s="36">
        <v>0</v>
      </c>
    </row>
    <row r="67" spans="1:56" ht="18">
      <c r="A67" s="1" t="s">
        <v>169</v>
      </c>
      <c r="B67" s="2" t="s">
        <v>19</v>
      </c>
      <c r="C67" s="2" t="s">
        <v>19</v>
      </c>
      <c r="D67" s="2" t="s">
        <v>19</v>
      </c>
      <c r="E67" s="2" t="s">
        <v>19</v>
      </c>
      <c r="F67" s="2" t="s">
        <v>19</v>
      </c>
      <c r="G67" s="2" t="s">
        <v>19</v>
      </c>
      <c r="H67" s="2">
        <v>0</v>
      </c>
      <c r="I67" s="2">
        <v>2</v>
      </c>
      <c r="J67" s="2">
        <v>15</v>
      </c>
      <c r="K67" s="2">
        <v>2</v>
      </c>
      <c r="L67" s="2">
        <v>4</v>
      </c>
      <c r="M67" s="2">
        <v>4</v>
      </c>
      <c r="N67" s="2">
        <v>4</v>
      </c>
      <c r="AL67" s="8">
        <v>27</v>
      </c>
      <c r="AU67" s="36">
        <v>1300000</v>
      </c>
      <c r="AV67" s="36">
        <v>16</v>
      </c>
      <c r="AW67" s="36">
        <v>0</v>
      </c>
      <c r="AX67" s="36">
        <v>0</v>
      </c>
      <c r="AY67" s="36">
        <v>0</v>
      </c>
      <c r="AZ67" s="36">
        <v>0</v>
      </c>
    </row>
    <row r="68" spans="1:56" ht="18">
      <c r="A68" s="1" t="s">
        <v>170</v>
      </c>
      <c r="B68" s="2" t="s">
        <v>19</v>
      </c>
      <c r="C68" s="2" t="s">
        <v>19</v>
      </c>
      <c r="D68" s="2" t="s">
        <v>19</v>
      </c>
      <c r="E68" s="2" t="s">
        <v>19</v>
      </c>
      <c r="F68" s="2" t="s">
        <v>19</v>
      </c>
      <c r="G68" s="2" t="s">
        <v>19</v>
      </c>
      <c r="H68" s="2">
        <v>0</v>
      </c>
      <c r="I68" s="2">
        <v>0</v>
      </c>
      <c r="J68" s="2">
        <v>2</v>
      </c>
      <c r="K68" s="2">
        <v>0</v>
      </c>
      <c r="L68" s="2">
        <v>3</v>
      </c>
      <c r="M68" s="2">
        <v>4</v>
      </c>
      <c r="N68" s="2">
        <v>1</v>
      </c>
      <c r="AL68" s="8">
        <v>9</v>
      </c>
      <c r="AU68" s="36">
        <v>150000</v>
      </c>
      <c r="AV68" s="36">
        <v>0</v>
      </c>
      <c r="AW68" s="36">
        <v>0</v>
      </c>
      <c r="AX68" s="36">
        <v>0</v>
      </c>
      <c r="AY68" s="36">
        <v>0</v>
      </c>
      <c r="AZ68" s="36">
        <v>0</v>
      </c>
    </row>
    <row r="69" spans="1:56" ht="18">
      <c r="A69" s="1" t="s">
        <v>171</v>
      </c>
      <c r="B69" s="2" t="s">
        <v>19</v>
      </c>
      <c r="C69" s="2" t="s">
        <v>19</v>
      </c>
      <c r="D69" s="2" t="s">
        <v>19</v>
      </c>
      <c r="E69" s="2" t="s">
        <v>19</v>
      </c>
      <c r="F69" s="2" t="s">
        <v>19</v>
      </c>
      <c r="G69" s="2" t="s">
        <v>19</v>
      </c>
      <c r="H69" s="2">
        <v>1</v>
      </c>
      <c r="I69" s="2">
        <v>9</v>
      </c>
      <c r="J69" s="2">
        <v>5</v>
      </c>
      <c r="K69" s="2">
        <v>7</v>
      </c>
      <c r="L69" s="2">
        <v>2</v>
      </c>
      <c r="M69" s="2">
        <v>8</v>
      </c>
      <c r="N69" s="2">
        <v>7</v>
      </c>
      <c r="AL69" s="8">
        <v>32</v>
      </c>
    </row>
    <row r="70" spans="1:56" ht="18">
      <c r="A70" s="1" t="s">
        <v>172</v>
      </c>
      <c r="B70" s="2" t="s">
        <v>19</v>
      </c>
      <c r="C70" s="2" t="s">
        <v>19</v>
      </c>
      <c r="D70" s="2" t="s">
        <v>19</v>
      </c>
      <c r="E70" s="2" t="s">
        <v>19</v>
      </c>
      <c r="F70" s="2" t="s">
        <v>19</v>
      </c>
      <c r="G70" s="2" t="s">
        <v>19</v>
      </c>
      <c r="H70" s="2">
        <v>19</v>
      </c>
      <c r="I70" s="2">
        <v>1</v>
      </c>
      <c r="J70" s="2">
        <v>0</v>
      </c>
      <c r="K70" s="2">
        <v>0</v>
      </c>
      <c r="L70" s="2">
        <v>2</v>
      </c>
      <c r="M70" s="2">
        <v>0</v>
      </c>
      <c r="N70" s="2">
        <v>2</v>
      </c>
      <c r="AL70" s="8">
        <v>22</v>
      </c>
    </row>
    <row r="71" spans="1:56" ht="18">
      <c r="A71" s="1" t="s">
        <v>173</v>
      </c>
      <c r="B71" s="2" t="s">
        <v>19</v>
      </c>
      <c r="C71" s="2" t="s">
        <v>19</v>
      </c>
      <c r="D71" s="2" t="s">
        <v>19</v>
      </c>
      <c r="E71" s="2" t="s">
        <v>19</v>
      </c>
      <c r="F71" s="2" t="s">
        <v>19</v>
      </c>
      <c r="G71" s="2" t="s">
        <v>19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AL71" s="8">
        <v>0</v>
      </c>
    </row>
    <row r="72" spans="1:56" ht="18">
      <c r="A72" s="1" t="s">
        <v>174</v>
      </c>
      <c r="B72" s="2" t="s">
        <v>19</v>
      </c>
      <c r="C72" s="2" t="s">
        <v>19</v>
      </c>
      <c r="D72" s="2" t="s">
        <v>19</v>
      </c>
      <c r="E72" s="2" t="s">
        <v>19</v>
      </c>
      <c r="F72" s="2" t="s">
        <v>19</v>
      </c>
      <c r="G72" s="2" t="s">
        <v>19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AL72" s="8">
        <v>0</v>
      </c>
    </row>
    <row r="73" spans="1:56" ht="18">
      <c r="A73" s="1" t="s">
        <v>175</v>
      </c>
      <c r="B73" s="2" t="s">
        <v>19</v>
      </c>
      <c r="C73" s="2" t="s">
        <v>19</v>
      </c>
      <c r="D73" s="2" t="s">
        <v>19</v>
      </c>
      <c r="E73" s="2" t="s">
        <v>19</v>
      </c>
      <c r="F73" s="2" t="s">
        <v>19</v>
      </c>
      <c r="G73" s="2" t="s">
        <v>19</v>
      </c>
      <c r="H73" s="9">
        <v>0.6744</v>
      </c>
      <c r="I73" s="9">
        <v>0.65529999999999999</v>
      </c>
      <c r="J73" s="9">
        <v>0.62309999999999999</v>
      </c>
      <c r="K73" s="9">
        <v>0.61939999999999995</v>
      </c>
      <c r="L73" s="9">
        <v>0.58740000000000003</v>
      </c>
      <c r="M73" s="9">
        <v>0.62749999999999995</v>
      </c>
      <c r="N73" s="9">
        <v>0.60929999999999995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N73" s="9"/>
      <c r="AQ73" s="9"/>
      <c r="AT73" s="9"/>
    </row>
    <row r="74" spans="1:56" ht="18">
      <c r="B74" s="2" t="s">
        <v>6</v>
      </c>
      <c r="C74" s="2" t="s">
        <v>7</v>
      </c>
      <c r="D74" s="2" t="s">
        <v>8</v>
      </c>
      <c r="E74" s="2" t="s">
        <v>9</v>
      </c>
      <c r="F74" s="2" t="s">
        <v>10</v>
      </c>
      <c r="G74" s="2" t="s">
        <v>11</v>
      </c>
      <c r="H74" s="2" t="s">
        <v>12</v>
      </c>
      <c r="I74" s="2" t="s">
        <v>13</v>
      </c>
      <c r="J74" s="2" t="s">
        <v>14</v>
      </c>
      <c r="K74" s="2" t="s">
        <v>15</v>
      </c>
      <c r="L74" s="2" t="s">
        <v>16</v>
      </c>
      <c r="M74" s="2" t="s">
        <v>17</v>
      </c>
      <c r="N74" s="2" t="s">
        <v>131</v>
      </c>
      <c r="O74" s="2" t="s">
        <v>7</v>
      </c>
      <c r="P74" s="2" t="s">
        <v>8</v>
      </c>
      <c r="Q74" s="2" t="s">
        <v>132</v>
      </c>
      <c r="R74" s="2" t="s">
        <v>133</v>
      </c>
      <c r="S74" s="2" t="s">
        <v>134</v>
      </c>
      <c r="T74" s="2" t="s">
        <v>135</v>
      </c>
      <c r="U74" s="2" t="s">
        <v>136</v>
      </c>
      <c r="V74" s="2" t="s">
        <v>137</v>
      </c>
      <c r="W74" s="2" t="s">
        <v>138</v>
      </c>
      <c r="X74" s="2" t="s">
        <v>139</v>
      </c>
      <c r="Y74" s="2" t="s">
        <v>130</v>
      </c>
      <c r="AL74" s="8" t="s">
        <v>1</v>
      </c>
      <c r="AM74" s="2" t="s">
        <v>2</v>
      </c>
      <c r="AO74" s="8" t="s">
        <v>1</v>
      </c>
      <c r="AP74" s="2" t="s">
        <v>2</v>
      </c>
      <c r="AR74" s="8" t="s">
        <v>1</v>
      </c>
      <c r="AS74" s="2" t="s">
        <v>2</v>
      </c>
      <c r="BC74" s="2" t="s">
        <v>1</v>
      </c>
      <c r="BD74" s="2" t="s">
        <v>2</v>
      </c>
    </row>
    <row r="75" spans="1:56" ht="18">
      <c r="A75" s="1" t="s">
        <v>66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2</v>
      </c>
      <c r="H75" s="2">
        <v>8</v>
      </c>
      <c r="I75" s="2">
        <v>10</v>
      </c>
      <c r="J75" s="2">
        <v>5</v>
      </c>
      <c r="K75" s="2">
        <v>4</v>
      </c>
      <c r="L75" s="2">
        <v>8</v>
      </c>
      <c r="M75" s="2">
        <v>8</v>
      </c>
      <c r="N75" s="2">
        <v>9</v>
      </c>
      <c r="O75" s="2">
        <v>10</v>
      </c>
      <c r="P75" s="2">
        <v>8</v>
      </c>
      <c r="Q75" s="2">
        <v>20</v>
      </c>
      <c r="R75" s="2">
        <v>18</v>
      </c>
      <c r="S75" s="2">
        <v>8</v>
      </c>
      <c r="T75" s="2">
        <v>10</v>
      </c>
      <c r="U75" s="2">
        <v>10</v>
      </c>
      <c r="V75" s="2">
        <v>12</v>
      </c>
      <c r="W75" s="2">
        <v>6</v>
      </c>
      <c r="X75" s="2">
        <v>6</v>
      </c>
      <c r="Y75" s="2">
        <v>6</v>
      </c>
      <c r="AL75" s="8">
        <v>45</v>
      </c>
    </row>
    <row r="76" spans="1:56" ht="18">
      <c r="A76" s="1" t="s">
        <v>67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2</v>
      </c>
      <c r="H76" s="2">
        <v>8</v>
      </c>
      <c r="I76" s="2" t="s">
        <v>19</v>
      </c>
      <c r="J76" s="2">
        <v>13</v>
      </c>
      <c r="K76" s="2">
        <v>5</v>
      </c>
      <c r="L76" s="2">
        <v>5</v>
      </c>
      <c r="M76" s="2">
        <v>5</v>
      </c>
      <c r="N76" s="2">
        <v>8</v>
      </c>
      <c r="O76" s="2">
        <v>7</v>
      </c>
      <c r="P76" s="2">
        <v>8</v>
      </c>
      <c r="Q76" s="2">
        <v>24</v>
      </c>
      <c r="R76" s="2">
        <v>15</v>
      </c>
      <c r="S76" s="2">
        <v>20</v>
      </c>
      <c r="T76" s="2">
        <v>18</v>
      </c>
      <c r="U76" s="2">
        <v>9</v>
      </c>
      <c r="V76" s="2">
        <v>10</v>
      </c>
      <c r="W76" s="2">
        <v>5</v>
      </c>
      <c r="X76" s="2">
        <v>3</v>
      </c>
      <c r="Y76" s="2">
        <v>2</v>
      </c>
      <c r="AL76" s="8">
        <v>38</v>
      </c>
    </row>
    <row r="77" spans="1:56" ht="18">
      <c r="A77" s="1" t="s">
        <v>68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2</v>
      </c>
      <c r="H77" s="2">
        <v>4</v>
      </c>
      <c r="I77" s="2">
        <v>4</v>
      </c>
      <c r="J77" s="2">
        <v>11</v>
      </c>
      <c r="K77" s="2">
        <v>8</v>
      </c>
      <c r="L77" s="2">
        <v>6</v>
      </c>
      <c r="M77" s="2">
        <v>8</v>
      </c>
      <c r="N77" s="2">
        <v>5</v>
      </c>
      <c r="O77" s="2">
        <v>7</v>
      </c>
      <c r="P77" s="2">
        <v>6</v>
      </c>
      <c r="Q77" s="2">
        <v>9</v>
      </c>
      <c r="R77" s="2">
        <v>7</v>
      </c>
      <c r="S77" s="2">
        <v>5</v>
      </c>
      <c r="T77" s="2">
        <v>3</v>
      </c>
      <c r="U77" s="2">
        <v>0</v>
      </c>
      <c r="V77" s="2">
        <v>1</v>
      </c>
      <c r="W77" s="2">
        <v>2</v>
      </c>
      <c r="X77" s="2">
        <v>4</v>
      </c>
      <c r="Y77" s="2">
        <v>4</v>
      </c>
      <c r="AL77" s="8">
        <v>43</v>
      </c>
    </row>
    <row r="78" spans="1:56" s="5" customFormat="1" ht="18">
      <c r="A78" s="5" t="s">
        <v>69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6</v>
      </c>
      <c r="H78" s="6">
        <v>20</v>
      </c>
      <c r="I78" s="6">
        <v>14</v>
      </c>
      <c r="J78" s="6">
        <v>29</v>
      </c>
      <c r="K78" s="6">
        <v>17</v>
      </c>
      <c r="L78" s="6">
        <v>19</v>
      </c>
      <c r="M78" s="6">
        <v>21</v>
      </c>
      <c r="N78" s="6">
        <v>22</v>
      </c>
      <c r="O78" s="6">
        <v>24</v>
      </c>
      <c r="P78" s="6">
        <v>22</v>
      </c>
      <c r="Q78" s="6">
        <v>53</v>
      </c>
      <c r="R78" s="6">
        <v>40</v>
      </c>
      <c r="S78" s="6">
        <v>33</v>
      </c>
      <c r="T78" s="6">
        <v>31</v>
      </c>
      <c r="U78" s="6">
        <v>19</v>
      </c>
      <c r="V78" s="6">
        <v>23</v>
      </c>
      <c r="W78" s="6">
        <v>13</v>
      </c>
      <c r="X78" s="6">
        <v>13</v>
      </c>
      <c r="Y78" s="6">
        <v>12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8">
        <v>126</v>
      </c>
      <c r="AM78" s="6"/>
      <c r="AN78" s="6"/>
      <c r="AO78" s="8"/>
      <c r="AP78" s="6"/>
      <c r="AQ78" s="6"/>
      <c r="AR78" s="8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</row>
    <row r="79" spans="1:56" s="3" customFormat="1" ht="18">
      <c r="A79" s="3" t="s">
        <v>70</v>
      </c>
      <c r="B79" s="3">
        <v>4.5</v>
      </c>
      <c r="C79" s="3">
        <v>5.8</v>
      </c>
      <c r="D79" s="3">
        <v>6.8</v>
      </c>
      <c r="E79" s="4">
        <v>7.4</v>
      </c>
      <c r="F79" s="4">
        <v>8</v>
      </c>
      <c r="G79" s="4">
        <v>8.6999999999999993</v>
      </c>
      <c r="H79" s="4">
        <v>9.4</v>
      </c>
      <c r="I79" s="4">
        <v>9.8000000000000007</v>
      </c>
      <c r="J79" s="4">
        <v>10.6</v>
      </c>
      <c r="K79" s="4">
        <v>12.3</v>
      </c>
      <c r="L79" s="4">
        <v>13</v>
      </c>
      <c r="M79" s="4">
        <v>13</v>
      </c>
      <c r="N79" s="4">
        <v>11</v>
      </c>
      <c r="O79" s="4">
        <v>11</v>
      </c>
      <c r="P79" s="4">
        <v>11</v>
      </c>
      <c r="Q79" s="4">
        <v>11</v>
      </c>
      <c r="R79" s="4">
        <v>11</v>
      </c>
      <c r="S79" s="4">
        <v>11</v>
      </c>
      <c r="T79" s="4">
        <v>11</v>
      </c>
      <c r="U79" s="4">
        <v>11</v>
      </c>
      <c r="V79" s="4">
        <v>11</v>
      </c>
      <c r="W79" s="4">
        <v>11</v>
      </c>
      <c r="X79" s="4">
        <v>11</v>
      </c>
      <c r="Y79" s="4">
        <v>11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8">
        <v>109.3</v>
      </c>
      <c r="AM79" s="4"/>
      <c r="AN79" s="4"/>
      <c r="AO79" s="8"/>
      <c r="AP79" s="4"/>
      <c r="AQ79" s="4"/>
      <c r="AR79" s="8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</row>
    <row r="80" spans="1:56" ht="18">
      <c r="A80" s="1" t="s">
        <v>176</v>
      </c>
    </row>
    <row r="82" spans="1:46" ht="18"/>
    <row r="84" spans="1:46" ht="18">
      <c r="A84" s="49" t="s">
        <v>177</v>
      </c>
    </row>
    <row r="85" spans="1:46" ht="18">
      <c r="A85" s="22" t="s">
        <v>178</v>
      </c>
      <c r="E85" s="1"/>
      <c r="F85" s="1"/>
      <c r="G85" s="1"/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AL85" s="7">
        <v>6</v>
      </c>
      <c r="AM85" s="1">
        <v>0</v>
      </c>
    </row>
    <row r="86" spans="1:46" ht="18">
      <c r="A86" s="22" t="s">
        <v>179</v>
      </c>
      <c r="E86" s="1"/>
      <c r="F86" s="1"/>
      <c r="G86" s="1"/>
      <c r="H86" s="1">
        <v>2</v>
      </c>
      <c r="I86" s="1"/>
      <c r="J86" s="1">
        <v>2</v>
      </c>
      <c r="K86" s="1">
        <v>1</v>
      </c>
      <c r="L86" s="1"/>
      <c r="M86" s="1"/>
      <c r="R86" s="53">
        <v>2</v>
      </c>
      <c r="S86" s="53">
        <v>1</v>
      </c>
      <c r="T86" s="53">
        <v>1</v>
      </c>
      <c r="U86" s="53">
        <v>1</v>
      </c>
      <c r="V86" s="53">
        <v>1</v>
      </c>
      <c r="W86" s="53">
        <v>1</v>
      </c>
      <c r="X86" s="53">
        <v>1</v>
      </c>
      <c r="Y86" s="53">
        <v>1</v>
      </c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7">
        <v>5</v>
      </c>
      <c r="AM86" s="1">
        <v>9</v>
      </c>
      <c r="AN86" s="53"/>
      <c r="AQ86" s="53"/>
      <c r="AT86" s="53"/>
    </row>
    <row r="87" spans="1:46" ht="15.75" customHeight="1">
      <c r="A87" s="22" t="s">
        <v>180</v>
      </c>
      <c r="E87" s="1"/>
      <c r="F87" s="1"/>
      <c r="G87" s="1">
        <v>1</v>
      </c>
      <c r="H87" s="1"/>
      <c r="I87" s="1"/>
      <c r="J87" s="1"/>
      <c r="K87" s="1"/>
      <c r="L87" s="1"/>
      <c r="M87" s="1"/>
      <c r="S87" s="53">
        <v>1</v>
      </c>
      <c r="T87" s="53">
        <v>1</v>
      </c>
      <c r="U87" s="53">
        <v>1</v>
      </c>
      <c r="V87" s="53">
        <v>1</v>
      </c>
      <c r="W87" s="53">
        <v>1</v>
      </c>
      <c r="X87" s="53">
        <v>1</v>
      </c>
      <c r="AL87" s="7">
        <v>1</v>
      </c>
      <c r="AM87" s="1">
        <v>6</v>
      </c>
    </row>
    <row r="88" spans="1:46" ht="15.75" customHeight="1">
      <c r="A88" s="23" t="s">
        <v>168</v>
      </c>
      <c r="B88" s="23">
        <v>0</v>
      </c>
      <c r="C88" s="23">
        <v>0</v>
      </c>
      <c r="D88" s="23">
        <v>0</v>
      </c>
      <c r="E88" s="23">
        <v>0</v>
      </c>
      <c r="F88" s="23">
        <v>0</v>
      </c>
      <c r="G88" s="23">
        <v>500000</v>
      </c>
      <c r="H88" s="23">
        <v>420000</v>
      </c>
      <c r="I88" s="23">
        <v>200000</v>
      </c>
      <c r="J88" s="23">
        <v>420000</v>
      </c>
      <c r="K88" s="23">
        <v>310000</v>
      </c>
      <c r="L88" s="23">
        <v>200000</v>
      </c>
      <c r="M88" s="23">
        <v>200000</v>
      </c>
      <c r="AL88" s="106">
        <v>2250000</v>
      </c>
      <c r="AM88" s="1">
        <v>0</v>
      </c>
    </row>
    <row r="89" spans="1:46" ht="15.75" customHeight="1">
      <c r="A89" s="42" t="s">
        <v>181</v>
      </c>
      <c r="B89" s="23"/>
      <c r="C89" s="23"/>
      <c r="D89" s="23"/>
      <c r="E89" s="23"/>
      <c r="F89" s="23"/>
      <c r="G89" s="23"/>
      <c r="H89" s="23"/>
      <c r="I89" s="50">
        <v>41312</v>
      </c>
      <c r="J89" s="50">
        <v>199134</v>
      </c>
      <c r="K89" s="51">
        <v>152076</v>
      </c>
      <c r="L89" s="50">
        <v>154936</v>
      </c>
      <c r="M89" s="50">
        <v>178677</v>
      </c>
      <c r="AL89" s="106">
        <v>726135</v>
      </c>
      <c r="AM89" s="1">
        <v>0</v>
      </c>
    </row>
    <row r="90" spans="1:46" ht="15.75" customHeight="1">
      <c r="A90" s="23" t="s">
        <v>169</v>
      </c>
      <c r="B90" s="23"/>
      <c r="C90" s="23"/>
      <c r="D90" s="23"/>
      <c r="E90" s="23"/>
      <c r="F90" s="23"/>
      <c r="G90" s="23"/>
      <c r="H90" s="23"/>
      <c r="I90" s="23">
        <v>300000</v>
      </c>
      <c r="J90" s="23">
        <v>300000</v>
      </c>
      <c r="K90" s="23">
        <v>300000</v>
      </c>
      <c r="L90" s="23">
        <v>200000</v>
      </c>
      <c r="M90" s="23">
        <v>200000</v>
      </c>
      <c r="R90" s="53">
        <v>2</v>
      </c>
      <c r="S90" s="53">
        <v>2</v>
      </c>
      <c r="T90" s="53">
        <v>2</v>
      </c>
      <c r="U90" s="53">
        <v>2</v>
      </c>
      <c r="V90" s="53">
        <v>2</v>
      </c>
      <c r="W90" s="53">
        <v>2</v>
      </c>
      <c r="X90" s="53">
        <v>2</v>
      </c>
      <c r="Y90" s="53">
        <v>2</v>
      </c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106">
        <v>1300000</v>
      </c>
      <c r="AM90" s="1">
        <v>16</v>
      </c>
      <c r="AN90" s="53"/>
      <c r="AQ90" s="53"/>
      <c r="AT90" s="53"/>
    </row>
    <row r="91" spans="1:46" ht="15.75" customHeight="1">
      <c r="A91" s="22" t="s">
        <v>182</v>
      </c>
      <c r="E91" s="1"/>
      <c r="F91" s="1"/>
      <c r="G91" s="1"/>
      <c r="H91" s="1"/>
      <c r="I91" s="1"/>
      <c r="J91" s="1">
        <v>2</v>
      </c>
      <c r="K91" s="1"/>
      <c r="L91" s="1">
        <v>2</v>
      </c>
      <c r="M91" s="1">
        <v>1</v>
      </c>
      <c r="AL91" s="7">
        <v>5</v>
      </c>
      <c r="AM91" s="1">
        <v>0</v>
      </c>
    </row>
    <row r="92" spans="1:46" ht="15.75" customHeight="1">
      <c r="A92" s="23" t="s">
        <v>170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60000</v>
      </c>
      <c r="K92" s="23">
        <v>0</v>
      </c>
      <c r="L92" s="23">
        <v>60000</v>
      </c>
      <c r="M92" s="23">
        <v>30000</v>
      </c>
      <c r="AL92" s="106">
        <v>150000</v>
      </c>
      <c r="AM92" s="1">
        <v>0</v>
      </c>
    </row>
  </sheetData>
  <phoneticPr fontId="1"/>
  <conditionalFormatting sqref="A6:A7 G7:AK7 AN7 N17:AK17 AN17 N23:AK23 AN23">
    <cfRule type="cellIs" dxfId="60" priority="5" operator="equal">
      <formula>#DIV/0!</formula>
    </cfRule>
  </conditionalFormatting>
  <conditionalFormatting sqref="A14:A17">
    <cfRule type="cellIs" dxfId="59" priority="15" operator="equal">
      <formula>#DIV/0!</formula>
    </cfRule>
  </conditionalFormatting>
  <conditionalFormatting sqref="A20:A23">
    <cfRule type="cellIs" dxfId="58" priority="10" operator="equal">
      <formula>#DIV/0!</formula>
    </cfRule>
  </conditionalFormatting>
  <conditionalFormatting sqref="B15:M17">
    <cfRule type="cellIs" dxfId="57" priority="9" operator="equal">
      <formula>#DIV/0!</formula>
    </cfRule>
  </conditionalFormatting>
  <conditionalFormatting sqref="B21:M23">
    <cfRule type="cellIs" dxfId="56" priority="8" operator="equal">
      <formula>#DIV/0!</formula>
    </cfRule>
  </conditionalFormatting>
  <conditionalFormatting sqref="B26:M61">
    <cfRule type="cellIs" dxfId="55" priority="14" operator="equal">
      <formula>#DIV/0!</formula>
    </cfRule>
  </conditionalFormatting>
  <conditionalFormatting sqref="AL26:AL34">
    <cfRule type="cellIs" dxfId="54" priority="13" operator="equal">
      <formula>#DIV/0!</formula>
    </cfRule>
  </conditionalFormatting>
  <conditionalFormatting sqref="AM20:AN20">
    <cfRule type="cellIs" dxfId="53" priority="4" operator="equal">
      <formula>#DIV/0!</formula>
    </cfRule>
  </conditionalFormatting>
  <conditionalFormatting sqref="AO13:AO17">
    <cfRule type="cellIs" dxfId="52" priority="7" operator="equal">
      <formula>#DIV/0!</formula>
    </cfRule>
  </conditionalFormatting>
  <conditionalFormatting sqref="AO19:AO23">
    <cfRule type="cellIs" dxfId="51" priority="6" operator="equal">
      <formula>#DIV/0!</formula>
    </cfRule>
  </conditionalFormatting>
  <conditionalFormatting sqref="AP14:AP17 AL15:AL19 AO18:AP19 AP20:AP23 AL21:AL23">
    <cfRule type="cellIs" dxfId="50" priority="11" operator="equal">
      <formula>#DIV/0!</formula>
    </cfRule>
  </conditionalFormatting>
  <conditionalFormatting sqref="AQ7 AQ17 AQ23">
    <cfRule type="cellIs" dxfId="49" priority="3" operator="equal">
      <formula>#DIV/0!</formula>
    </cfRule>
  </conditionalFormatting>
  <conditionalFormatting sqref="AQ20:BD20">
    <cfRule type="cellIs" dxfId="48" priority="1" operator="equal">
      <formula>#DIV/0!</formula>
    </cfRule>
  </conditionalFormatting>
  <conditionalFormatting sqref="AT7 AT17 AT23">
    <cfRule type="cellIs" dxfId="47" priority="2" operator="equal">
      <formula>#DIV/0!</formula>
    </cfRule>
  </conditionalFormatting>
  <conditionalFormatting sqref="AU64:AZ68">
    <cfRule type="cellIs" dxfId="46" priority="12" operator="equal">
      <formula>#DIV/0!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07D4-71D1-4A84-851D-BB89F16AAF35}">
  <dimension ref="A1:BD68"/>
  <sheetViews>
    <sheetView zoomScale="80" zoomScaleNormal="80" workbookViewId="0">
      <pane xSplit="1" ySplit="3" topLeftCell="Y4" activePane="bottomRight" state="frozen"/>
      <selection pane="bottomRight" activeCell="AJ68" sqref="AJ68"/>
      <selection pane="bottomLeft" activeCell="AJ68" sqref="AJ68"/>
      <selection pane="topRight" activeCell="AJ68" sqref="AJ68"/>
    </sheetView>
  </sheetViews>
  <sheetFormatPr defaultColWidth="9" defaultRowHeight="15.75" customHeight="1"/>
  <cols>
    <col min="1" max="1" width="24.375" style="1" customWidth="1"/>
    <col min="2" max="4" width="8.875" style="1" hidden="1" customWidth="1"/>
    <col min="5" max="5" width="8.875" style="2" hidden="1" customWidth="1"/>
    <col min="6" max="6" width="9" style="2" hidden="1" customWidth="1"/>
    <col min="7" max="7" width="9" style="2" customWidth="1"/>
    <col min="8" max="8" width="9.875" style="2" bestFit="1" customWidth="1"/>
    <col min="9" max="13" width="10" style="2" bestFit="1" customWidth="1"/>
    <col min="14" max="25" width="10.75" style="2" customWidth="1"/>
    <col min="26" max="26" width="11.375" style="2" customWidth="1"/>
    <col min="27" max="37" width="9" style="2"/>
    <col min="38" max="38" width="12.375" style="8" customWidth="1"/>
    <col min="39" max="39" width="14.375" style="2" customWidth="1"/>
    <col min="40" max="40" width="9" style="2"/>
    <col min="41" max="41" width="9" style="8"/>
    <col min="42" max="43" width="9" style="2"/>
    <col min="44" max="44" width="9" style="8"/>
    <col min="45" max="45" width="11.375" style="2" customWidth="1"/>
    <col min="46" max="46" width="9" style="2"/>
    <col min="47" max="47" width="11.375" style="2" customWidth="1"/>
    <col min="48" max="56" width="9" style="2"/>
    <col min="57" max="16384" width="9" style="1"/>
  </cols>
  <sheetData>
    <row r="1" spans="1:56" ht="18"/>
    <row r="2" spans="1:56" ht="18">
      <c r="A2" s="49" t="s">
        <v>71</v>
      </c>
      <c r="B2" s="2" t="s">
        <v>1</v>
      </c>
      <c r="N2" s="2" t="s">
        <v>2</v>
      </c>
      <c r="Z2" s="2" t="s">
        <v>3</v>
      </c>
      <c r="AL2" s="101" t="s">
        <v>5</v>
      </c>
      <c r="AM2" s="6"/>
      <c r="AO2" s="101" t="s">
        <v>127</v>
      </c>
      <c r="AP2" s="17"/>
      <c r="AR2" s="101" t="s">
        <v>128</v>
      </c>
      <c r="AS2" s="19"/>
      <c r="AU2" s="15"/>
      <c r="AW2" s="15"/>
      <c r="AY2" s="20"/>
      <c r="BC2" s="2" t="s">
        <v>129</v>
      </c>
    </row>
    <row r="3" spans="1:56" ht="18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118">
        <v>45717</v>
      </c>
      <c r="O3" s="118">
        <v>45748</v>
      </c>
      <c r="P3" s="118">
        <v>45778</v>
      </c>
      <c r="Q3" s="118">
        <v>45809</v>
      </c>
      <c r="R3" s="118">
        <v>45839</v>
      </c>
      <c r="S3" s="118">
        <v>45870</v>
      </c>
      <c r="T3" s="118">
        <v>45901</v>
      </c>
      <c r="U3" s="118">
        <v>45931</v>
      </c>
      <c r="V3" s="118">
        <v>45962</v>
      </c>
      <c r="W3" s="118">
        <v>45992</v>
      </c>
      <c r="X3" s="118">
        <v>46023</v>
      </c>
      <c r="Y3" s="2" t="s">
        <v>130</v>
      </c>
      <c r="Z3" s="2" t="s">
        <v>131</v>
      </c>
      <c r="AA3" s="2" t="s">
        <v>7</v>
      </c>
      <c r="AB3" s="2" t="s">
        <v>8</v>
      </c>
      <c r="AC3" s="2" t="s">
        <v>132</v>
      </c>
      <c r="AD3" s="2" t="s">
        <v>133</v>
      </c>
      <c r="AE3" s="2" t="s">
        <v>134</v>
      </c>
      <c r="AF3" s="2" t="s">
        <v>135</v>
      </c>
      <c r="AG3" s="2" t="s">
        <v>136</v>
      </c>
      <c r="AH3" s="2" t="s">
        <v>137</v>
      </c>
      <c r="AI3" s="2" t="s">
        <v>138</v>
      </c>
      <c r="AJ3" s="2" t="s">
        <v>139</v>
      </c>
      <c r="AK3" s="2" t="s">
        <v>130</v>
      </c>
      <c r="AL3" s="8" t="s">
        <v>1</v>
      </c>
      <c r="AM3" s="2" t="s">
        <v>2</v>
      </c>
      <c r="AN3" s="2" t="s">
        <v>3</v>
      </c>
      <c r="AO3" s="8" t="s">
        <v>1</v>
      </c>
      <c r="AP3" s="2" t="s">
        <v>2</v>
      </c>
      <c r="AQ3" s="2" t="s">
        <v>3</v>
      </c>
      <c r="AR3" s="8" t="s">
        <v>1</v>
      </c>
      <c r="AS3" s="2" t="s">
        <v>2</v>
      </c>
      <c r="AT3" s="2" t="s">
        <v>3</v>
      </c>
      <c r="BC3" s="2" t="s">
        <v>1</v>
      </c>
      <c r="BD3" s="2" t="s">
        <v>2</v>
      </c>
    </row>
    <row r="4" spans="1:56" ht="18">
      <c r="A4" s="1" t="s">
        <v>140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>
        <v>59</v>
      </c>
      <c r="H4" s="2">
        <v>597</v>
      </c>
      <c r="I4" s="2">
        <v>1167</v>
      </c>
      <c r="J4" s="2">
        <v>1136</v>
      </c>
      <c r="K4" s="2">
        <v>1191</v>
      </c>
      <c r="L4" s="2">
        <v>1553</v>
      </c>
      <c r="M4" s="2">
        <v>1856</v>
      </c>
      <c r="N4" s="2">
        <v>1948</v>
      </c>
      <c r="O4" s="2">
        <v>1793</v>
      </c>
      <c r="P4" s="2">
        <v>1571</v>
      </c>
      <c r="Q4" s="2">
        <v>1823</v>
      </c>
      <c r="R4" s="2">
        <v>1907</v>
      </c>
      <c r="S4" s="2">
        <v>1415</v>
      </c>
      <c r="T4" s="2">
        <v>1474</v>
      </c>
      <c r="U4" s="2">
        <v>1499</v>
      </c>
      <c r="V4" s="2">
        <v>1791</v>
      </c>
      <c r="W4" s="2">
        <v>2637</v>
      </c>
      <c r="X4" s="2">
        <v>2227</v>
      </c>
      <c r="Y4" s="2">
        <v>3811</v>
      </c>
      <c r="Z4" s="2">
        <v>2465</v>
      </c>
      <c r="AL4" s="8">
        <v>7559</v>
      </c>
      <c r="AM4" s="2">
        <v>23896</v>
      </c>
      <c r="AO4" s="8">
        <v>7269</v>
      </c>
      <c r="AR4" s="105">
        <v>1.0398954464162884</v>
      </c>
    </row>
    <row r="5" spans="1:56" ht="18">
      <c r="A5" s="1" t="s">
        <v>141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2">
        <v>0</v>
      </c>
      <c r="H5" s="2">
        <v>0</v>
      </c>
      <c r="I5" s="2">
        <v>3</v>
      </c>
      <c r="J5" s="2">
        <v>6</v>
      </c>
      <c r="K5" s="2">
        <v>4</v>
      </c>
      <c r="L5" s="2">
        <v>3</v>
      </c>
      <c r="M5" s="2">
        <v>3</v>
      </c>
      <c r="N5" s="2">
        <v>8</v>
      </c>
      <c r="O5" s="2">
        <v>4</v>
      </c>
      <c r="P5" s="2">
        <v>5</v>
      </c>
      <c r="Q5" s="2">
        <v>7</v>
      </c>
      <c r="R5" s="2">
        <v>0</v>
      </c>
      <c r="S5" s="2">
        <v>2</v>
      </c>
      <c r="T5" s="2">
        <v>3</v>
      </c>
      <c r="U5" s="2">
        <v>1</v>
      </c>
      <c r="V5" s="2">
        <v>2</v>
      </c>
      <c r="W5" s="2">
        <v>2</v>
      </c>
      <c r="X5" s="2">
        <v>2</v>
      </c>
      <c r="Y5" s="2">
        <v>3</v>
      </c>
      <c r="Z5" s="2">
        <v>7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8">
        <v>19</v>
      </c>
      <c r="AM5" s="2">
        <v>39</v>
      </c>
      <c r="AR5" s="8" t="e">
        <v>#DIV/0!</v>
      </c>
    </row>
    <row r="6" spans="1:56" ht="18">
      <c r="A6" t="s">
        <v>22</v>
      </c>
      <c r="B6" s="2" t="s">
        <v>19</v>
      </c>
      <c r="C6" s="2" t="s">
        <v>19</v>
      </c>
      <c r="D6" s="2" t="s">
        <v>19</v>
      </c>
      <c r="E6" s="2" t="s">
        <v>19</v>
      </c>
      <c r="F6" s="2" t="s">
        <v>19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2</v>
      </c>
      <c r="M6" s="2">
        <v>0</v>
      </c>
      <c r="N6" s="2">
        <v>0</v>
      </c>
      <c r="O6" s="2">
        <v>0</v>
      </c>
      <c r="P6" s="2">
        <v>3</v>
      </c>
      <c r="Q6" s="2">
        <v>1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2">
        <v>1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M6" s="2">
        <v>7</v>
      </c>
    </row>
    <row r="7" spans="1:56" s="10" customFormat="1" ht="18">
      <c r="A7" s="10" t="s">
        <v>23</v>
      </c>
      <c r="B7" s="11" t="s">
        <v>19</v>
      </c>
      <c r="C7" s="11" t="s">
        <v>19</v>
      </c>
      <c r="D7" s="11" t="s">
        <v>19</v>
      </c>
      <c r="E7" s="12" t="s">
        <v>19</v>
      </c>
      <c r="F7" s="12" t="s">
        <v>19</v>
      </c>
      <c r="G7" s="12" t="s">
        <v>97</v>
      </c>
      <c r="H7" s="12" t="s">
        <v>97</v>
      </c>
      <c r="I7" s="12" t="s">
        <v>97</v>
      </c>
      <c r="J7" s="12" t="s">
        <v>97</v>
      </c>
      <c r="K7" s="12" t="s">
        <v>97</v>
      </c>
      <c r="L7" s="12">
        <v>0.66666666666666663</v>
      </c>
      <c r="M7" s="12" t="s">
        <v>97</v>
      </c>
      <c r="N7" s="12" t="s">
        <v>97</v>
      </c>
      <c r="O7" s="12" t="s">
        <v>97</v>
      </c>
      <c r="P7" s="12">
        <v>0.6</v>
      </c>
      <c r="Q7" s="12">
        <v>0.14285714285714285</v>
      </c>
      <c r="R7" s="12" t="s">
        <v>97</v>
      </c>
      <c r="S7" s="12" t="s">
        <v>97</v>
      </c>
      <c r="T7" s="12" t="s">
        <v>97</v>
      </c>
      <c r="U7" s="12">
        <v>2</v>
      </c>
      <c r="V7" s="12" t="s">
        <v>97</v>
      </c>
      <c r="W7" s="12">
        <v>0.5</v>
      </c>
      <c r="X7" s="12" t="s">
        <v>97</v>
      </c>
      <c r="Y7" s="12" t="s">
        <v>97</v>
      </c>
      <c r="Z7" s="12" t="s">
        <v>97</v>
      </c>
      <c r="AA7" s="12" t="s">
        <v>97</v>
      </c>
      <c r="AB7" s="12" t="s">
        <v>97</v>
      </c>
      <c r="AC7" s="12" t="s">
        <v>97</v>
      </c>
      <c r="AD7" s="12" t="s">
        <v>97</v>
      </c>
      <c r="AE7" s="12" t="s">
        <v>97</v>
      </c>
      <c r="AF7" s="12" t="s">
        <v>97</v>
      </c>
      <c r="AG7" s="12" t="s">
        <v>97</v>
      </c>
      <c r="AH7" s="12" t="s">
        <v>97</v>
      </c>
      <c r="AI7" s="12" t="s">
        <v>97</v>
      </c>
      <c r="AJ7" s="12" t="s">
        <v>97</v>
      </c>
      <c r="AK7" s="12" t="s">
        <v>97</v>
      </c>
      <c r="AL7" s="8"/>
      <c r="AM7" s="11"/>
      <c r="AN7" s="12"/>
      <c r="AO7" s="8"/>
      <c r="AP7" s="11"/>
      <c r="AQ7" s="12"/>
      <c r="AR7" s="8"/>
      <c r="AS7" s="11"/>
      <c r="AT7" s="12"/>
      <c r="AU7" s="11"/>
      <c r="AV7" s="11"/>
      <c r="AW7" s="11"/>
      <c r="AX7" s="11"/>
      <c r="AY7" s="11"/>
      <c r="AZ7" s="11"/>
      <c r="BA7" s="11"/>
      <c r="BB7" s="11"/>
      <c r="BC7" s="11"/>
      <c r="BD7" s="11"/>
    </row>
    <row r="8" spans="1:56" ht="18">
      <c r="A8" s="1" t="s">
        <v>24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</v>
      </c>
      <c r="N8" s="2">
        <v>0</v>
      </c>
      <c r="O8" s="2">
        <v>0</v>
      </c>
      <c r="P8" s="2">
        <v>3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8">
        <v>2</v>
      </c>
      <c r="AM8" s="2">
        <v>7</v>
      </c>
      <c r="AO8" s="8">
        <v>15.8</v>
      </c>
      <c r="AR8" s="8">
        <v>0.12658227848101264</v>
      </c>
    </row>
    <row r="9" spans="1:56" s="10" customFormat="1" ht="18">
      <c r="A9" s="10" t="s">
        <v>25</v>
      </c>
      <c r="B9" s="11" t="s">
        <v>19</v>
      </c>
      <c r="C9" s="11" t="s">
        <v>19</v>
      </c>
      <c r="D9" s="11" t="s">
        <v>19</v>
      </c>
      <c r="E9" s="12" t="s">
        <v>19</v>
      </c>
      <c r="F9" s="12" t="s">
        <v>19</v>
      </c>
      <c r="G9" s="12" t="s">
        <v>97</v>
      </c>
      <c r="H9" s="12" t="s">
        <v>97</v>
      </c>
      <c r="I9" s="12" t="s">
        <v>97</v>
      </c>
      <c r="J9" s="12" t="s">
        <v>97</v>
      </c>
      <c r="K9" s="12" t="s">
        <v>97</v>
      </c>
      <c r="L9" s="12" t="s">
        <v>97</v>
      </c>
      <c r="M9" s="12">
        <v>0.66666666666666663</v>
      </c>
      <c r="N9" s="12" t="s">
        <v>97</v>
      </c>
      <c r="O9" s="12" t="s">
        <v>97</v>
      </c>
      <c r="P9" s="12">
        <v>0.6</v>
      </c>
      <c r="Q9" s="12" t="s">
        <v>97</v>
      </c>
      <c r="R9" s="12" t="e">
        <v>#DIV/0!</v>
      </c>
      <c r="S9" s="12" t="s">
        <v>97</v>
      </c>
      <c r="T9" s="12" t="s">
        <v>97</v>
      </c>
      <c r="U9" s="12" t="s">
        <v>97</v>
      </c>
      <c r="V9" s="12" t="s">
        <v>97</v>
      </c>
      <c r="W9" s="12" t="s">
        <v>97</v>
      </c>
      <c r="X9" s="12">
        <v>1</v>
      </c>
      <c r="Y9" s="12">
        <v>0.33333333333333331</v>
      </c>
      <c r="Z9" s="12" t="s">
        <v>97</v>
      </c>
      <c r="AA9" s="12" t="s">
        <v>97</v>
      </c>
      <c r="AB9" s="12" t="s">
        <v>97</v>
      </c>
      <c r="AC9" s="12" t="s">
        <v>97</v>
      </c>
      <c r="AD9" s="12" t="s">
        <v>97</v>
      </c>
      <c r="AE9" s="12" t="s">
        <v>97</v>
      </c>
      <c r="AF9" s="12" t="s">
        <v>97</v>
      </c>
      <c r="AG9" s="12" t="s">
        <v>97</v>
      </c>
      <c r="AH9" s="12" t="s">
        <v>97</v>
      </c>
      <c r="AI9" s="12" t="s">
        <v>97</v>
      </c>
      <c r="AJ9" s="12" t="s">
        <v>97</v>
      </c>
      <c r="AK9" s="12" t="s">
        <v>97</v>
      </c>
      <c r="AL9" s="8"/>
      <c r="AM9" s="11"/>
      <c r="AN9" s="12"/>
      <c r="AO9" s="8"/>
      <c r="AP9" s="11"/>
      <c r="AQ9" s="12"/>
      <c r="AR9" s="8" t="e">
        <v>#DIV/0!</v>
      </c>
      <c r="AS9" s="11"/>
      <c r="AT9" s="12"/>
      <c r="AU9" s="11"/>
      <c r="AV9" s="11"/>
      <c r="AW9" s="11"/>
      <c r="AX9" s="11"/>
      <c r="AY9" s="11"/>
      <c r="AZ9" s="11"/>
      <c r="BA9" s="11"/>
      <c r="BB9" s="11"/>
      <c r="BC9" s="11"/>
      <c r="BD9" s="11"/>
    </row>
    <row r="10" spans="1:56" ht="18">
      <c r="A10" s="1" t="s">
        <v>26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8">
        <v>0</v>
      </c>
      <c r="AM10" s="2">
        <v>2</v>
      </c>
      <c r="AO10" s="8">
        <v>0.7</v>
      </c>
      <c r="AR10" s="8">
        <v>0</v>
      </c>
    </row>
    <row r="11" spans="1:56" s="10" customFormat="1" ht="18">
      <c r="A11" s="10" t="s">
        <v>27</v>
      </c>
      <c r="B11" s="11" t="s">
        <v>19</v>
      </c>
      <c r="C11" s="11" t="s">
        <v>19</v>
      </c>
      <c r="D11" s="11" t="s">
        <v>19</v>
      </c>
      <c r="E11" s="12" t="s">
        <v>19</v>
      </c>
      <c r="F11" s="12" t="s">
        <v>19</v>
      </c>
      <c r="G11" s="12" t="s">
        <v>97</v>
      </c>
      <c r="H11" s="12" t="s">
        <v>97</v>
      </c>
      <c r="I11" s="12" t="s">
        <v>97</v>
      </c>
      <c r="J11" s="12" t="s">
        <v>97</v>
      </c>
      <c r="K11" s="12" t="s">
        <v>97</v>
      </c>
      <c r="L11" s="12" t="s">
        <v>97</v>
      </c>
      <c r="M11" s="12" t="s">
        <v>97</v>
      </c>
      <c r="N11" s="12">
        <v>0.125</v>
      </c>
      <c r="O11" s="12" t="s">
        <v>97</v>
      </c>
      <c r="P11" s="12" t="s">
        <v>97</v>
      </c>
      <c r="Q11" s="12" t="s">
        <v>97</v>
      </c>
      <c r="R11" s="12" t="s">
        <v>97</v>
      </c>
      <c r="S11" s="12" t="s">
        <v>97</v>
      </c>
      <c r="T11" s="12">
        <v>0.33333333333333331</v>
      </c>
      <c r="U11" s="12" t="s">
        <v>97</v>
      </c>
      <c r="V11" s="12" t="s">
        <v>97</v>
      </c>
      <c r="W11" s="12" t="s">
        <v>97</v>
      </c>
      <c r="X11" s="12" t="s">
        <v>97</v>
      </c>
      <c r="Y11" s="12" t="s">
        <v>97</v>
      </c>
      <c r="Z11" s="12" t="s">
        <v>97</v>
      </c>
      <c r="AA11" s="12" t="s">
        <v>97</v>
      </c>
      <c r="AB11" s="12" t="s">
        <v>97</v>
      </c>
      <c r="AC11" s="12" t="s">
        <v>97</v>
      </c>
      <c r="AD11" s="12" t="s">
        <v>97</v>
      </c>
      <c r="AE11" s="12" t="s">
        <v>97</v>
      </c>
      <c r="AF11" s="12" t="s">
        <v>97</v>
      </c>
      <c r="AG11" s="12" t="s">
        <v>97</v>
      </c>
      <c r="AH11" s="12" t="s">
        <v>97</v>
      </c>
      <c r="AI11" s="12" t="s">
        <v>97</v>
      </c>
      <c r="AJ11" s="12" t="s">
        <v>97</v>
      </c>
      <c r="AK11" s="12" t="s">
        <v>97</v>
      </c>
      <c r="AL11" s="8"/>
      <c r="AM11" s="11"/>
      <c r="AN11" s="12"/>
      <c r="AO11" s="8"/>
      <c r="AP11" s="11"/>
      <c r="AQ11" s="12"/>
      <c r="AR11" s="8" t="e">
        <v>#DIV/0!</v>
      </c>
      <c r="AS11" s="11"/>
      <c r="AT11" s="12"/>
      <c r="AU11" s="11"/>
      <c r="AV11" s="11"/>
      <c r="AW11" s="11"/>
      <c r="AX11" s="11"/>
      <c r="AY11" s="11"/>
      <c r="AZ11" s="11"/>
      <c r="BA11" s="11"/>
      <c r="BB11" s="11"/>
      <c r="BC11" s="11"/>
      <c r="BD11" s="11"/>
    </row>
    <row r="12" spans="1:56" s="7" customFormat="1" ht="18">
      <c r="A12" s="7" t="s">
        <v>28</v>
      </c>
      <c r="B12" s="7">
        <v>269</v>
      </c>
      <c r="C12" s="7">
        <v>349</v>
      </c>
      <c r="D12" s="7">
        <v>404</v>
      </c>
      <c r="E12" s="8">
        <v>454</v>
      </c>
      <c r="F12" s="8">
        <v>504</v>
      </c>
      <c r="G12" s="8">
        <v>564</v>
      </c>
      <c r="H12" s="8">
        <v>614</v>
      </c>
      <c r="I12" s="8">
        <v>664</v>
      </c>
      <c r="J12" s="8">
        <v>724</v>
      </c>
      <c r="K12" s="8">
        <v>874</v>
      </c>
      <c r="L12" s="8">
        <v>924</v>
      </c>
      <c r="M12" s="8">
        <v>924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 t="e">
        <v>#DIV/0!</v>
      </c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1:56" s="3" customFormat="1" ht="18">
      <c r="A13" s="117" t="s">
        <v>30</v>
      </c>
      <c r="B13" s="41">
        <v>3</v>
      </c>
      <c r="C13" s="41">
        <v>4</v>
      </c>
      <c r="D13" s="41">
        <v>4</v>
      </c>
      <c r="E13" s="14">
        <v>4</v>
      </c>
      <c r="F13" s="14">
        <v>4</v>
      </c>
      <c r="G13" s="14">
        <v>4</v>
      </c>
      <c r="H13" s="14">
        <v>5</v>
      </c>
      <c r="I13" s="14">
        <v>5</v>
      </c>
      <c r="J13" s="14">
        <v>5</v>
      </c>
      <c r="K13" s="14">
        <v>6</v>
      </c>
      <c r="L13" s="14">
        <v>7</v>
      </c>
      <c r="M13" s="14">
        <v>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7"/>
      <c r="AM13" s="4"/>
      <c r="AN13" s="4"/>
      <c r="AO13" s="8">
        <v>47</v>
      </c>
      <c r="AP13" s="4"/>
      <c r="AQ13" s="4"/>
      <c r="AR13" s="8" t="e">
        <v>#REF!</v>
      </c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</row>
    <row r="14" spans="1:56" s="3" customFormat="1" ht="18">
      <c r="A14" s="3" t="s">
        <v>32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4">
        <v>2</v>
      </c>
      <c r="O14" s="4">
        <v>2</v>
      </c>
      <c r="P14" s="4">
        <v>2</v>
      </c>
      <c r="Q14" s="4">
        <v>2</v>
      </c>
      <c r="R14" s="4">
        <v>2</v>
      </c>
      <c r="S14" s="4">
        <v>2</v>
      </c>
      <c r="T14" s="4">
        <v>2</v>
      </c>
      <c r="U14" s="4">
        <v>2</v>
      </c>
      <c r="V14" s="4">
        <v>2</v>
      </c>
      <c r="W14" s="4">
        <v>2</v>
      </c>
      <c r="X14" s="4">
        <v>2</v>
      </c>
      <c r="Y14" s="4">
        <v>2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8"/>
      <c r="AM14" s="4"/>
      <c r="AN14" s="4"/>
      <c r="AO14" s="8"/>
      <c r="AP14" s="4">
        <v>24</v>
      </c>
      <c r="AQ14" s="4"/>
      <c r="AR14" s="8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</row>
    <row r="15" spans="1:56" s="3" customFormat="1" ht="18">
      <c r="A15" s="3" t="s">
        <v>33</v>
      </c>
      <c r="B15" s="7"/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4">
        <v>1.1199999999999999</v>
      </c>
      <c r="O15" s="4">
        <v>1.1199999999999999</v>
      </c>
      <c r="P15" s="4">
        <v>1.1199999999999999</v>
      </c>
      <c r="Q15" s="4">
        <v>1.1199999999999999</v>
      </c>
      <c r="R15" s="4">
        <v>1.1199999999999999</v>
      </c>
      <c r="S15" s="4">
        <v>1.1199999999999999</v>
      </c>
      <c r="T15" s="4">
        <v>1.1199999999999999</v>
      </c>
      <c r="U15" s="4">
        <v>1.1199999999999999</v>
      </c>
      <c r="V15" s="4">
        <v>1.1199999999999999</v>
      </c>
      <c r="W15" s="4">
        <v>1.1199999999999999</v>
      </c>
      <c r="X15" s="4">
        <v>1.1199999999999999</v>
      </c>
      <c r="Y15" s="4">
        <v>1.1199999999999999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8"/>
      <c r="AM15" s="4"/>
      <c r="AN15" s="4"/>
      <c r="AO15" s="8"/>
      <c r="AP15" s="4">
        <v>13.439999999999996</v>
      </c>
      <c r="AQ15" s="4"/>
      <c r="AR15" s="8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</row>
    <row r="16" spans="1:56" s="3" customFormat="1" ht="18">
      <c r="A16" s="3" t="s">
        <v>34</v>
      </c>
      <c r="B16" s="7"/>
      <c r="C16" s="7"/>
      <c r="D16" s="7"/>
      <c r="E16" s="8"/>
      <c r="F16" s="8"/>
      <c r="G16" s="8"/>
      <c r="H16" s="8"/>
      <c r="I16" s="8"/>
      <c r="J16" s="8"/>
      <c r="K16" s="8"/>
      <c r="L16" s="8"/>
      <c r="M16" s="8"/>
      <c r="N16" s="4">
        <v>6.05</v>
      </c>
      <c r="O16" s="4">
        <v>6.05</v>
      </c>
      <c r="P16" s="4">
        <v>6.05</v>
      </c>
      <c r="Q16" s="4">
        <v>6.05</v>
      </c>
      <c r="R16" s="4">
        <v>6.05</v>
      </c>
      <c r="S16" s="4">
        <v>6.05</v>
      </c>
      <c r="T16" s="4">
        <v>6.05</v>
      </c>
      <c r="U16" s="4">
        <v>6.05</v>
      </c>
      <c r="V16" s="4">
        <v>6.05</v>
      </c>
      <c r="W16" s="4">
        <v>6.05</v>
      </c>
      <c r="X16" s="4">
        <v>6.05</v>
      </c>
      <c r="Y16" s="4">
        <v>6.05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8"/>
      <c r="AM16" s="4"/>
      <c r="AN16" s="4"/>
      <c r="AO16" s="8"/>
      <c r="AP16" s="4">
        <v>72.59999999999998</v>
      </c>
      <c r="AQ16" s="4"/>
      <c r="AR16" s="8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</row>
    <row r="17" spans="1:56" s="3" customFormat="1" ht="18">
      <c r="A17" s="3" t="s">
        <v>35</v>
      </c>
      <c r="B17" s="7"/>
      <c r="C17" s="7"/>
      <c r="D17" s="7"/>
      <c r="E17" s="8"/>
      <c r="F17" s="8"/>
      <c r="G17" s="8"/>
      <c r="H17" s="8"/>
      <c r="I17" s="8"/>
      <c r="J17" s="8"/>
      <c r="K17" s="8"/>
      <c r="L17" s="8"/>
      <c r="M17" s="8"/>
      <c r="N17" s="39">
        <v>3.0566666666666666</v>
      </c>
      <c r="O17" s="39">
        <v>3.0566666666666666</v>
      </c>
      <c r="P17" s="39">
        <v>3.0566666666666666</v>
      </c>
      <c r="Q17" s="39">
        <v>3.0566666666666666</v>
      </c>
      <c r="R17" s="39">
        <v>3.0566666666666666</v>
      </c>
      <c r="S17" s="39">
        <v>3.0566666666666666</v>
      </c>
      <c r="T17" s="39">
        <v>3.0566666666666666</v>
      </c>
      <c r="U17" s="39">
        <v>3.0566666666666666</v>
      </c>
      <c r="V17" s="39">
        <v>3.0566666666666666</v>
      </c>
      <c r="W17" s="39">
        <v>3.0566666666666666</v>
      </c>
      <c r="X17" s="39">
        <v>3.0566666666666666</v>
      </c>
      <c r="Y17" s="39">
        <v>3.0566666666666666</v>
      </c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8"/>
      <c r="AM17" s="4"/>
      <c r="AN17" s="39"/>
      <c r="AO17" s="8"/>
      <c r="AP17" s="39">
        <v>36.679999999999993</v>
      </c>
      <c r="AQ17" s="39"/>
      <c r="AR17" s="8"/>
      <c r="AS17" s="4"/>
      <c r="AT17" s="39"/>
      <c r="AU17" s="4"/>
      <c r="AV17" s="4"/>
      <c r="AW17" s="4"/>
      <c r="AX17" s="4"/>
      <c r="AY17" s="4"/>
      <c r="AZ17" s="4"/>
      <c r="BA17" s="4"/>
      <c r="BB17" s="4"/>
      <c r="BC17" s="4"/>
      <c r="BD17" s="4"/>
    </row>
    <row r="18" spans="1:56" s="7" customFormat="1" ht="18">
      <c r="A18" s="7" t="s">
        <v>36</v>
      </c>
      <c r="B18" s="7">
        <v>1.3</v>
      </c>
      <c r="C18" s="7">
        <v>2.2999999999999998</v>
      </c>
      <c r="D18" s="7">
        <v>3</v>
      </c>
      <c r="E18" s="8">
        <v>3.4</v>
      </c>
      <c r="F18" s="8">
        <v>3.9</v>
      </c>
      <c r="G18" s="8">
        <v>4.3</v>
      </c>
      <c r="H18" s="8">
        <v>4.5999999999999996</v>
      </c>
      <c r="I18" s="8">
        <v>4.9000000000000004</v>
      </c>
      <c r="J18" s="8">
        <v>5.2</v>
      </c>
      <c r="K18" s="8">
        <v>6.2</v>
      </c>
      <c r="L18" s="8">
        <v>6.2</v>
      </c>
      <c r="M18" s="8">
        <v>6.2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 t="e">
        <v>#DIV/0!</v>
      </c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1:56" s="3" customFormat="1" ht="18">
      <c r="A19" s="117" t="s">
        <v>37</v>
      </c>
      <c r="B19" s="41">
        <v>0.5</v>
      </c>
      <c r="C19" s="41">
        <v>0.8</v>
      </c>
      <c r="D19" s="41">
        <v>0.9</v>
      </c>
      <c r="E19" s="14">
        <v>1.1000000000000001</v>
      </c>
      <c r="F19" s="14">
        <v>1.2</v>
      </c>
      <c r="G19" s="14">
        <v>1.3</v>
      </c>
      <c r="H19" s="14">
        <v>1.4</v>
      </c>
      <c r="I19" s="14">
        <v>1.5</v>
      </c>
      <c r="J19" s="14">
        <v>1.6</v>
      </c>
      <c r="K19" s="14">
        <v>1.9</v>
      </c>
      <c r="L19" s="14">
        <v>1.9</v>
      </c>
      <c r="M19" s="14">
        <v>1.9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8"/>
      <c r="AM19" s="4"/>
      <c r="AN19" s="4"/>
      <c r="AO19" s="8">
        <v>13.8</v>
      </c>
      <c r="AP19" s="4"/>
      <c r="AQ19" s="4"/>
      <c r="AR19" s="8" t="e">
        <v>#REF!</v>
      </c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</row>
    <row r="20" spans="1:56" s="3" customFormat="1" ht="18">
      <c r="A20" s="3" t="s">
        <v>39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7"/>
      <c r="AM20" s="4"/>
      <c r="AN20" s="4"/>
      <c r="AO20" s="8"/>
      <c r="AP20" s="4">
        <v>12</v>
      </c>
      <c r="AQ20" s="4"/>
      <c r="AR20" s="8" t="e">
        <v>#REF!</v>
      </c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</row>
    <row r="21" spans="1:56" s="3" customFormat="1" ht="18">
      <c r="A21" s="3" t="s">
        <v>40</v>
      </c>
      <c r="B21" s="7"/>
      <c r="C21" s="7"/>
      <c r="D21" s="7"/>
      <c r="E21" s="8"/>
      <c r="F21" s="8"/>
      <c r="G21" s="8"/>
      <c r="H21" s="8"/>
      <c r="I21" s="8"/>
      <c r="J21" s="8"/>
      <c r="K21" s="8"/>
      <c r="L21" s="8"/>
      <c r="M21" s="8"/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8"/>
      <c r="AM21" s="4"/>
      <c r="AN21" s="4"/>
      <c r="AO21" s="8"/>
      <c r="AP21" s="4">
        <v>0</v>
      </c>
      <c r="AQ21" s="4"/>
      <c r="AR21" s="8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</row>
    <row r="22" spans="1:56" s="3" customFormat="1" ht="18">
      <c r="A22" s="3" t="s">
        <v>41</v>
      </c>
      <c r="B22" s="7"/>
      <c r="C22" s="7"/>
      <c r="D22" s="7"/>
      <c r="E22" s="8"/>
      <c r="F22" s="8"/>
      <c r="G22" s="8"/>
      <c r="H22" s="8"/>
      <c r="I22" s="8"/>
      <c r="J22" s="8"/>
      <c r="K22" s="8"/>
      <c r="L22" s="8"/>
      <c r="M22" s="8"/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8"/>
      <c r="AM22" s="4"/>
      <c r="AN22" s="4"/>
      <c r="AO22" s="8"/>
      <c r="AP22" s="4">
        <v>12</v>
      </c>
      <c r="AQ22" s="4"/>
      <c r="AR22" s="8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</row>
    <row r="23" spans="1:56" s="3" customFormat="1" ht="18">
      <c r="A23" s="3" t="s">
        <v>42</v>
      </c>
      <c r="B23" s="7"/>
      <c r="C23" s="7"/>
      <c r="D23" s="7"/>
      <c r="E23" s="8"/>
      <c r="F23" s="8"/>
      <c r="G23" s="8"/>
      <c r="H23" s="8"/>
      <c r="I23" s="8"/>
      <c r="J23" s="8"/>
      <c r="K23" s="8"/>
      <c r="L23" s="8"/>
      <c r="M23" s="8"/>
      <c r="N23" s="39">
        <v>0.66666666666666663</v>
      </c>
      <c r="O23" s="39">
        <v>0.66666666666666663</v>
      </c>
      <c r="P23" s="39">
        <v>0.66666666666666663</v>
      </c>
      <c r="Q23" s="39">
        <v>0.66666666666666663</v>
      </c>
      <c r="R23" s="39">
        <v>0.66666666666666663</v>
      </c>
      <c r="S23" s="39">
        <v>0.66666666666666663</v>
      </c>
      <c r="T23" s="39">
        <v>0.66666666666666663</v>
      </c>
      <c r="U23" s="39">
        <v>0.66666666666666663</v>
      </c>
      <c r="V23" s="39">
        <v>0.66666666666666663</v>
      </c>
      <c r="W23" s="39">
        <v>0.66666666666666663</v>
      </c>
      <c r="X23" s="39">
        <v>0.66666666666666663</v>
      </c>
      <c r="Y23" s="39">
        <v>0.66666666666666663</v>
      </c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8"/>
      <c r="AM23" s="4"/>
      <c r="AN23" s="39"/>
      <c r="AO23" s="8"/>
      <c r="AP23" s="39">
        <v>8</v>
      </c>
      <c r="AQ23" s="39"/>
      <c r="AR23" s="8"/>
      <c r="AS23" s="4"/>
      <c r="AT23" s="39"/>
      <c r="AU23" s="4"/>
      <c r="AV23" s="4"/>
      <c r="AW23" s="4"/>
      <c r="AX23" s="4"/>
      <c r="AY23" s="4"/>
      <c r="AZ23" s="4"/>
      <c r="BA23" s="4"/>
      <c r="BB23" s="4"/>
      <c r="BC23" s="4"/>
      <c r="BD23" s="4"/>
    </row>
    <row r="24" spans="1:56" s="10" customFormat="1" ht="18">
      <c r="A24" s="10" t="s">
        <v>142</v>
      </c>
      <c r="E24" s="11"/>
      <c r="F24" s="11"/>
      <c r="G24" s="11"/>
      <c r="H24" s="12" t="e">
        <v>#DIV/0!</v>
      </c>
      <c r="I24" s="12">
        <v>1.6666666666666667</v>
      </c>
      <c r="J24" s="12">
        <v>0.83333333333333337</v>
      </c>
      <c r="K24" s="12">
        <v>1.5</v>
      </c>
      <c r="L24" s="12">
        <v>2.3333333333333335</v>
      </c>
      <c r="M24" s="12">
        <v>2.3333333333333335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8"/>
      <c r="AM24" s="11"/>
      <c r="AN24" s="11"/>
      <c r="AO24" s="8"/>
      <c r="AP24" s="11"/>
      <c r="AQ24" s="11"/>
      <c r="AR24" s="8" t="e">
        <v>#DIV/0!</v>
      </c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</row>
    <row r="25" spans="1:56" s="3" customFormat="1" ht="18">
      <c r="A25" s="3" t="s">
        <v>72</v>
      </c>
      <c r="E25" s="4"/>
      <c r="F25" s="4"/>
      <c r="G25" s="4"/>
      <c r="H25" s="4"/>
      <c r="I25" s="4"/>
      <c r="J25" s="4"/>
      <c r="K25" s="4"/>
      <c r="L25" s="4"/>
      <c r="M25" s="4"/>
      <c r="N25" s="86">
        <v>1287500</v>
      </c>
      <c r="O25" s="86">
        <v>1287500</v>
      </c>
      <c r="P25" s="86">
        <v>1175000</v>
      </c>
      <c r="Q25" s="86">
        <v>1175000</v>
      </c>
      <c r="R25" s="86">
        <v>1175000</v>
      </c>
      <c r="S25" s="86">
        <v>1175000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8"/>
      <c r="AM25" s="4"/>
      <c r="AN25" s="4"/>
      <c r="AO25" s="8"/>
      <c r="AP25" s="4"/>
      <c r="AQ25" s="4"/>
      <c r="AR25" s="8" t="e">
        <v>#DIV/0!</v>
      </c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</row>
    <row r="26" spans="1:56" s="95" customFormat="1" ht="18">
      <c r="A26" s="95" t="s">
        <v>73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920000</v>
      </c>
      <c r="H26" s="96">
        <v>200000</v>
      </c>
      <c r="I26" s="96">
        <v>500000</v>
      </c>
      <c r="J26" s="96">
        <v>720000</v>
      </c>
      <c r="K26" s="96">
        <v>720000</v>
      </c>
      <c r="L26" s="96">
        <v>460000</v>
      </c>
      <c r="M26" s="96">
        <v>460000</v>
      </c>
      <c r="N26" s="98">
        <v>673043</v>
      </c>
      <c r="O26" s="98">
        <v>865126</v>
      </c>
      <c r="P26" s="98">
        <v>495145</v>
      </c>
      <c r="Q26" s="98">
        <v>776696</v>
      </c>
      <c r="R26" s="98">
        <v>570117</v>
      </c>
      <c r="S26" s="98">
        <v>530449</v>
      </c>
      <c r="T26" s="98">
        <v>315000</v>
      </c>
      <c r="U26" s="98">
        <v>365000</v>
      </c>
      <c r="V26" s="98">
        <v>446103</v>
      </c>
      <c r="W26" s="98">
        <v>460373</v>
      </c>
      <c r="X26" s="98">
        <v>796103</v>
      </c>
      <c r="Y26" s="98">
        <v>549302</v>
      </c>
      <c r="Z26" s="98">
        <v>677773</v>
      </c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102">
        <v>3980000</v>
      </c>
      <c r="AM26" s="116">
        <v>6403155</v>
      </c>
      <c r="AN26" s="98"/>
      <c r="AO26" s="108"/>
      <c r="AP26" s="97"/>
      <c r="AQ26" s="98"/>
      <c r="AR26" s="108" t="e">
        <v>#DIV/0!</v>
      </c>
      <c r="AS26" s="97"/>
      <c r="AT26" s="98"/>
      <c r="AU26" s="97"/>
      <c r="AV26" s="97"/>
      <c r="AW26" s="97"/>
      <c r="AX26" s="97"/>
      <c r="AY26" s="97"/>
      <c r="AZ26" s="97"/>
      <c r="BA26" s="97"/>
      <c r="BB26" s="97"/>
      <c r="BC26" s="97"/>
      <c r="BD26" s="97"/>
    </row>
    <row r="27" spans="1:56" s="91" customFormat="1" ht="18">
      <c r="A27" s="91" t="s">
        <v>45</v>
      </c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9">
        <v>0</v>
      </c>
      <c r="O27" s="99">
        <v>220000</v>
      </c>
      <c r="P27" s="99">
        <v>0</v>
      </c>
      <c r="Q27" s="99">
        <v>220000</v>
      </c>
      <c r="R27" s="99">
        <v>55000</v>
      </c>
      <c r="S27" s="99">
        <v>0</v>
      </c>
      <c r="T27" s="99">
        <v>0</v>
      </c>
      <c r="U27" s="99">
        <v>110000</v>
      </c>
      <c r="V27" s="99">
        <v>0</v>
      </c>
      <c r="W27" s="99">
        <v>0</v>
      </c>
      <c r="X27" s="99">
        <v>330000</v>
      </c>
      <c r="Y27" s="99">
        <v>143000</v>
      </c>
      <c r="Z27" s="99">
        <v>176000</v>
      </c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103"/>
      <c r="AM27" s="116">
        <v>1045000</v>
      </c>
      <c r="AN27" s="99"/>
      <c r="AO27" s="103"/>
      <c r="AP27" s="99"/>
      <c r="AQ27" s="99"/>
      <c r="AR27" s="103"/>
      <c r="AS27" s="99"/>
      <c r="AT27" s="99"/>
      <c r="AU27" s="93"/>
      <c r="AV27" s="93"/>
      <c r="AW27" s="93"/>
      <c r="AX27" s="93"/>
      <c r="AY27" s="93"/>
      <c r="AZ27" s="93"/>
      <c r="BA27" s="93"/>
      <c r="BB27" s="93"/>
      <c r="BC27" s="93"/>
      <c r="BD27" s="93"/>
    </row>
    <row r="28" spans="1:56" s="91" customFormat="1" ht="18">
      <c r="A28" s="91" t="s">
        <v>46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9">
        <v>30000</v>
      </c>
      <c r="O28" s="99">
        <v>30000</v>
      </c>
      <c r="P28" s="99">
        <v>30000</v>
      </c>
      <c r="Q28" s="99">
        <v>30000</v>
      </c>
      <c r="R28" s="99">
        <v>0</v>
      </c>
      <c r="S28" s="99">
        <v>30000</v>
      </c>
      <c r="T28" s="99">
        <v>60000</v>
      </c>
      <c r="U28" s="99">
        <v>0</v>
      </c>
      <c r="V28" s="99">
        <v>15000</v>
      </c>
      <c r="W28" s="99">
        <v>45000</v>
      </c>
      <c r="X28" s="99">
        <v>60000</v>
      </c>
      <c r="Y28" s="99">
        <v>0</v>
      </c>
      <c r="Z28" s="99">
        <v>45000</v>
      </c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103"/>
      <c r="AM28" s="116">
        <v>330000</v>
      </c>
      <c r="AN28" s="99"/>
      <c r="AO28" s="103"/>
      <c r="AP28" s="99"/>
      <c r="AQ28" s="99"/>
      <c r="AR28" s="103"/>
      <c r="AS28" s="99"/>
      <c r="AT28" s="99"/>
      <c r="AU28" s="93"/>
      <c r="AV28" s="93"/>
      <c r="AW28" s="93"/>
      <c r="AX28" s="93"/>
      <c r="AY28" s="93"/>
      <c r="AZ28" s="93"/>
      <c r="BA28" s="93"/>
      <c r="BB28" s="93"/>
      <c r="BC28" s="93"/>
      <c r="BD28" s="93"/>
    </row>
    <row r="29" spans="1:56" s="91" customFormat="1" ht="18">
      <c r="A29" s="91" t="s">
        <v>47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Z29" s="99">
        <v>0</v>
      </c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103"/>
      <c r="AM29" s="116">
        <v>0</v>
      </c>
      <c r="AN29" s="99"/>
      <c r="AO29" s="103"/>
      <c r="AP29" s="99"/>
      <c r="AQ29" s="99"/>
      <c r="AR29" s="103"/>
      <c r="AS29" s="99"/>
      <c r="AT29" s="99"/>
      <c r="AU29" s="93"/>
      <c r="AV29" s="93"/>
      <c r="AW29" s="93"/>
      <c r="AX29" s="93"/>
      <c r="AY29" s="93"/>
      <c r="AZ29" s="93"/>
      <c r="BA29" s="93"/>
      <c r="BB29" s="93"/>
      <c r="BC29" s="93"/>
      <c r="BD29" s="93"/>
    </row>
    <row r="30" spans="1:56" s="91" customFormat="1" ht="18">
      <c r="A30" s="91" t="s">
        <v>48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9">
        <v>0</v>
      </c>
      <c r="O30" s="99">
        <v>0</v>
      </c>
      <c r="P30" s="99">
        <v>0</v>
      </c>
      <c r="Q30" s="99">
        <v>0</v>
      </c>
      <c r="R30" s="99">
        <v>0</v>
      </c>
      <c r="S30" s="99">
        <v>0</v>
      </c>
      <c r="T30" s="99">
        <v>0</v>
      </c>
      <c r="U30" s="99">
        <v>0</v>
      </c>
      <c r="V30" s="99">
        <v>0</v>
      </c>
      <c r="W30" s="99">
        <v>0</v>
      </c>
      <c r="X30" s="99">
        <v>0</v>
      </c>
      <c r="Y30" s="99">
        <v>0</v>
      </c>
      <c r="Z30" s="99">
        <v>0</v>
      </c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103"/>
      <c r="AM30" s="116">
        <v>0</v>
      </c>
      <c r="AN30" s="99"/>
      <c r="AO30" s="103"/>
      <c r="AP30" s="99"/>
      <c r="AQ30" s="99"/>
      <c r="AR30" s="103"/>
      <c r="AS30" s="99"/>
      <c r="AT30" s="99"/>
      <c r="AU30" s="93"/>
      <c r="AV30" s="93"/>
      <c r="AW30" s="93"/>
      <c r="AX30" s="93"/>
      <c r="AY30" s="93"/>
      <c r="AZ30" s="93"/>
      <c r="BA30" s="93"/>
      <c r="BB30" s="93"/>
      <c r="BC30" s="93"/>
      <c r="BD30" s="93"/>
    </row>
    <row r="31" spans="1:56" s="91" customFormat="1" ht="18">
      <c r="A31" s="91" t="s">
        <v>49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9">
        <v>155543</v>
      </c>
      <c r="O31" s="99">
        <v>127626</v>
      </c>
      <c r="P31" s="99">
        <v>90145</v>
      </c>
      <c r="Q31" s="99">
        <v>151696</v>
      </c>
      <c r="R31" s="99">
        <v>140117</v>
      </c>
      <c r="S31" s="99">
        <v>125449</v>
      </c>
      <c r="T31" s="99">
        <v>0</v>
      </c>
      <c r="U31" s="99">
        <v>0</v>
      </c>
      <c r="V31" s="99">
        <v>176103</v>
      </c>
      <c r="W31" s="99">
        <v>160373</v>
      </c>
      <c r="X31" s="99">
        <v>151103</v>
      </c>
      <c r="Y31" s="123">
        <v>151302</v>
      </c>
      <c r="Z31" s="99">
        <v>201773</v>
      </c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103"/>
      <c r="AM31" s="116">
        <v>1278155</v>
      </c>
      <c r="AN31" s="99"/>
      <c r="AO31" s="103"/>
      <c r="AP31" s="99"/>
      <c r="AQ31" s="99"/>
      <c r="AR31" s="103"/>
      <c r="AS31" s="99"/>
      <c r="AT31" s="99"/>
      <c r="AU31" s="93"/>
      <c r="AV31" s="93"/>
      <c r="AW31" s="93"/>
      <c r="AX31" s="93"/>
      <c r="AY31" s="93"/>
      <c r="AZ31" s="93"/>
      <c r="BA31" s="93"/>
      <c r="BB31" s="93"/>
      <c r="BC31" s="93"/>
      <c r="BD31" s="93"/>
    </row>
    <row r="32" spans="1:56" s="91" customFormat="1" ht="18">
      <c r="A32" s="91" t="s">
        <v>50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55000</v>
      </c>
      <c r="U32" s="99">
        <v>55000</v>
      </c>
      <c r="V32" s="99">
        <v>55000</v>
      </c>
      <c r="W32" s="99">
        <v>55000</v>
      </c>
      <c r="X32" s="99">
        <v>55000</v>
      </c>
      <c r="Y32" s="99">
        <v>55000</v>
      </c>
      <c r="Z32" s="99">
        <v>55000</v>
      </c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103"/>
      <c r="AM32" s="116">
        <v>275000</v>
      </c>
      <c r="AN32" s="99"/>
      <c r="AO32" s="103"/>
      <c r="AP32" s="99"/>
      <c r="AQ32" s="99"/>
      <c r="AR32" s="103"/>
      <c r="AS32" s="99"/>
      <c r="AT32" s="99"/>
      <c r="AU32" s="93"/>
      <c r="AV32" s="93"/>
      <c r="AW32" s="93"/>
      <c r="AX32" s="93"/>
      <c r="AY32" s="93"/>
      <c r="AZ32" s="93"/>
      <c r="BA32" s="93"/>
      <c r="BB32" s="93"/>
      <c r="BC32" s="93"/>
      <c r="BD32" s="93"/>
    </row>
    <row r="33" spans="1:56" s="91" customFormat="1" ht="18">
      <c r="A33" s="91" t="s">
        <v>51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9">
        <v>487500</v>
      </c>
      <c r="O33" s="99">
        <v>487500</v>
      </c>
      <c r="P33" s="99">
        <v>375000</v>
      </c>
      <c r="Q33" s="99">
        <v>375000</v>
      </c>
      <c r="R33" s="99">
        <v>375000</v>
      </c>
      <c r="S33" s="99">
        <v>375000</v>
      </c>
      <c r="T33" s="99">
        <v>200000</v>
      </c>
      <c r="U33" s="99">
        <v>200000</v>
      </c>
      <c r="V33" s="99">
        <v>200000</v>
      </c>
      <c r="W33" s="99">
        <v>200000</v>
      </c>
      <c r="X33" s="99">
        <v>200000</v>
      </c>
      <c r="Y33" s="99">
        <v>200000</v>
      </c>
      <c r="Z33" s="99">
        <v>200000</v>
      </c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103"/>
      <c r="AM33" s="116">
        <v>3475000</v>
      </c>
      <c r="AN33" s="99"/>
      <c r="AO33" s="103"/>
      <c r="AP33" s="99"/>
      <c r="AQ33" s="99"/>
      <c r="AR33" s="103"/>
      <c r="AS33" s="99"/>
      <c r="AT33" s="99"/>
      <c r="AU33" s="93"/>
      <c r="AV33" s="93"/>
      <c r="AW33" s="93"/>
      <c r="AX33" s="93"/>
      <c r="AY33" s="93"/>
      <c r="AZ33" s="93"/>
      <c r="BA33" s="93"/>
      <c r="BB33" s="93"/>
      <c r="BC33" s="93"/>
      <c r="BD33" s="93"/>
    </row>
    <row r="34" spans="1:56" s="91" customFormat="1" ht="18">
      <c r="A34" s="91" t="s">
        <v>52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9">
        <v>0</v>
      </c>
      <c r="O34" s="99">
        <v>0</v>
      </c>
      <c r="P34" s="99">
        <v>0</v>
      </c>
      <c r="Q34" s="99">
        <v>0</v>
      </c>
      <c r="R34" s="99">
        <v>0</v>
      </c>
      <c r="S34" s="99">
        <v>0</v>
      </c>
      <c r="T34" s="99">
        <v>0</v>
      </c>
      <c r="U34" s="99">
        <v>0</v>
      </c>
      <c r="V34" s="99">
        <v>0</v>
      </c>
      <c r="W34" s="99">
        <v>0</v>
      </c>
      <c r="X34" s="99">
        <v>0</v>
      </c>
      <c r="Y34" s="99">
        <v>0</v>
      </c>
      <c r="Z34" s="99">
        <v>0</v>
      </c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103"/>
      <c r="AM34" s="116">
        <v>0</v>
      </c>
      <c r="AN34" s="99"/>
      <c r="AO34" s="103"/>
      <c r="AP34" s="99"/>
      <c r="AQ34" s="99"/>
      <c r="AR34" s="103"/>
      <c r="AS34" s="99"/>
      <c r="AT34" s="99"/>
      <c r="AU34" s="93"/>
      <c r="AV34" s="93"/>
      <c r="AW34" s="93"/>
      <c r="AX34" s="93"/>
      <c r="AY34" s="93"/>
      <c r="AZ34" s="93"/>
      <c r="BA34" s="93"/>
      <c r="BB34" s="93"/>
      <c r="BC34" s="93"/>
      <c r="BD34" s="93"/>
    </row>
    <row r="35" spans="1:56" s="87" customFormat="1" ht="18">
      <c r="A35" s="87" t="s">
        <v>74</v>
      </c>
      <c r="B35" s="88" t="s">
        <v>143</v>
      </c>
      <c r="C35" s="88" t="s">
        <v>143</v>
      </c>
      <c r="D35" s="88" t="s">
        <v>143</v>
      </c>
      <c r="E35" s="88" t="s">
        <v>143</v>
      </c>
      <c r="F35" s="88" t="s">
        <v>143</v>
      </c>
      <c r="G35" s="88">
        <v>153333.33333333334</v>
      </c>
      <c r="H35" s="88">
        <v>33333.333333333336</v>
      </c>
      <c r="I35" s="88">
        <v>45454.545454545456</v>
      </c>
      <c r="J35" s="88">
        <v>90000</v>
      </c>
      <c r="K35" s="88">
        <v>72000</v>
      </c>
      <c r="L35" s="88">
        <v>115000</v>
      </c>
      <c r="M35" s="88">
        <v>65714.28571428571</v>
      </c>
      <c r="N35" s="100">
        <v>84130.375</v>
      </c>
      <c r="O35" s="100">
        <v>216281.5</v>
      </c>
      <c r="P35" s="100">
        <v>99029</v>
      </c>
      <c r="Q35" s="100">
        <v>110956.57142857143</v>
      </c>
      <c r="R35" s="100">
        <v>0</v>
      </c>
      <c r="S35" s="100">
        <v>265224.5</v>
      </c>
      <c r="T35" s="100">
        <v>105000</v>
      </c>
      <c r="U35" s="100">
        <v>365000</v>
      </c>
      <c r="V35" s="100">
        <v>223051.5</v>
      </c>
      <c r="W35" s="100">
        <v>230186.5</v>
      </c>
      <c r="X35" s="100">
        <v>398051.5</v>
      </c>
      <c r="Y35" s="100">
        <v>183100.66666666666</v>
      </c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4">
        <v>82119.356833642552</v>
      </c>
      <c r="AM35" s="100" t="e">
        <v>#DIV/0!</v>
      </c>
      <c r="AN35" s="100"/>
      <c r="AO35" s="8"/>
      <c r="AP35" s="89"/>
      <c r="AQ35" s="100"/>
      <c r="AR35" s="8" t="e">
        <v>#DIV/0!</v>
      </c>
      <c r="AS35" s="89"/>
      <c r="AT35" s="100"/>
      <c r="AU35" s="89"/>
      <c r="AV35" s="89"/>
      <c r="AW35" s="89"/>
      <c r="AX35" s="89"/>
      <c r="AY35" s="89"/>
      <c r="AZ35" s="89"/>
      <c r="BA35" s="89"/>
      <c r="BB35" s="89"/>
      <c r="BC35" s="89"/>
      <c r="BD35" s="89"/>
    </row>
    <row r="36" spans="1:56" s="87" customFormat="1" ht="18">
      <c r="A36" s="87" t="s">
        <v>75</v>
      </c>
      <c r="B36" s="88" t="s">
        <v>143</v>
      </c>
      <c r="C36" s="88" t="s">
        <v>143</v>
      </c>
      <c r="D36" s="88" t="s">
        <v>143</v>
      </c>
      <c r="E36" s="88" t="s">
        <v>143</v>
      </c>
      <c r="F36" s="88" t="s">
        <v>143</v>
      </c>
      <c r="G36" s="88" t="s">
        <v>143</v>
      </c>
      <c r="H36" s="88" t="s">
        <v>143</v>
      </c>
      <c r="I36" s="88" t="s">
        <v>143</v>
      </c>
      <c r="J36" s="88" t="s">
        <v>143</v>
      </c>
      <c r="K36" s="88" t="s">
        <v>143</v>
      </c>
      <c r="L36" s="88" t="s">
        <v>143</v>
      </c>
      <c r="M36" s="88">
        <v>230000</v>
      </c>
      <c r="N36" s="100">
        <v>0</v>
      </c>
      <c r="O36" s="100">
        <v>0</v>
      </c>
      <c r="P36" s="100">
        <v>165048.33333333334</v>
      </c>
      <c r="Q36" s="100">
        <v>0</v>
      </c>
      <c r="R36" s="100">
        <v>570117</v>
      </c>
      <c r="S36" s="100">
        <v>0</v>
      </c>
      <c r="T36" s="100">
        <v>0</v>
      </c>
      <c r="U36" s="100">
        <v>0</v>
      </c>
      <c r="V36" s="100">
        <v>0</v>
      </c>
      <c r="W36" s="100">
        <v>0</v>
      </c>
      <c r="X36" s="100">
        <v>398051.5</v>
      </c>
      <c r="Y36" s="100">
        <v>549302</v>
      </c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4">
        <v>230000</v>
      </c>
      <c r="AM36" s="100">
        <v>1600788.75</v>
      </c>
      <c r="AN36" s="100"/>
      <c r="AO36" s="8"/>
      <c r="AP36" s="89"/>
      <c r="AQ36" s="100"/>
      <c r="AR36" s="8" t="e">
        <v>#DIV/0!</v>
      </c>
      <c r="AS36" s="89"/>
      <c r="AT36" s="100"/>
      <c r="AU36" s="89"/>
      <c r="AV36" s="89"/>
      <c r="AW36" s="89"/>
      <c r="AX36" s="89"/>
      <c r="AY36" s="89"/>
      <c r="AZ36" s="89"/>
      <c r="BA36" s="89"/>
      <c r="BB36" s="89"/>
      <c r="BC36" s="89"/>
      <c r="BD36" s="89"/>
    </row>
    <row r="37" spans="1:56" s="87" customFormat="1" ht="18">
      <c r="A37" s="87" t="s">
        <v>76</v>
      </c>
      <c r="E37" s="89"/>
      <c r="F37" s="89"/>
      <c r="G37" s="89"/>
      <c r="H37" s="89"/>
      <c r="I37" s="89"/>
      <c r="J37" s="89"/>
      <c r="K37" s="89"/>
      <c r="L37" s="89"/>
      <c r="M37" s="89"/>
      <c r="N37" s="100">
        <v>673043</v>
      </c>
      <c r="O37" s="100">
        <v>0</v>
      </c>
      <c r="P37" s="100">
        <v>0</v>
      </c>
      <c r="Q37" s="100">
        <v>0</v>
      </c>
      <c r="R37" s="100">
        <v>0</v>
      </c>
      <c r="S37" s="100">
        <v>0</v>
      </c>
      <c r="T37" s="100">
        <v>315000</v>
      </c>
      <c r="U37" s="100">
        <v>0</v>
      </c>
      <c r="V37" s="100">
        <v>0</v>
      </c>
      <c r="W37" s="100">
        <v>0</v>
      </c>
      <c r="X37" s="100">
        <v>0</v>
      </c>
      <c r="Y37" s="100">
        <v>0</v>
      </c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4" t="s">
        <v>143</v>
      </c>
      <c r="AM37" s="100">
        <v>6403155</v>
      </c>
      <c r="AN37" s="100"/>
      <c r="AO37" s="8"/>
      <c r="AP37" s="89"/>
      <c r="AQ37" s="100"/>
      <c r="AR37" s="8" t="e">
        <v>#VALUE!</v>
      </c>
      <c r="AS37" s="89"/>
      <c r="AT37" s="100"/>
      <c r="AU37" s="89"/>
      <c r="AV37" s="89"/>
      <c r="AW37" s="89"/>
      <c r="AX37" s="89"/>
      <c r="AY37" s="89"/>
      <c r="AZ37" s="89"/>
      <c r="BA37" s="89"/>
      <c r="BB37" s="89"/>
      <c r="BC37" s="89"/>
      <c r="BD37" s="89"/>
    </row>
    <row r="39" spans="1:56" ht="18"/>
    <row r="40" spans="1:56" ht="15.75" customHeight="1">
      <c r="AU40" s="21" t="s">
        <v>5</v>
      </c>
      <c r="AV40" s="6"/>
      <c r="AW40" s="16" t="s">
        <v>74</v>
      </c>
      <c r="AX40" s="17"/>
      <c r="AY40" s="18" t="s">
        <v>55</v>
      </c>
      <c r="AZ40" s="19"/>
    </row>
    <row r="41" spans="1:56" ht="18">
      <c r="A41" s="49" t="s">
        <v>56</v>
      </c>
      <c r="AU41" s="2" t="s">
        <v>1</v>
      </c>
      <c r="AV41" s="2" t="s">
        <v>2</v>
      </c>
      <c r="AW41" s="2" t="s">
        <v>1</v>
      </c>
      <c r="AX41" s="2" t="s">
        <v>2</v>
      </c>
      <c r="AY41" s="2" t="s">
        <v>1</v>
      </c>
      <c r="AZ41" s="2" t="s">
        <v>2</v>
      </c>
    </row>
    <row r="42" spans="1:56" ht="18">
      <c r="A42" s="1" t="s">
        <v>168</v>
      </c>
      <c r="B42" s="2" t="s">
        <v>19</v>
      </c>
      <c r="C42" s="2" t="s">
        <v>19</v>
      </c>
      <c r="D42" s="2" t="s">
        <v>19</v>
      </c>
      <c r="E42" s="2" t="s">
        <v>19</v>
      </c>
      <c r="F42" s="2" t="s">
        <v>19</v>
      </c>
      <c r="G42" s="2">
        <v>0</v>
      </c>
      <c r="H42" s="2">
        <v>0</v>
      </c>
      <c r="I42" s="2">
        <v>1</v>
      </c>
      <c r="J42" s="2">
        <v>2</v>
      </c>
      <c r="K42" s="2">
        <v>3</v>
      </c>
      <c r="L42" s="2">
        <v>2</v>
      </c>
      <c r="M42" s="2">
        <v>4</v>
      </c>
      <c r="N42" s="2">
        <v>3</v>
      </c>
      <c r="AL42" s="8">
        <v>12</v>
      </c>
      <c r="AU42" s="36">
        <v>2560000</v>
      </c>
      <c r="AV42" s="35"/>
      <c r="AW42" s="36">
        <v>213333.33333333334</v>
      </c>
      <c r="AX42" s="35"/>
      <c r="AY42" s="36"/>
      <c r="AZ42" s="35"/>
    </row>
    <row r="43" spans="1:56" ht="18">
      <c r="A43" s="1" t="s">
        <v>169</v>
      </c>
      <c r="B43" s="2" t="s">
        <v>19</v>
      </c>
      <c r="C43" s="2" t="s">
        <v>19</v>
      </c>
      <c r="D43" s="2" t="s">
        <v>19</v>
      </c>
      <c r="E43" s="2" t="s">
        <v>19</v>
      </c>
      <c r="F43" s="2" t="s">
        <v>19</v>
      </c>
      <c r="G43" s="2">
        <v>0</v>
      </c>
      <c r="H43" s="2">
        <v>0</v>
      </c>
      <c r="I43" s="2">
        <v>5</v>
      </c>
      <c r="J43" s="2">
        <v>4</v>
      </c>
      <c r="K43" s="2">
        <v>3</v>
      </c>
      <c r="L43" s="2">
        <v>0</v>
      </c>
      <c r="M43" s="2">
        <v>1</v>
      </c>
      <c r="N43" s="2">
        <v>2</v>
      </c>
      <c r="AL43" s="8">
        <v>13</v>
      </c>
      <c r="AU43" s="36">
        <v>1300000</v>
      </c>
      <c r="AV43" s="35"/>
      <c r="AW43" s="36">
        <v>100000</v>
      </c>
      <c r="AX43" s="35"/>
      <c r="AY43" s="36"/>
      <c r="AZ43" s="35"/>
    </row>
    <row r="44" spans="1:56" ht="18">
      <c r="A44" s="1" t="s">
        <v>170</v>
      </c>
      <c r="B44" s="2" t="s">
        <v>19</v>
      </c>
      <c r="C44" s="2" t="s">
        <v>19</v>
      </c>
      <c r="D44" s="2" t="s">
        <v>19</v>
      </c>
      <c r="E44" s="2" t="s">
        <v>19</v>
      </c>
      <c r="F44" s="2" t="s">
        <v>19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2</v>
      </c>
      <c r="M44" s="2">
        <v>1</v>
      </c>
      <c r="N44" s="2">
        <v>0</v>
      </c>
      <c r="AL44" s="8">
        <v>3</v>
      </c>
      <c r="AU44" s="36">
        <v>120000</v>
      </c>
      <c r="AV44" s="35"/>
      <c r="AW44" s="36">
        <v>40000</v>
      </c>
      <c r="AX44" s="35"/>
      <c r="AY44" s="36"/>
      <c r="AZ44" s="35"/>
    </row>
    <row r="45" spans="1:56" ht="18">
      <c r="A45" s="1" t="s">
        <v>171</v>
      </c>
      <c r="B45" s="2" t="s">
        <v>19</v>
      </c>
      <c r="C45" s="2" t="s">
        <v>19</v>
      </c>
      <c r="D45" s="2" t="s">
        <v>19</v>
      </c>
      <c r="E45" s="2" t="s">
        <v>19</v>
      </c>
      <c r="F45" s="2" t="s">
        <v>19</v>
      </c>
      <c r="G45" s="2">
        <v>0</v>
      </c>
      <c r="H45" s="2">
        <v>0</v>
      </c>
      <c r="I45" s="2">
        <v>5</v>
      </c>
      <c r="J45" s="2">
        <v>1</v>
      </c>
      <c r="K45" s="2">
        <v>4</v>
      </c>
      <c r="L45" s="2">
        <v>0</v>
      </c>
      <c r="M45" s="2">
        <v>1</v>
      </c>
      <c r="N45" s="2">
        <v>1</v>
      </c>
      <c r="AL45" s="8">
        <v>11</v>
      </c>
    </row>
    <row r="46" spans="1:56" ht="18">
      <c r="A46" s="1" t="s">
        <v>172</v>
      </c>
      <c r="B46" s="2" t="s">
        <v>19</v>
      </c>
      <c r="C46" s="2" t="s">
        <v>19</v>
      </c>
      <c r="D46" s="2" t="s">
        <v>19</v>
      </c>
      <c r="E46" s="2" t="s">
        <v>19</v>
      </c>
      <c r="F46" s="2" t="s">
        <v>19</v>
      </c>
      <c r="G46" s="2">
        <v>6</v>
      </c>
      <c r="H46" s="2">
        <v>6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  <c r="N46" s="2">
        <v>0</v>
      </c>
      <c r="AL46" s="8">
        <v>13</v>
      </c>
    </row>
    <row r="47" spans="1:56" ht="18">
      <c r="A47" s="1" t="s">
        <v>173</v>
      </c>
      <c r="B47" s="2" t="s">
        <v>19</v>
      </c>
      <c r="C47" s="2" t="s">
        <v>19</v>
      </c>
      <c r="D47" s="2" t="s">
        <v>19</v>
      </c>
      <c r="E47" s="2" t="s">
        <v>19</v>
      </c>
      <c r="F47" s="2" t="s">
        <v>19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AL47" s="8">
        <v>0</v>
      </c>
    </row>
    <row r="48" spans="1:56" ht="18">
      <c r="A48" s="1" t="s">
        <v>174</v>
      </c>
      <c r="B48" s="2" t="s">
        <v>19</v>
      </c>
      <c r="C48" s="2" t="s">
        <v>19</v>
      </c>
      <c r="D48" s="2" t="s">
        <v>19</v>
      </c>
      <c r="E48" s="2" t="s">
        <v>19</v>
      </c>
      <c r="F48" s="2" t="s">
        <v>19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AL48" s="8">
        <v>0</v>
      </c>
    </row>
    <row r="49" spans="1:56" ht="18">
      <c r="A49" s="1" t="s">
        <v>175</v>
      </c>
      <c r="B49" s="2" t="s">
        <v>19</v>
      </c>
      <c r="C49" s="2" t="s">
        <v>19</v>
      </c>
      <c r="D49" s="2" t="s">
        <v>19</v>
      </c>
      <c r="E49" s="2" t="s">
        <v>19</v>
      </c>
      <c r="F49" s="2" t="s">
        <v>19</v>
      </c>
      <c r="G49" s="9">
        <v>0.61019999999999996</v>
      </c>
      <c r="H49" s="9">
        <v>0.52759999999999996</v>
      </c>
      <c r="I49" s="9">
        <v>0.55269999999999997</v>
      </c>
      <c r="J49" s="9">
        <v>0.55989999999999995</v>
      </c>
      <c r="K49" s="9">
        <v>0.57010000000000005</v>
      </c>
      <c r="L49" s="9">
        <v>0.59689999999999999</v>
      </c>
      <c r="M49" s="9">
        <v>0.59970000000000001</v>
      </c>
      <c r="N49" s="9">
        <v>0.59240000000000004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105">
        <v>0.59240000000000004</v>
      </c>
      <c r="AN49" s="9"/>
      <c r="AQ49" s="9"/>
      <c r="AT49" s="9"/>
    </row>
    <row r="50" spans="1:56" ht="18">
      <c r="B50" s="2" t="s">
        <v>6</v>
      </c>
      <c r="C50" s="2" t="s">
        <v>7</v>
      </c>
      <c r="D50" s="2" t="s">
        <v>8</v>
      </c>
      <c r="E50" s="2" t="s">
        <v>9</v>
      </c>
      <c r="F50" s="2" t="s">
        <v>10</v>
      </c>
      <c r="G50" s="2" t="s">
        <v>11</v>
      </c>
      <c r="H50" s="2" t="s">
        <v>12</v>
      </c>
      <c r="I50" s="2" t="s">
        <v>13</v>
      </c>
      <c r="J50" s="2" t="s">
        <v>14</v>
      </c>
      <c r="K50" s="2" t="s">
        <v>15</v>
      </c>
      <c r="L50" s="2" t="s">
        <v>16</v>
      </c>
      <c r="M50" s="2" t="s">
        <v>17</v>
      </c>
      <c r="N50" s="2" t="s">
        <v>131</v>
      </c>
      <c r="O50" s="2" t="s">
        <v>7</v>
      </c>
      <c r="P50" s="2" t="s">
        <v>8</v>
      </c>
      <c r="Q50" s="2" t="s">
        <v>132</v>
      </c>
      <c r="R50" s="2" t="s">
        <v>133</v>
      </c>
      <c r="S50" s="2" t="s">
        <v>134</v>
      </c>
      <c r="T50" s="2" t="s">
        <v>135</v>
      </c>
      <c r="U50" s="2" t="s">
        <v>136</v>
      </c>
      <c r="V50" s="2" t="s">
        <v>137</v>
      </c>
      <c r="W50" s="2" t="s">
        <v>138</v>
      </c>
      <c r="X50" s="2" t="s">
        <v>139</v>
      </c>
      <c r="Y50" s="2" t="s">
        <v>130</v>
      </c>
      <c r="AL50" s="8" t="s">
        <v>1</v>
      </c>
      <c r="AM50" s="2" t="s">
        <v>2</v>
      </c>
      <c r="AO50" s="8" t="s">
        <v>1</v>
      </c>
      <c r="AP50" s="2" t="s">
        <v>2</v>
      </c>
      <c r="AR50" s="8" t="s">
        <v>1</v>
      </c>
      <c r="AS50" s="2" t="s">
        <v>2</v>
      </c>
      <c r="BC50" s="2" t="s">
        <v>1</v>
      </c>
      <c r="BD50" s="2" t="s">
        <v>2</v>
      </c>
    </row>
    <row r="51" spans="1:56" ht="18">
      <c r="A51" s="1" t="s">
        <v>66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2</v>
      </c>
      <c r="H51" s="2">
        <v>2</v>
      </c>
      <c r="I51" s="2">
        <v>5</v>
      </c>
      <c r="J51" s="2">
        <v>4</v>
      </c>
      <c r="K51" s="2">
        <v>8</v>
      </c>
      <c r="L51" s="2">
        <v>1</v>
      </c>
      <c r="M51" s="2">
        <v>2</v>
      </c>
      <c r="N51" s="2">
        <v>6</v>
      </c>
      <c r="O51" s="2">
        <v>3</v>
      </c>
      <c r="P51" s="2">
        <v>6</v>
      </c>
      <c r="Q51" s="2">
        <v>17</v>
      </c>
      <c r="R51" s="2">
        <v>0</v>
      </c>
      <c r="S51" s="2">
        <v>1</v>
      </c>
      <c r="T51" s="2">
        <v>3</v>
      </c>
      <c r="U51" s="2">
        <v>0</v>
      </c>
      <c r="V51" s="2">
        <v>2</v>
      </c>
      <c r="W51" s="2">
        <v>2</v>
      </c>
      <c r="X51" s="2">
        <v>0</v>
      </c>
      <c r="Y51" s="2">
        <v>3</v>
      </c>
      <c r="AL51" s="8">
        <v>24</v>
      </c>
    </row>
    <row r="52" spans="1:56" ht="18">
      <c r="A52" s="1" t="s">
        <v>67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2</v>
      </c>
      <c r="H52" s="2">
        <v>2</v>
      </c>
      <c r="I52" s="2">
        <v>4</v>
      </c>
      <c r="J52" s="2">
        <v>3</v>
      </c>
      <c r="K52" s="2">
        <v>1</v>
      </c>
      <c r="L52" s="2">
        <v>1</v>
      </c>
      <c r="M52" s="2">
        <v>2</v>
      </c>
      <c r="N52" s="2">
        <v>3</v>
      </c>
      <c r="O52" s="2">
        <v>1</v>
      </c>
      <c r="P52" s="2">
        <v>1</v>
      </c>
      <c r="Q52" s="2">
        <v>7</v>
      </c>
      <c r="R52" s="2">
        <v>0</v>
      </c>
      <c r="S52" s="2">
        <v>1</v>
      </c>
      <c r="T52" s="2">
        <v>0</v>
      </c>
      <c r="U52" s="2">
        <v>1</v>
      </c>
      <c r="V52" s="2">
        <v>0</v>
      </c>
      <c r="W52" s="2">
        <v>0</v>
      </c>
      <c r="X52" s="2">
        <v>2</v>
      </c>
      <c r="Y52" s="2">
        <v>0</v>
      </c>
      <c r="AL52" s="8">
        <v>15</v>
      </c>
    </row>
    <row r="53" spans="1:56" ht="18">
      <c r="A53" s="1" t="s">
        <v>68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2</v>
      </c>
      <c r="H53" s="2">
        <v>2</v>
      </c>
      <c r="I53" s="2">
        <v>2</v>
      </c>
      <c r="J53" s="2">
        <v>1</v>
      </c>
      <c r="K53" s="2">
        <v>1</v>
      </c>
      <c r="L53" s="2">
        <v>2</v>
      </c>
      <c r="M53" s="2">
        <v>3</v>
      </c>
      <c r="N53" s="2">
        <v>1</v>
      </c>
      <c r="O53" s="2">
        <v>1</v>
      </c>
      <c r="P53" s="2">
        <v>1</v>
      </c>
      <c r="Q53" s="2">
        <v>6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AL53" s="8">
        <v>13</v>
      </c>
    </row>
    <row r="54" spans="1:56" s="5" customFormat="1" ht="18">
      <c r="A54" s="5" t="s">
        <v>69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6</v>
      </c>
      <c r="H54" s="6">
        <v>6</v>
      </c>
      <c r="I54" s="6">
        <v>11</v>
      </c>
      <c r="J54" s="6">
        <v>8</v>
      </c>
      <c r="K54" s="6">
        <v>10</v>
      </c>
      <c r="L54" s="6">
        <v>4</v>
      </c>
      <c r="M54" s="6">
        <v>7</v>
      </c>
      <c r="N54" s="6">
        <v>10</v>
      </c>
      <c r="O54" s="6">
        <v>5</v>
      </c>
      <c r="P54" s="6">
        <v>8</v>
      </c>
      <c r="Q54" s="6">
        <v>30</v>
      </c>
      <c r="R54" s="6">
        <v>0</v>
      </c>
      <c r="S54" s="6">
        <v>2</v>
      </c>
      <c r="T54" s="6">
        <v>3</v>
      </c>
      <c r="U54" s="6">
        <v>1</v>
      </c>
      <c r="V54" s="6">
        <v>2</v>
      </c>
      <c r="W54" s="6">
        <v>2</v>
      </c>
      <c r="X54" s="6">
        <v>2</v>
      </c>
      <c r="Y54" s="6">
        <v>3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8">
        <v>52</v>
      </c>
      <c r="AM54" s="6"/>
      <c r="AN54" s="6"/>
      <c r="AO54" s="8"/>
      <c r="AP54" s="6"/>
      <c r="AQ54" s="6"/>
      <c r="AR54" s="8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</row>
    <row r="55" spans="1:56" s="3" customFormat="1" ht="18">
      <c r="A55" s="3" t="s">
        <v>70</v>
      </c>
      <c r="B55" s="3">
        <v>4.5</v>
      </c>
      <c r="C55" s="3">
        <v>5.8</v>
      </c>
      <c r="D55" s="3">
        <v>6.8</v>
      </c>
      <c r="E55" s="4">
        <v>7.4</v>
      </c>
      <c r="F55" s="4">
        <v>8</v>
      </c>
      <c r="G55" s="4">
        <v>8.6999999999999993</v>
      </c>
      <c r="H55" s="4">
        <v>9.4</v>
      </c>
      <c r="I55" s="4">
        <v>9.8000000000000007</v>
      </c>
      <c r="J55" s="4">
        <v>10.6</v>
      </c>
      <c r="K55" s="4">
        <v>12.3</v>
      </c>
      <c r="L55" s="4">
        <v>13</v>
      </c>
      <c r="M55" s="4">
        <v>13</v>
      </c>
      <c r="N55" s="4">
        <v>11</v>
      </c>
      <c r="O55" s="4">
        <v>3.08</v>
      </c>
      <c r="P55" s="4">
        <v>3.08</v>
      </c>
      <c r="Q55" s="4">
        <v>3.08</v>
      </c>
      <c r="R55" s="4">
        <v>3.08</v>
      </c>
      <c r="S55" s="4">
        <v>3.08</v>
      </c>
      <c r="T55" s="4">
        <v>3.08</v>
      </c>
      <c r="U55" s="4">
        <v>3.08</v>
      </c>
      <c r="V55" s="4">
        <v>3.08</v>
      </c>
      <c r="W55" s="4">
        <v>3.08</v>
      </c>
      <c r="X55" s="4">
        <v>3.08</v>
      </c>
      <c r="Y55" s="4">
        <v>3.08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8">
        <v>109.3</v>
      </c>
      <c r="AM55" s="4"/>
      <c r="AN55" s="4"/>
      <c r="AO55" s="8"/>
      <c r="AP55" s="4"/>
      <c r="AQ55" s="4"/>
      <c r="AR55" s="8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</row>
    <row r="56" spans="1:56" ht="18">
      <c r="A56" s="1" t="s">
        <v>176</v>
      </c>
    </row>
    <row r="58" spans="1:56" ht="18"/>
    <row r="60" spans="1:56" ht="18">
      <c r="A60" s="49" t="s">
        <v>177</v>
      </c>
    </row>
    <row r="61" spans="1:56" ht="18">
      <c r="A61" s="22" t="s">
        <v>178</v>
      </c>
      <c r="E61" s="1"/>
      <c r="F61" s="1"/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AL61" s="7">
        <v>7</v>
      </c>
    </row>
    <row r="62" spans="1:56" ht="18">
      <c r="A62" s="22" t="s">
        <v>179</v>
      </c>
      <c r="E62" s="1"/>
      <c r="F62" s="1"/>
      <c r="G62" s="1">
        <v>2</v>
      </c>
      <c r="H62" s="1"/>
      <c r="I62" s="1"/>
      <c r="J62" s="1">
        <v>2</v>
      </c>
      <c r="K62" s="1">
        <v>2</v>
      </c>
      <c r="L62" s="1"/>
      <c r="M62" s="1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7">
        <v>6</v>
      </c>
      <c r="AN62" s="53"/>
      <c r="AQ62" s="53"/>
      <c r="AT62" s="53"/>
    </row>
    <row r="63" spans="1:56" ht="15.75" customHeight="1">
      <c r="A63" s="22" t="s">
        <v>180</v>
      </c>
      <c r="E63" s="1"/>
      <c r="F63" s="1"/>
      <c r="G63" s="1">
        <v>1</v>
      </c>
      <c r="H63" s="1"/>
      <c r="I63" s="1"/>
      <c r="J63" s="1"/>
      <c r="K63" s="1"/>
      <c r="L63" s="1"/>
      <c r="M63" s="1"/>
      <c r="AL63" s="7">
        <v>1</v>
      </c>
    </row>
    <row r="64" spans="1:56" ht="15.75" customHeight="1">
      <c r="A64" s="23" t="s">
        <v>168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920000</v>
      </c>
      <c r="H64" s="23">
        <v>200000</v>
      </c>
      <c r="I64" s="23">
        <v>200000</v>
      </c>
      <c r="J64" s="23">
        <v>420000</v>
      </c>
      <c r="K64" s="23">
        <v>420000</v>
      </c>
      <c r="L64" s="23">
        <v>200000</v>
      </c>
      <c r="M64" s="23">
        <v>200000</v>
      </c>
      <c r="AL64" s="106">
        <v>2560000</v>
      </c>
    </row>
    <row r="65" spans="1:46" ht="15.75" customHeight="1">
      <c r="A65" s="42" t="s">
        <v>181</v>
      </c>
      <c r="B65" s="23"/>
      <c r="C65" s="23"/>
      <c r="D65" s="23"/>
      <c r="E65" s="23"/>
      <c r="F65" s="23"/>
      <c r="G65" s="23"/>
      <c r="H65" s="23"/>
      <c r="I65" s="50">
        <v>210892</v>
      </c>
      <c r="J65" s="50">
        <v>190811</v>
      </c>
      <c r="K65" s="51">
        <v>199249</v>
      </c>
      <c r="L65" s="50">
        <v>153705</v>
      </c>
      <c r="M65" s="50">
        <v>157061</v>
      </c>
      <c r="AL65" s="106">
        <v>911718</v>
      </c>
    </row>
    <row r="66" spans="1:46" ht="15.75" customHeight="1">
      <c r="A66" s="23" t="s">
        <v>169</v>
      </c>
      <c r="B66" s="23"/>
      <c r="C66" s="23"/>
      <c r="D66" s="23"/>
      <c r="E66" s="23"/>
      <c r="F66" s="23"/>
      <c r="G66" s="23"/>
      <c r="H66" s="23"/>
      <c r="I66" s="23">
        <v>300000</v>
      </c>
      <c r="J66" s="23">
        <v>300000</v>
      </c>
      <c r="K66" s="23">
        <v>300000</v>
      </c>
      <c r="L66" s="23">
        <v>200000</v>
      </c>
      <c r="M66" s="23">
        <v>200000</v>
      </c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106">
        <v>1300000</v>
      </c>
      <c r="AN66" s="53"/>
      <c r="AQ66" s="53"/>
      <c r="AT66" s="53"/>
    </row>
    <row r="67" spans="1:46" ht="15.75" customHeight="1">
      <c r="A67" s="22" t="s">
        <v>182</v>
      </c>
      <c r="E67" s="1"/>
      <c r="F67" s="1"/>
      <c r="G67" s="1"/>
      <c r="H67" s="1"/>
      <c r="I67" s="1"/>
      <c r="J67" s="1"/>
      <c r="K67" s="1"/>
      <c r="L67" s="1">
        <v>2</v>
      </c>
      <c r="M67" s="1">
        <v>2</v>
      </c>
      <c r="N67" s="1"/>
      <c r="AL67" s="7">
        <v>4</v>
      </c>
    </row>
    <row r="68" spans="1:46" ht="15.75" customHeight="1">
      <c r="A68" s="23" t="s">
        <v>170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60000</v>
      </c>
      <c r="M68" s="23">
        <v>60000</v>
      </c>
      <c r="AL68" s="106">
        <v>120000</v>
      </c>
    </row>
  </sheetData>
  <autoFilter ref="A3:AT37" xr:uid="{BC6F98E6-356E-4A84-BC8F-57D8DBDD5F57}"/>
  <phoneticPr fontId="1"/>
  <conditionalFormatting sqref="A6:A7">
    <cfRule type="cellIs" dxfId="45" priority="9" operator="equal">
      <formula>#DIV/0!</formula>
    </cfRule>
  </conditionalFormatting>
  <conditionalFormatting sqref="A14:A17">
    <cfRule type="cellIs" dxfId="44" priority="17" operator="equal">
      <formula>#DIV/0!</formula>
    </cfRule>
  </conditionalFormatting>
  <conditionalFormatting sqref="A20:A23">
    <cfRule type="cellIs" dxfId="43" priority="15" operator="equal">
      <formula>#DIV/0!</formula>
    </cfRule>
  </conditionalFormatting>
  <conditionalFormatting sqref="B15:M17">
    <cfRule type="cellIs" dxfId="42" priority="14" operator="equal">
      <formula>#DIV/0!</formula>
    </cfRule>
  </conditionalFormatting>
  <conditionalFormatting sqref="B21:M23">
    <cfRule type="cellIs" dxfId="41" priority="13" operator="equal">
      <formula>#DIV/0!</formula>
    </cfRule>
  </conditionalFormatting>
  <conditionalFormatting sqref="B26:M36">
    <cfRule type="cellIs" dxfId="40" priority="8" operator="equal">
      <formula>#DIV/0!</formula>
    </cfRule>
  </conditionalFormatting>
  <conditionalFormatting sqref="E7:AK7 N17:AK17 N23:AK23">
    <cfRule type="cellIs" dxfId="39" priority="6" operator="equal">
      <formula>#DIV/0!</formula>
    </cfRule>
  </conditionalFormatting>
  <conditionalFormatting sqref="AL26:AL37">
    <cfRule type="cellIs" dxfId="38" priority="7" operator="equal">
      <formula>#DIV/0!</formula>
    </cfRule>
  </conditionalFormatting>
  <conditionalFormatting sqref="AM20:AN20">
    <cfRule type="cellIs" dxfId="37" priority="4" operator="equal">
      <formula>#DIV/0!</formula>
    </cfRule>
  </conditionalFormatting>
  <conditionalFormatting sqref="AN7 AN17 AN23">
    <cfRule type="cellIs" dxfId="36" priority="5" operator="equal">
      <formula>#DIV/0!</formula>
    </cfRule>
  </conditionalFormatting>
  <conditionalFormatting sqref="AO14:AO17">
    <cfRule type="cellIs" dxfId="35" priority="12" operator="equal">
      <formula>#DIV/0!</formula>
    </cfRule>
  </conditionalFormatting>
  <conditionalFormatting sqref="AO19:AO23">
    <cfRule type="cellIs" dxfId="34" priority="11" operator="equal">
      <formula>#DIV/0!</formula>
    </cfRule>
  </conditionalFormatting>
  <conditionalFormatting sqref="AP14:AP23">
    <cfRule type="cellIs" dxfId="33" priority="10" operator="equal">
      <formula>#DIV/0!</formula>
    </cfRule>
  </conditionalFormatting>
  <conditionalFormatting sqref="AQ7 AQ17 AQ23">
    <cfRule type="cellIs" dxfId="32" priority="3" operator="equal">
      <formula>#DIV/0!</formula>
    </cfRule>
  </conditionalFormatting>
  <conditionalFormatting sqref="AQ20:BD20">
    <cfRule type="cellIs" dxfId="31" priority="1" operator="equal">
      <formula>#DIV/0!</formula>
    </cfRule>
  </conditionalFormatting>
  <conditionalFormatting sqref="AT7 AT17 AT23">
    <cfRule type="cellIs" dxfId="30" priority="2" operator="equal">
      <formula>#DIV/0!</formula>
    </cfRule>
  </conditionalFormatting>
  <conditionalFormatting sqref="AU40:AZ44">
    <cfRule type="cellIs" dxfId="29" priority="16" operator="equal">
      <formula>#DIV/0!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31EB-44F8-4648-A7A6-F149950E7DD9}">
  <dimension ref="A1:BD68"/>
  <sheetViews>
    <sheetView zoomScale="85" zoomScaleNormal="85" workbookViewId="0">
      <pane xSplit="1" ySplit="3" topLeftCell="P4" activePane="bottomRight" state="frozen"/>
      <selection pane="bottomRight" activeCell="AJ68" sqref="AJ68"/>
      <selection pane="bottomLeft" activeCell="AJ68" sqref="AJ68"/>
      <selection pane="topRight" activeCell="AJ68" sqref="AJ68"/>
    </sheetView>
  </sheetViews>
  <sheetFormatPr defaultColWidth="9" defaultRowHeight="15.75" customHeight="1"/>
  <cols>
    <col min="1" max="1" width="24.375" style="1" customWidth="1"/>
    <col min="2" max="3" width="8.875" style="1" hidden="1" customWidth="1"/>
    <col min="4" max="4" width="8.875" style="1" customWidth="1"/>
    <col min="5" max="5" width="8.875" style="2" customWidth="1"/>
    <col min="6" max="7" width="9" style="2"/>
    <col min="8" max="8" width="9.875" style="2" bestFit="1" customWidth="1"/>
    <col min="9" max="9" width="10" style="2" bestFit="1" customWidth="1"/>
    <col min="10" max="13" width="9" style="2"/>
    <col min="14" max="25" width="10.625" style="2" customWidth="1"/>
    <col min="26" max="26" width="9.875" style="2" customWidth="1"/>
    <col min="27" max="37" width="9" style="2"/>
    <col min="38" max="38" width="10.25" style="8" customWidth="1"/>
    <col min="39" max="39" width="12.125" style="2" bestFit="1" customWidth="1"/>
    <col min="40" max="40" width="9" style="2"/>
    <col min="41" max="41" width="9" style="8"/>
    <col min="42" max="43" width="9" style="2"/>
    <col min="44" max="44" width="9" style="8"/>
    <col min="45" max="45" width="11.375" style="2" customWidth="1"/>
    <col min="46" max="46" width="9" style="2"/>
    <col min="47" max="47" width="11.375" style="2" customWidth="1"/>
    <col min="48" max="56" width="9" style="2"/>
    <col min="57" max="16384" width="9" style="1"/>
  </cols>
  <sheetData>
    <row r="1" spans="1:56" ht="18"/>
    <row r="2" spans="1:56" ht="18">
      <c r="A2" s="49" t="s">
        <v>77</v>
      </c>
      <c r="B2" s="2" t="s">
        <v>1</v>
      </c>
      <c r="N2" s="2" t="s">
        <v>2</v>
      </c>
      <c r="Z2" s="2" t="s">
        <v>3</v>
      </c>
      <c r="AL2" s="101" t="s">
        <v>5</v>
      </c>
      <c r="AM2" s="6"/>
      <c r="AO2" s="101" t="s">
        <v>127</v>
      </c>
      <c r="AP2" s="17"/>
      <c r="AR2" s="101" t="s">
        <v>128</v>
      </c>
      <c r="AS2" s="19"/>
      <c r="AU2" s="15"/>
      <c r="AW2" s="15"/>
      <c r="AY2" s="20"/>
      <c r="BC2" s="2" t="s">
        <v>129</v>
      </c>
    </row>
    <row r="3" spans="1:56" ht="18">
      <c r="A3" s="49"/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118">
        <v>45717</v>
      </c>
      <c r="O3" s="118">
        <v>45748</v>
      </c>
      <c r="P3" s="118">
        <v>45778</v>
      </c>
      <c r="Q3" s="118">
        <v>45809</v>
      </c>
      <c r="R3" s="118">
        <v>45839</v>
      </c>
      <c r="S3" s="118">
        <v>45870</v>
      </c>
      <c r="T3" s="118">
        <v>45901</v>
      </c>
      <c r="U3" s="118">
        <v>45931</v>
      </c>
      <c r="V3" s="118">
        <v>45962</v>
      </c>
      <c r="W3" s="118">
        <v>45992</v>
      </c>
      <c r="X3" s="118">
        <v>46023</v>
      </c>
      <c r="Y3" s="2" t="s">
        <v>130</v>
      </c>
      <c r="Z3" s="2" t="s">
        <v>131</v>
      </c>
      <c r="AA3" s="2" t="s">
        <v>7</v>
      </c>
      <c r="AB3" s="2" t="s">
        <v>8</v>
      </c>
      <c r="AC3" s="2" t="s">
        <v>132</v>
      </c>
      <c r="AD3" s="2" t="s">
        <v>133</v>
      </c>
      <c r="AE3" s="2" t="s">
        <v>134</v>
      </c>
      <c r="AF3" s="2" t="s">
        <v>135</v>
      </c>
      <c r="AG3" s="2" t="s">
        <v>136</v>
      </c>
      <c r="AH3" s="2" t="s">
        <v>137</v>
      </c>
      <c r="AI3" s="2" t="s">
        <v>138</v>
      </c>
      <c r="AJ3" s="2" t="s">
        <v>139</v>
      </c>
      <c r="AK3" s="2" t="s">
        <v>130</v>
      </c>
      <c r="AL3" s="8" t="s">
        <v>1</v>
      </c>
      <c r="AM3" s="2" t="s">
        <v>2</v>
      </c>
      <c r="AN3" s="2" t="s">
        <v>3</v>
      </c>
      <c r="AO3" s="8" t="s">
        <v>1</v>
      </c>
      <c r="AP3" s="2" t="s">
        <v>2</v>
      </c>
      <c r="AQ3" s="2" t="s">
        <v>3</v>
      </c>
      <c r="AR3" s="8" t="s">
        <v>1</v>
      </c>
      <c r="AS3" s="2" t="s">
        <v>2</v>
      </c>
      <c r="AT3" s="2" t="s">
        <v>3</v>
      </c>
      <c r="BC3" s="2" t="s">
        <v>1</v>
      </c>
      <c r="BD3" s="2" t="s">
        <v>2</v>
      </c>
    </row>
    <row r="4" spans="1:56" ht="18">
      <c r="A4" s="1" t="s">
        <v>140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>
        <v>1175</v>
      </c>
      <c r="H4" s="2">
        <v>1635</v>
      </c>
      <c r="I4" s="2">
        <v>2788</v>
      </c>
      <c r="J4" s="2">
        <v>2811</v>
      </c>
      <c r="K4" s="2">
        <v>2712</v>
      </c>
      <c r="L4" s="2">
        <v>2292</v>
      </c>
      <c r="M4" s="2">
        <v>2167</v>
      </c>
      <c r="N4" s="2">
        <v>2279</v>
      </c>
      <c r="O4" s="2">
        <v>2674</v>
      </c>
      <c r="P4" s="2">
        <v>3250</v>
      </c>
      <c r="Q4" s="2">
        <v>3298</v>
      </c>
      <c r="R4" s="2">
        <v>3258</v>
      </c>
      <c r="S4" s="2">
        <v>2471</v>
      </c>
      <c r="T4" s="2">
        <v>2992</v>
      </c>
      <c r="U4" s="2">
        <v>3183</v>
      </c>
      <c r="V4" s="2">
        <v>2833</v>
      </c>
      <c r="W4" s="2">
        <v>3119</v>
      </c>
      <c r="X4" s="2">
        <v>2764</v>
      </c>
      <c r="Y4" s="2">
        <v>3472</v>
      </c>
      <c r="Z4" s="2">
        <v>2188</v>
      </c>
      <c r="AL4" s="8">
        <v>15580</v>
      </c>
      <c r="AM4" s="2">
        <v>35593</v>
      </c>
      <c r="AO4" s="8">
        <v>5684</v>
      </c>
      <c r="AR4" s="105">
        <v>2.7410274454609431</v>
      </c>
    </row>
    <row r="5" spans="1:56" ht="18">
      <c r="A5" s="1" t="s">
        <v>141</v>
      </c>
      <c r="B5" s="2" t="s">
        <v>19</v>
      </c>
      <c r="C5" s="2" t="s">
        <v>19</v>
      </c>
      <c r="D5" s="2">
        <v>1</v>
      </c>
      <c r="E5" s="2">
        <v>2</v>
      </c>
      <c r="F5" s="2">
        <v>1</v>
      </c>
      <c r="G5" s="2">
        <v>27</v>
      </c>
      <c r="H5" s="2">
        <v>20</v>
      </c>
      <c r="I5" s="2">
        <v>19</v>
      </c>
      <c r="J5" s="2">
        <v>26</v>
      </c>
      <c r="K5" s="2">
        <v>17</v>
      </c>
      <c r="L5" s="2">
        <v>18</v>
      </c>
      <c r="M5" s="2">
        <v>6</v>
      </c>
      <c r="N5" s="2">
        <v>20</v>
      </c>
      <c r="O5" s="2">
        <v>26</v>
      </c>
      <c r="P5" s="122">
        <v>27</v>
      </c>
      <c r="Q5" s="2">
        <v>18</v>
      </c>
      <c r="R5" s="122">
        <v>45</v>
      </c>
      <c r="S5" s="2">
        <v>22</v>
      </c>
      <c r="T5" s="2">
        <v>30</v>
      </c>
      <c r="U5" s="2">
        <v>32</v>
      </c>
      <c r="V5" s="2">
        <v>8</v>
      </c>
      <c r="W5" s="2">
        <v>18</v>
      </c>
      <c r="X5" s="2">
        <v>44</v>
      </c>
      <c r="Y5" s="2">
        <v>52</v>
      </c>
      <c r="Z5" s="2">
        <v>13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8">
        <v>136</v>
      </c>
      <c r="AM5" s="2">
        <v>342</v>
      </c>
      <c r="AR5" s="8" t="e">
        <v>#DIV/0!</v>
      </c>
    </row>
    <row r="6" spans="1:56" ht="18">
      <c r="A6" s="1" t="s">
        <v>22</v>
      </c>
      <c r="B6" s="2"/>
      <c r="C6" s="2"/>
      <c r="D6" s="2">
        <v>1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0</v>
      </c>
      <c r="K6" s="2">
        <v>2</v>
      </c>
      <c r="L6" s="2">
        <v>1</v>
      </c>
      <c r="M6" s="2">
        <v>1</v>
      </c>
      <c r="N6" s="2">
        <v>0</v>
      </c>
      <c r="O6" s="2">
        <v>6</v>
      </c>
      <c r="P6" s="2">
        <v>5</v>
      </c>
      <c r="Q6" s="2">
        <v>4</v>
      </c>
      <c r="R6" s="2">
        <v>9</v>
      </c>
      <c r="S6" s="2">
        <v>3</v>
      </c>
      <c r="T6" s="2">
        <v>7</v>
      </c>
      <c r="U6" s="2">
        <v>3</v>
      </c>
      <c r="V6" s="2">
        <v>2</v>
      </c>
      <c r="W6" s="2">
        <v>3</v>
      </c>
      <c r="X6" s="2">
        <v>7</v>
      </c>
      <c r="Y6" s="2">
        <v>20</v>
      </c>
      <c r="Z6" s="2">
        <v>4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M6" s="2">
        <v>69</v>
      </c>
    </row>
    <row r="7" spans="1:56" s="10" customFormat="1" ht="18">
      <c r="A7" s="10" t="s">
        <v>23</v>
      </c>
      <c r="B7" s="11"/>
      <c r="C7" s="11"/>
      <c r="D7" s="12">
        <v>1</v>
      </c>
      <c r="E7" s="12" t="s">
        <v>97</v>
      </c>
      <c r="F7" s="12" t="s">
        <v>97</v>
      </c>
      <c r="G7" s="12" t="s">
        <v>97</v>
      </c>
      <c r="H7" s="12">
        <v>0.05</v>
      </c>
      <c r="I7" s="12" t="s">
        <v>97</v>
      </c>
      <c r="J7" s="12" t="s">
        <v>97</v>
      </c>
      <c r="K7" s="12">
        <v>0.11764705882352941</v>
      </c>
      <c r="L7" s="12">
        <v>5.5555555555555552E-2</v>
      </c>
      <c r="M7" s="12">
        <v>0.16666666666666666</v>
      </c>
      <c r="N7" s="12" t="s">
        <v>97</v>
      </c>
      <c r="O7" s="12">
        <v>0.23076923076923078</v>
      </c>
      <c r="P7" s="12">
        <v>0.18518518518518517</v>
      </c>
      <c r="Q7" s="12">
        <v>0.22222222222222221</v>
      </c>
      <c r="R7" s="12">
        <v>0.2</v>
      </c>
      <c r="S7" s="12">
        <v>0.13636363636363635</v>
      </c>
      <c r="T7" s="12">
        <v>0.23333333333333334</v>
      </c>
      <c r="U7" s="12">
        <v>9.375E-2</v>
      </c>
      <c r="V7" s="12">
        <v>0.25</v>
      </c>
      <c r="W7" s="12">
        <v>0.16666666666666666</v>
      </c>
      <c r="X7" s="12">
        <v>0.15909090909090909</v>
      </c>
      <c r="Y7" s="12">
        <v>0.38461538461538464</v>
      </c>
      <c r="Z7" s="12">
        <v>0.30769230769230771</v>
      </c>
      <c r="AA7" s="12" t="s">
        <v>97</v>
      </c>
      <c r="AB7" s="12" t="s">
        <v>97</v>
      </c>
      <c r="AC7" s="12" t="s">
        <v>97</v>
      </c>
      <c r="AD7" s="12" t="s">
        <v>97</v>
      </c>
      <c r="AE7" s="12" t="s">
        <v>97</v>
      </c>
      <c r="AF7" s="12" t="s">
        <v>97</v>
      </c>
      <c r="AG7" s="12" t="s">
        <v>97</v>
      </c>
      <c r="AH7" s="12" t="s">
        <v>97</v>
      </c>
      <c r="AI7" s="12" t="s">
        <v>97</v>
      </c>
      <c r="AJ7" s="12" t="s">
        <v>97</v>
      </c>
      <c r="AK7" s="12" t="s">
        <v>97</v>
      </c>
      <c r="AL7" s="8"/>
      <c r="AM7" s="11"/>
      <c r="AN7" s="12"/>
      <c r="AO7" s="8"/>
      <c r="AP7" s="11"/>
      <c r="AQ7" s="12"/>
      <c r="AR7" s="8"/>
      <c r="AS7" s="11"/>
      <c r="AT7" s="12"/>
      <c r="AU7" s="11"/>
      <c r="AV7" s="11"/>
      <c r="AW7" s="11"/>
      <c r="AX7" s="11"/>
      <c r="AY7" s="11"/>
      <c r="AZ7" s="11"/>
      <c r="BA7" s="11"/>
      <c r="BB7" s="11"/>
      <c r="BC7" s="11"/>
      <c r="BD7" s="11"/>
    </row>
    <row r="8" spans="1:56" ht="18">
      <c r="A8" s="1" t="s">
        <v>24</v>
      </c>
      <c r="B8" s="2" t="s">
        <v>19</v>
      </c>
      <c r="C8" s="2" t="s">
        <v>19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2</v>
      </c>
      <c r="L8" s="2">
        <v>0</v>
      </c>
      <c r="M8" s="2">
        <v>0</v>
      </c>
      <c r="N8" s="2">
        <v>0</v>
      </c>
      <c r="O8" s="2">
        <v>4</v>
      </c>
      <c r="P8" s="2">
        <v>3</v>
      </c>
      <c r="Q8" s="2">
        <v>3</v>
      </c>
      <c r="R8" s="2">
        <v>1</v>
      </c>
      <c r="S8" s="2">
        <v>2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2</v>
      </c>
      <c r="Z8" s="2">
        <v>1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8">
        <v>2</v>
      </c>
      <c r="AM8" s="2">
        <v>15</v>
      </c>
      <c r="AO8" s="8">
        <v>19.399999999999999</v>
      </c>
      <c r="AR8" s="8">
        <v>0.10309278350515465</v>
      </c>
    </row>
    <row r="9" spans="1:56" s="10" customFormat="1" ht="18">
      <c r="A9" s="10" t="s">
        <v>25</v>
      </c>
      <c r="B9" s="11" t="s">
        <v>19</v>
      </c>
      <c r="C9" s="11" t="s">
        <v>19</v>
      </c>
      <c r="D9" s="12">
        <v>1</v>
      </c>
      <c r="E9" s="12" t="s">
        <v>97</v>
      </c>
      <c r="F9" s="12" t="s">
        <v>97</v>
      </c>
      <c r="G9" s="12" t="s">
        <v>97</v>
      </c>
      <c r="H9" s="12" t="s">
        <v>97</v>
      </c>
      <c r="I9" s="12" t="s">
        <v>97</v>
      </c>
      <c r="J9" s="12" t="s">
        <v>97</v>
      </c>
      <c r="K9" s="12">
        <v>0.11764705882352941</v>
      </c>
      <c r="L9" s="12" t="s">
        <v>97</v>
      </c>
      <c r="M9" s="12" t="s">
        <v>97</v>
      </c>
      <c r="N9" s="12" t="s">
        <v>97</v>
      </c>
      <c r="O9" s="12">
        <v>0.15384615384615385</v>
      </c>
      <c r="P9" s="12">
        <v>0.1111111111111111</v>
      </c>
      <c r="Q9" s="12">
        <v>0.16666666666666666</v>
      </c>
      <c r="R9" s="12">
        <v>2.2222222222222223E-2</v>
      </c>
      <c r="S9" s="12">
        <v>9.0909090909090912E-2</v>
      </c>
      <c r="T9" s="12" t="s">
        <v>97</v>
      </c>
      <c r="U9" s="12" t="s">
        <v>97</v>
      </c>
      <c r="V9" s="12" t="s">
        <v>97</v>
      </c>
      <c r="W9" s="12" t="s">
        <v>97</v>
      </c>
      <c r="X9" s="12" t="s">
        <v>97</v>
      </c>
      <c r="Y9" s="12">
        <v>3.8461538461538464E-2</v>
      </c>
      <c r="Z9" s="12">
        <v>7.6923076923076927E-2</v>
      </c>
      <c r="AA9" s="12" t="s">
        <v>97</v>
      </c>
      <c r="AB9" s="12" t="s">
        <v>97</v>
      </c>
      <c r="AC9" s="12" t="s">
        <v>97</v>
      </c>
      <c r="AD9" s="12" t="s">
        <v>97</v>
      </c>
      <c r="AE9" s="12" t="s">
        <v>97</v>
      </c>
      <c r="AF9" s="12" t="s">
        <v>97</v>
      </c>
      <c r="AG9" s="12" t="s">
        <v>97</v>
      </c>
      <c r="AH9" s="12" t="s">
        <v>97</v>
      </c>
      <c r="AI9" s="12" t="s">
        <v>97</v>
      </c>
      <c r="AJ9" s="12" t="s">
        <v>97</v>
      </c>
      <c r="AK9" s="12" t="s">
        <v>97</v>
      </c>
      <c r="AL9" s="8"/>
      <c r="AM9" s="11"/>
      <c r="AN9" s="12"/>
      <c r="AO9" s="8"/>
      <c r="AP9" s="11"/>
      <c r="AQ9" s="12"/>
      <c r="AR9" s="8" t="e">
        <v>#DIV/0!</v>
      </c>
      <c r="AS9" s="11"/>
      <c r="AT9" s="12"/>
      <c r="AU9" s="11"/>
      <c r="AV9" s="11"/>
      <c r="AW9" s="11"/>
      <c r="AX9" s="11"/>
      <c r="AY9" s="11"/>
      <c r="AZ9" s="11"/>
      <c r="BA9" s="11"/>
      <c r="BB9" s="11"/>
      <c r="BC9" s="11"/>
      <c r="BD9" s="11"/>
    </row>
    <row r="10" spans="1:56" ht="18">
      <c r="A10" s="1" t="s">
        <v>26</v>
      </c>
      <c r="B10" s="2" t="s">
        <v>19</v>
      </c>
      <c r="C10" s="2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1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8">
        <v>0</v>
      </c>
      <c r="AM10" s="2">
        <v>3</v>
      </c>
      <c r="AO10" s="8">
        <v>4.5</v>
      </c>
      <c r="AR10" s="8">
        <v>0</v>
      </c>
    </row>
    <row r="11" spans="1:56" s="10" customFormat="1" ht="18">
      <c r="A11" s="10" t="s">
        <v>27</v>
      </c>
      <c r="B11" s="11" t="s">
        <v>19</v>
      </c>
      <c r="C11" s="11" t="s">
        <v>19</v>
      </c>
      <c r="D11" s="12" t="s">
        <v>97</v>
      </c>
      <c r="E11" s="12" t="s">
        <v>97</v>
      </c>
      <c r="F11" s="12" t="s">
        <v>97</v>
      </c>
      <c r="G11" s="12" t="s">
        <v>97</v>
      </c>
      <c r="H11" s="12" t="s">
        <v>97</v>
      </c>
      <c r="I11" s="12" t="s">
        <v>97</v>
      </c>
      <c r="J11" s="12" t="s">
        <v>97</v>
      </c>
      <c r="K11" s="12" t="s">
        <v>97</v>
      </c>
      <c r="L11" s="12" t="s">
        <v>97</v>
      </c>
      <c r="M11" s="12" t="s">
        <v>97</v>
      </c>
      <c r="N11" s="12" t="s">
        <v>97</v>
      </c>
      <c r="O11" s="12" t="s">
        <v>97</v>
      </c>
      <c r="P11" s="12" t="s">
        <v>97</v>
      </c>
      <c r="Q11" s="12" t="s">
        <v>97</v>
      </c>
      <c r="R11" s="12" t="s">
        <v>97</v>
      </c>
      <c r="S11" s="12">
        <v>4.5454545454545456E-2</v>
      </c>
      <c r="T11" s="12" t="s">
        <v>97</v>
      </c>
      <c r="U11" s="12">
        <v>3.125E-2</v>
      </c>
      <c r="V11" s="12">
        <v>0.125</v>
      </c>
      <c r="W11" s="12" t="s">
        <v>97</v>
      </c>
      <c r="X11" s="12" t="s">
        <v>97</v>
      </c>
      <c r="Y11" s="12" t="s">
        <v>97</v>
      </c>
      <c r="Z11" s="12" t="s">
        <v>97</v>
      </c>
      <c r="AA11" s="12" t="s">
        <v>97</v>
      </c>
      <c r="AB11" s="12" t="s">
        <v>97</v>
      </c>
      <c r="AC11" s="12" t="s">
        <v>97</v>
      </c>
      <c r="AD11" s="12" t="s">
        <v>97</v>
      </c>
      <c r="AE11" s="12" t="s">
        <v>97</v>
      </c>
      <c r="AF11" s="12" t="s">
        <v>97</v>
      </c>
      <c r="AG11" s="12" t="s">
        <v>97</v>
      </c>
      <c r="AH11" s="12" t="s">
        <v>97</v>
      </c>
      <c r="AI11" s="12" t="s">
        <v>97</v>
      </c>
      <c r="AJ11" s="12" t="s">
        <v>97</v>
      </c>
      <c r="AK11" s="12" t="s">
        <v>97</v>
      </c>
      <c r="AL11" s="8"/>
      <c r="AM11" s="11"/>
      <c r="AN11" s="12"/>
      <c r="AO11" s="8"/>
      <c r="AP11" s="11"/>
      <c r="AQ11" s="12"/>
      <c r="AR11" s="8" t="e">
        <v>#DIV/0!</v>
      </c>
      <c r="AS11" s="11"/>
      <c r="AT11" s="12"/>
      <c r="AU11" s="11"/>
      <c r="AV11" s="11"/>
      <c r="AW11" s="11"/>
      <c r="AX11" s="11"/>
      <c r="AY11" s="11"/>
      <c r="AZ11" s="11"/>
      <c r="BA11" s="11"/>
      <c r="BB11" s="11"/>
      <c r="BC11" s="11"/>
      <c r="BD11" s="11"/>
    </row>
    <row r="12" spans="1:56" s="7" customFormat="1" ht="18">
      <c r="A12" s="7" t="s">
        <v>28</v>
      </c>
      <c r="B12" s="7">
        <v>269</v>
      </c>
      <c r="C12" s="7">
        <v>349</v>
      </c>
      <c r="D12" s="7">
        <v>404</v>
      </c>
      <c r="E12" s="8">
        <v>454</v>
      </c>
      <c r="F12" s="8">
        <v>504</v>
      </c>
      <c r="G12" s="8">
        <v>564</v>
      </c>
      <c r="H12" s="8">
        <v>614</v>
      </c>
      <c r="I12" s="8">
        <v>664</v>
      </c>
      <c r="J12" s="8">
        <v>724</v>
      </c>
      <c r="K12" s="8">
        <v>874</v>
      </c>
      <c r="L12" s="8">
        <v>924</v>
      </c>
      <c r="M12" s="8">
        <v>924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 t="e">
        <v>#DIV/0!</v>
      </c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1:56" s="3" customFormat="1" ht="18">
      <c r="A13" s="117" t="s">
        <v>78</v>
      </c>
      <c r="B13" s="41">
        <v>3</v>
      </c>
      <c r="C13" s="41">
        <v>4</v>
      </c>
      <c r="D13" s="41">
        <v>4</v>
      </c>
      <c r="E13" s="14">
        <v>4</v>
      </c>
      <c r="F13" s="14">
        <v>4</v>
      </c>
      <c r="G13" s="14">
        <v>4</v>
      </c>
      <c r="H13" s="14">
        <v>5</v>
      </c>
      <c r="I13" s="14">
        <v>5</v>
      </c>
      <c r="J13" s="14">
        <v>5</v>
      </c>
      <c r="K13" s="14">
        <v>6</v>
      </c>
      <c r="L13" s="14">
        <v>7</v>
      </c>
      <c r="M13" s="14">
        <v>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7"/>
      <c r="AM13" s="4"/>
      <c r="AN13" s="4"/>
      <c r="AO13" s="8">
        <v>47</v>
      </c>
      <c r="AP13" s="4">
        <v>0</v>
      </c>
      <c r="AQ13" s="4"/>
      <c r="AR13" s="8" t="e">
        <v>#REF!</v>
      </c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</row>
    <row r="14" spans="1:56" s="3" customFormat="1" ht="18">
      <c r="A14" s="3" t="s">
        <v>32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4">
        <v>14</v>
      </c>
      <c r="O14" s="4">
        <v>14</v>
      </c>
      <c r="P14" s="4">
        <v>14</v>
      </c>
      <c r="Q14" s="4">
        <v>14</v>
      </c>
      <c r="R14" s="4">
        <v>14</v>
      </c>
      <c r="S14" s="4">
        <v>14</v>
      </c>
      <c r="T14" s="4">
        <v>14</v>
      </c>
      <c r="U14" s="4">
        <v>14</v>
      </c>
      <c r="V14" s="4">
        <v>14</v>
      </c>
      <c r="W14" s="4">
        <v>14</v>
      </c>
      <c r="X14" s="4">
        <v>14</v>
      </c>
      <c r="Y14" s="4">
        <v>14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8"/>
      <c r="AM14" s="4"/>
      <c r="AN14" s="4"/>
      <c r="AO14" s="8"/>
      <c r="AP14" s="4">
        <v>168</v>
      </c>
      <c r="AQ14" s="4"/>
      <c r="AR14" s="8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</row>
    <row r="15" spans="1:56" s="3" customFormat="1" ht="18">
      <c r="A15" s="3" t="s">
        <v>33</v>
      </c>
      <c r="B15" s="7"/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4">
        <v>2.3241666666666667</v>
      </c>
      <c r="O15" s="4">
        <v>2.3241666666666667</v>
      </c>
      <c r="P15" s="4">
        <v>2.3241666666666667</v>
      </c>
      <c r="Q15" s="4">
        <v>2.3241666666666667</v>
      </c>
      <c r="R15" s="4">
        <v>2.3241666666666667</v>
      </c>
      <c r="S15" s="4">
        <v>2.3241666666666667</v>
      </c>
      <c r="T15" s="4">
        <v>2.3241666666666667</v>
      </c>
      <c r="U15" s="4">
        <v>2.3241666666666667</v>
      </c>
      <c r="V15" s="4">
        <v>2.3241666666666667</v>
      </c>
      <c r="W15" s="4">
        <v>2.3241666666666667</v>
      </c>
      <c r="X15" s="4">
        <v>2.3241666666666667</v>
      </c>
      <c r="Y15" s="4">
        <v>2.3241666666666667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8"/>
      <c r="AM15" s="4"/>
      <c r="AN15" s="4"/>
      <c r="AO15" s="8"/>
      <c r="AP15" s="4">
        <v>27.89</v>
      </c>
      <c r="AQ15" s="4"/>
      <c r="AR15" s="8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</row>
    <row r="16" spans="1:56" s="3" customFormat="1" ht="18">
      <c r="A16" s="3" t="s">
        <v>34</v>
      </c>
      <c r="B16" s="7"/>
      <c r="C16" s="7"/>
      <c r="D16" s="7"/>
      <c r="E16" s="8"/>
      <c r="F16" s="8"/>
      <c r="G16" s="8"/>
      <c r="H16" s="8"/>
      <c r="I16" s="8"/>
      <c r="J16" s="8"/>
      <c r="K16" s="8"/>
      <c r="L16" s="8"/>
      <c r="M16" s="8"/>
      <c r="N16" s="4">
        <v>21</v>
      </c>
      <c r="O16" s="4">
        <v>21</v>
      </c>
      <c r="P16" s="4">
        <v>21</v>
      </c>
      <c r="Q16" s="4">
        <v>21</v>
      </c>
      <c r="R16" s="4">
        <v>21</v>
      </c>
      <c r="S16" s="4">
        <v>21</v>
      </c>
      <c r="T16" s="4">
        <v>21</v>
      </c>
      <c r="U16" s="4">
        <v>21</v>
      </c>
      <c r="V16" s="4">
        <v>21</v>
      </c>
      <c r="W16" s="4">
        <v>21</v>
      </c>
      <c r="X16" s="4">
        <v>21</v>
      </c>
      <c r="Y16" s="4">
        <v>21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8"/>
      <c r="AM16" s="4"/>
      <c r="AN16" s="4"/>
      <c r="AO16" s="8"/>
      <c r="AP16" s="4">
        <v>252</v>
      </c>
      <c r="AQ16" s="4"/>
      <c r="AR16" s="8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</row>
    <row r="17" spans="1:56" s="3" customFormat="1" ht="18">
      <c r="A17" s="3" t="s">
        <v>35</v>
      </c>
      <c r="B17" s="7"/>
      <c r="C17" s="7"/>
      <c r="D17" s="7"/>
      <c r="E17" s="8"/>
      <c r="F17" s="8"/>
      <c r="G17" s="8"/>
      <c r="H17" s="8"/>
      <c r="I17" s="8"/>
      <c r="J17" s="8"/>
      <c r="K17" s="8"/>
      <c r="L17" s="8"/>
      <c r="M17" s="8"/>
      <c r="N17" s="4">
        <v>12.441388888888889</v>
      </c>
      <c r="O17" s="4">
        <v>12.441388888888889</v>
      </c>
      <c r="P17" s="4">
        <v>12.441388888888889</v>
      </c>
      <c r="Q17" s="4">
        <v>12.441388888888889</v>
      </c>
      <c r="R17" s="4">
        <v>12.441388888888889</v>
      </c>
      <c r="S17" s="4">
        <v>12.441388888888889</v>
      </c>
      <c r="T17" s="4">
        <v>12.441388888888889</v>
      </c>
      <c r="U17" s="4">
        <v>12.441388888888889</v>
      </c>
      <c r="V17" s="4">
        <v>12.441388888888889</v>
      </c>
      <c r="W17" s="4">
        <v>12.441388888888889</v>
      </c>
      <c r="X17" s="4">
        <v>12.441388888888889</v>
      </c>
      <c r="Y17" s="4">
        <v>12.441388888888889</v>
      </c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8"/>
      <c r="AM17" s="4"/>
      <c r="AN17" s="39"/>
      <c r="AO17" s="8"/>
      <c r="AP17" s="39">
        <v>111.9725</v>
      </c>
      <c r="AQ17" s="39"/>
      <c r="AR17" s="8"/>
      <c r="AS17" s="4"/>
      <c r="AT17" s="39"/>
      <c r="AU17" s="4"/>
      <c r="AV17" s="4"/>
      <c r="AW17" s="4"/>
      <c r="AX17" s="4"/>
      <c r="AY17" s="4"/>
      <c r="AZ17" s="4"/>
      <c r="BA17" s="4"/>
      <c r="BB17" s="4"/>
      <c r="BC17" s="4"/>
      <c r="BD17" s="4"/>
    </row>
    <row r="18" spans="1:56" s="7" customFormat="1" ht="18">
      <c r="A18" s="7" t="s">
        <v>36</v>
      </c>
      <c r="B18" s="7">
        <v>1.3</v>
      </c>
      <c r="C18" s="7">
        <v>2.2999999999999998</v>
      </c>
      <c r="D18" s="7">
        <v>3</v>
      </c>
      <c r="E18" s="8">
        <v>3.4</v>
      </c>
      <c r="F18" s="8">
        <v>3.9</v>
      </c>
      <c r="G18" s="8">
        <v>4.3</v>
      </c>
      <c r="H18" s="8">
        <v>4.5999999999999996</v>
      </c>
      <c r="I18" s="8">
        <v>4.9000000000000004</v>
      </c>
      <c r="J18" s="8">
        <v>5.2</v>
      </c>
      <c r="K18" s="8">
        <v>6.2</v>
      </c>
      <c r="L18" s="8">
        <v>6.2</v>
      </c>
      <c r="M18" s="8">
        <v>6.2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 t="e">
        <v>#DIV/0!</v>
      </c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1:56" s="3" customFormat="1" ht="18">
      <c r="A19" s="117" t="s">
        <v>37</v>
      </c>
      <c r="B19" s="41">
        <v>0.5</v>
      </c>
      <c r="C19" s="41">
        <v>0.8</v>
      </c>
      <c r="D19" s="41">
        <v>0.9</v>
      </c>
      <c r="E19" s="14">
        <v>1.1000000000000001</v>
      </c>
      <c r="F19" s="14">
        <v>1.2</v>
      </c>
      <c r="G19" s="14">
        <v>1.3</v>
      </c>
      <c r="H19" s="14">
        <v>1.4</v>
      </c>
      <c r="I19" s="14">
        <v>1.5</v>
      </c>
      <c r="J19" s="14">
        <v>1.6</v>
      </c>
      <c r="K19" s="14">
        <v>1.9</v>
      </c>
      <c r="L19" s="14">
        <v>1.9</v>
      </c>
      <c r="M19" s="14">
        <v>1.9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8"/>
      <c r="AM19" s="4"/>
      <c r="AN19" s="4"/>
      <c r="AO19" s="8">
        <v>13.8</v>
      </c>
      <c r="AP19" s="4">
        <v>0</v>
      </c>
      <c r="AQ19" s="4"/>
      <c r="AR19" s="8" t="e">
        <v>#REF!</v>
      </c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</row>
    <row r="20" spans="1:56" s="3" customFormat="1" ht="18">
      <c r="A20" s="3" t="s">
        <v>39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7"/>
      <c r="AM20" s="4"/>
      <c r="AN20" s="4"/>
      <c r="AO20" s="8"/>
      <c r="AP20" s="4">
        <v>12</v>
      </c>
      <c r="AQ20" s="4"/>
      <c r="AR20" s="8" t="e">
        <v>#REF!</v>
      </c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</row>
    <row r="21" spans="1:56" s="3" customFormat="1" ht="18">
      <c r="A21" s="3" t="s">
        <v>40</v>
      </c>
      <c r="B21" s="7"/>
      <c r="C21" s="7"/>
      <c r="D21" s="7"/>
      <c r="E21" s="8"/>
      <c r="F21" s="8"/>
      <c r="G21" s="8"/>
      <c r="H21" s="8"/>
      <c r="I21" s="8"/>
      <c r="J21" s="8"/>
      <c r="K21" s="8"/>
      <c r="L21" s="8"/>
      <c r="M21" s="8"/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8"/>
      <c r="AM21" s="4"/>
      <c r="AN21" s="4"/>
      <c r="AO21" s="8"/>
      <c r="AP21" s="4">
        <v>0</v>
      </c>
      <c r="AQ21" s="4"/>
      <c r="AR21" s="8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</row>
    <row r="22" spans="1:56" s="3" customFormat="1" ht="18">
      <c r="A22" s="3" t="s">
        <v>41</v>
      </c>
      <c r="B22" s="7"/>
      <c r="C22" s="7"/>
      <c r="D22" s="7"/>
      <c r="E22" s="8"/>
      <c r="F22" s="8"/>
      <c r="G22" s="8"/>
      <c r="H22" s="8"/>
      <c r="I22" s="8"/>
      <c r="J22" s="8"/>
      <c r="K22" s="8"/>
      <c r="L22" s="8"/>
      <c r="M22" s="8"/>
      <c r="N22" s="4">
        <v>2</v>
      </c>
      <c r="O22" s="4">
        <v>2</v>
      </c>
      <c r="P22" s="4">
        <v>2</v>
      </c>
      <c r="Q22" s="4">
        <v>2</v>
      </c>
      <c r="R22" s="4">
        <v>2</v>
      </c>
      <c r="S22" s="4">
        <v>2</v>
      </c>
      <c r="T22" s="4">
        <v>2</v>
      </c>
      <c r="U22" s="4">
        <v>2</v>
      </c>
      <c r="V22" s="4">
        <v>2</v>
      </c>
      <c r="W22" s="4">
        <v>2</v>
      </c>
      <c r="X22" s="4">
        <v>2</v>
      </c>
      <c r="Y22" s="4">
        <v>2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8"/>
      <c r="AM22" s="4"/>
      <c r="AN22" s="4"/>
      <c r="AO22" s="8"/>
      <c r="AP22" s="4">
        <v>24</v>
      </c>
      <c r="AQ22" s="4"/>
      <c r="AR22" s="8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</row>
    <row r="23" spans="1:56" s="3" customFormat="1" ht="18">
      <c r="A23" s="3" t="s">
        <v>42</v>
      </c>
      <c r="B23" s="7"/>
      <c r="C23" s="7"/>
      <c r="D23" s="7"/>
      <c r="E23" s="8"/>
      <c r="F23" s="8"/>
      <c r="G23" s="8"/>
      <c r="H23" s="8"/>
      <c r="I23" s="8"/>
      <c r="J23" s="8"/>
      <c r="K23" s="8"/>
      <c r="L23" s="8"/>
      <c r="M23" s="8"/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8"/>
      <c r="AM23" s="4"/>
      <c r="AN23" s="39"/>
      <c r="AO23" s="8"/>
      <c r="AP23" s="4">
        <v>9</v>
      </c>
      <c r="AQ23" s="39"/>
      <c r="AR23" s="8"/>
      <c r="AS23" s="4"/>
      <c r="AT23" s="39"/>
      <c r="AU23" s="4"/>
      <c r="AV23" s="4"/>
      <c r="AW23" s="4"/>
      <c r="AX23" s="4"/>
      <c r="AY23" s="4"/>
      <c r="AZ23" s="4"/>
      <c r="BA23" s="4"/>
      <c r="BB23" s="4"/>
      <c r="BC23" s="4"/>
      <c r="BD23" s="4"/>
    </row>
    <row r="24" spans="1:56" s="10" customFormat="1" ht="18">
      <c r="A24" s="10" t="s">
        <v>142</v>
      </c>
      <c r="E24" s="11"/>
      <c r="F24" s="11"/>
      <c r="G24" s="11"/>
      <c r="H24" s="12">
        <v>0.25</v>
      </c>
      <c r="I24" s="12">
        <v>0.26315789473684209</v>
      </c>
      <c r="J24" s="12">
        <v>0.19230769230769232</v>
      </c>
      <c r="K24" s="12">
        <v>0.35294117647058826</v>
      </c>
      <c r="L24" s="12">
        <v>0.3888888888888889</v>
      </c>
      <c r="M24" s="12">
        <v>1.1666666666666667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8"/>
      <c r="AM24" s="11"/>
      <c r="AN24" s="11"/>
      <c r="AO24" s="8"/>
      <c r="AP24" s="11"/>
      <c r="AQ24" s="11"/>
      <c r="AR24" s="8" t="e">
        <v>#DIV/0!</v>
      </c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</row>
    <row r="25" spans="1:56" s="3" customFormat="1" ht="18">
      <c r="A25" s="3" t="s">
        <v>72</v>
      </c>
      <c r="E25" s="4"/>
      <c r="F25" s="4"/>
      <c r="G25" s="4"/>
      <c r="H25" s="4"/>
      <c r="I25" s="4"/>
      <c r="J25" s="4"/>
      <c r="K25" s="4"/>
      <c r="L25" s="4"/>
      <c r="M25" s="4"/>
      <c r="N25" s="86">
        <v>1287500</v>
      </c>
      <c r="O25" s="86">
        <v>1287500</v>
      </c>
      <c r="P25" s="86">
        <v>1175000</v>
      </c>
      <c r="Q25" s="86">
        <v>1175000</v>
      </c>
      <c r="R25" s="86">
        <v>1175000</v>
      </c>
      <c r="S25" s="86">
        <v>1175000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8"/>
      <c r="AM25" s="4"/>
      <c r="AN25" s="4"/>
      <c r="AO25" s="8"/>
      <c r="AP25" s="4"/>
      <c r="AQ25" s="4"/>
      <c r="AR25" s="8" t="e">
        <v>#DIV/0!</v>
      </c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</row>
    <row r="26" spans="1:56" s="95" customFormat="1" ht="18">
      <c r="A26" s="95" t="s">
        <v>73</v>
      </c>
      <c r="B26" s="96">
        <v>500000</v>
      </c>
      <c r="C26" s="96">
        <v>420000</v>
      </c>
      <c r="D26" s="96">
        <v>370000</v>
      </c>
      <c r="E26" s="96">
        <v>980000</v>
      </c>
      <c r="F26" s="96">
        <v>560000</v>
      </c>
      <c r="G26" s="96">
        <v>370000</v>
      </c>
      <c r="H26" s="96">
        <v>980000</v>
      </c>
      <c r="I26" s="96">
        <v>670000</v>
      </c>
      <c r="J26" s="96">
        <v>560000</v>
      </c>
      <c r="K26" s="96">
        <v>670000</v>
      </c>
      <c r="L26" s="96">
        <v>680000</v>
      </c>
      <c r="M26" s="96">
        <v>570000</v>
      </c>
      <c r="N26" s="98">
        <v>878684</v>
      </c>
      <c r="O26" s="98">
        <v>887857</v>
      </c>
      <c r="P26" s="98">
        <v>576813</v>
      </c>
      <c r="Q26" s="98">
        <v>532550</v>
      </c>
      <c r="R26" s="98">
        <v>583628</v>
      </c>
      <c r="S26" s="98">
        <v>567854</v>
      </c>
      <c r="T26" s="98">
        <v>1319185</v>
      </c>
      <c r="U26" s="98">
        <v>504760</v>
      </c>
      <c r="V26" s="98">
        <v>475838</v>
      </c>
      <c r="W26" s="98">
        <v>721733</v>
      </c>
      <c r="X26" s="98">
        <v>645539</v>
      </c>
      <c r="Y26" s="98">
        <v>573303</v>
      </c>
      <c r="Z26" s="98">
        <v>610990</v>
      </c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102">
        <v>7330000</v>
      </c>
      <c r="AM26" s="98">
        <v>7794441</v>
      </c>
      <c r="AN26" s="98"/>
      <c r="AO26" s="108"/>
      <c r="AP26" s="97"/>
      <c r="AQ26" s="98"/>
      <c r="AR26" s="108" t="e">
        <v>#DIV/0!</v>
      </c>
      <c r="AS26" s="97"/>
      <c r="AT26" s="98"/>
      <c r="AU26" s="97"/>
      <c r="AV26" s="97"/>
      <c r="AW26" s="97"/>
      <c r="AX26" s="97"/>
      <c r="AY26" s="97"/>
      <c r="AZ26" s="97"/>
      <c r="BA26" s="97"/>
      <c r="BB26" s="97"/>
      <c r="BC26" s="97"/>
      <c r="BD26" s="97"/>
    </row>
    <row r="27" spans="1:56" ht="18">
      <c r="A27" s="91" t="s">
        <v>45</v>
      </c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9">
        <v>220000</v>
      </c>
      <c r="O27" s="99">
        <v>220000</v>
      </c>
      <c r="P27" s="99">
        <v>0</v>
      </c>
      <c r="Q27" s="99">
        <v>0</v>
      </c>
      <c r="R27" s="99">
        <v>0</v>
      </c>
      <c r="S27" s="99">
        <v>55000</v>
      </c>
      <c r="T27" s="99">
        <v>55000</v>
      </c>
      <c r="U27" s="99">
        <v>0</v>
      </c>
      <c r="V27" s="99">
        <v>0</v>
      </c>
      <c r="W27" s="99">
        <v>220000</v>
      </c>
      <c r="X27" s="99">
        <v>110000</v>
      </c>
      <c r="Y27" s="99">
        <v>0</v>
      </c>
      <c r="Z27" s="99">
        <v>176000</v>
      </c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103"/>
      <c r="AM27" s="98">
        <v>880000</v>
      </c>
      <c r="AN27" s="99"/>
      <c r="AO27" s="103"/>
      <c r="AP27" s="99"/>
      <c r="AQ27" s="99"/>
      <c r="AR27" s="103"/>
      <c r="AS27" s="99"/>
      <c r="AT27" s="99"/>
      <c r="AU27" s="93"/>
      <c r="AV27" s="93"/>
      <c r="AW27" s="93"/>
      <c r="AX27" s="93"/>
      <c r="AY27" s="93"/>
      <c r="AZ27" s="93"/>
      <c r="BA27" s="93"/>
      <c r="BB27" s="93"/>
      <c r="BC27" s="93"/>
      <c r="BD27" s="93"/>
    </row>
    <row r="28" spans="1:56" ht="18">
      <c r="A28" s="91" t="s">
        <v>46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9">
        <v>30000</v>
      </c>
      <c r="O28" s="99">
        <v>60000</v>
      </c>
      <c r="P28" s="99">
        <v>60000</v>
      </c>
      <c r="Q28" s="99">
        <v>0</v>
      </c>
      <c r="R28" s="99">
        <v>60000</v>
      </c>
      <c r="S28" s="99">
        <v>0</v>
      </c>
      <c r="T28" s="99">
        <v>30000</v>
      </c>
      <c r="U28" s="99">
        <v>30000</v>
      </c>
      <c r="V28" s="99">
        <v>0</v>
      </c>
      <c r="W28" s="99">
        <v>45000</v>
      </c>
      <c r="X28" s="99">
        <v>75000</v>
      </c>
      <c r="Y28" s="99">
        <v>90000</v>
      </c>
      <c r="Z28" s="99">
        <v>45000</v>
      </c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103"/>
      <c r="AM28" s="98">
        <v>480000</v>
      </c>
      <c r="AN28" s="99"/>
      <c r="AO28" s="103"/>
      <c r="AP28" s="99"/>
      <c r="AQ28" s="99"/>
      <c r="AR28" s="103"/>
      <c r="AS28" s="99"/>
      <c r="AT28" s="99"/>
      <c r="AU28" s="93"/>
      <c r="AV28" s="93"/>
      <c r="AW28" s="93"/>
      <c r="AX28" s="93"/>
      <c r="AY28" s="93"/>
      <c r="AZ28" s="93"/>
      <c r="BA28" s="93"/>
      <c r="BB28" s="93"/>
      <c r="BC28" s="93"/>
      <c r="BD28" s="93"/>
    </row>
    <row r="29" spans="1:56" ht="18">
      <c r="A29" s="91" t="s">
        <v>47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Z29" s="99">
        <v>0</v>
      </c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103"/>
      <c r="AM29" s="98">
        <v>0</v>
      </c>
      <c r="AN29" s="99"/>
      <c r="AO29" s="103"/>
      <c r="AP29" s="99"/>
      <c r="AQ29" s="99"/>
      <c r="AR29" s="103"/>
      <c r="AS29" s="99"/>
      <c r="AT29" s="99"/>
      <c r="AU29" s="93"/>
      <c r="AV29" s="93"/>
      <c r="AW29" s="93"/>
      <c r="AX29" s="93"/>
      <c r="AY29" s="93"/>
      <c r="AZ29" s="93"/>
      <c r="BA29" s="93"/>
      <c r="BB29" s="93"/>
      <c r="BC29" s="93"/>
      <c r="BD29" s="93"/>
    </row>
    <row r="30" spans="1:56" ht="18">
      <c r="A30" s="91" t="s">
        <v>48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9">
        <v>0</v>
      </c>
      <c r="O30" s="99">
        <v>0</v>
      </c>
      <c r="P30" s="99">
        <v>0</v>
      </c>
      <c r="Q30" s="99">
        <v>0</v>
      </c>
      <c r="R30" s="99">
        <v>0</v>
      </c>
      <c r="S30" s="99">
        <v>0</v>
      </c>
      <c r="T30" s="99">
        <v>0</v>
      </c>
      <c r="U30" s="99">
        <v>0</v>
      </c>
      <c r="V30" s="99">
        <v>0</v>
      </c>
      <c r="W30" s="99">
        <v>0</v>
      </c>
      <c r="X30" s="99">
        <v>0</v>
      </c>
      <c r="Y30" s="99">
        <v>10000</v>
      </c>
      <c r="Z30" s="99">
        <v>0</v>
      </c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103"/>
      <c r="AM30" s="98">
        <v>10000</v>
      </c>
      <c r="AN30" s="99"/>
      <c r="AO30" s="103"/>
      <c r="AP30" s="99"/>
      <c r="AQ30" s="99"/>
      <c r="AR30" s="103"/>
      <c r="AS30" s="99"/>
      <c r="AT30" s="99"/>
      <c r="AU30" s="93"/>
      <c r="AV30" s="93"/>
      <c r="AW30" s="93"/>
      <c r="AX30" s="93"/>
      <c r="AY30" s="93"/>
      <c r="AZ30" s="93"/>
      <c r="BA30" s="93"/>
      <c r="BB30" s="93"/>
      <c r="BC30" s="93"/>
      <c r="BD30" s="93"/>
    </row>
    <row r="31" spans="1:56" ht="18">
      <c r="A31" s="91" t="s">
        <v>49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9">
        <v>141184</v>
      </c>
      <c r="O31" s="99">
        <v>120357</v>
      </c>
      <c r="P31" s="99">
        <v>141813</v>
      </c>
      <c r="Q31" s="99">
        <v>157550</v>
      </c>
      <c r="R31" s="99">
        <v>148628</v>
      </c>
      <c r="S31" s="99">
        <v>137854</v>
      </c>
      <c r="T31" s="99">
        <v>229185</v>
      </c>
      <c r="U31" s="99">
        <v>219760</v>
      </c>
      <c r="V31" s="99">
        <v>220838</v>
      </c>
      <c r="W31" s="99">
        <v>201733</v>
      </c>
      <c r="X31" s="99">
        <v>205539</v>
      </c>
      <c r="Y31" s="99">
        <v>218303</v>
      </c>
      <c r="Z31" s="99">
        <v>134990</v>
      </c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103"/>
      <c r="AM31" s="98">
        <v>1924441</v>
      </c>
      <c r="AN31" s="99"/>
      <c r="AO31" s="103"/>
      <c r="AP31" s="99"/>
      <c r="AQ31" s="99"/>
      <c r="AR31" s="103"/>
      <c r="AS31" s="99"/>
      <c r="AT31" s="99"/>
      <c r="AU31" s="93"/>
      <c r="AV31" s="93"/>
      <c r="AW31" s="93"/>
      <c r="AX31" s="93"/>
      <c r="AY31" s="93"/>
      <c r="AZ31" s="93"/>
      <c r="BA31" s="93"/>
      <c r="BB31" s="93"/>
      <c r="BC31" s="93"/>
      <c r="BD31" s="93"/>
    </row>
    <row r="32" spans="1:56" ht="18">
      <c r="A32" s="91" t="s">
        <v>50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55000</v>
      </c>
      <c r="U32" s="99">
        <v>55000</v>
      </c>
      <c r="V32" s="99">
        <v>55000</v>
      </c>
      <c r="W32" s="99">
        <v>55000</v>
      </c>
      <c r="X32" s="99">
        <v>55000</v>
      </c>
      <c r="Y32" s="99">
        <v>55000</v>
      </c>
      <c r="Z32" s="99">
        <v>55000</v>
      </c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103"/>
      <c r="AM32" s="98">
        <v>275000</v>
      </c>
      <c r="AN32" s="99"/>
      <c r="AO32" s="103"/>
      <c r="AP32" s="99"/>
      <c r="AQ32" s="99"/>
      <c r="AR32" s="103"/>
      <c r="AS32" s="99"/>
      <c r="AT32" s="99"/>
      <c r="AU32" s="93"/>
      <c r="AV32" s="93"/>
      <c r="AW32" s="93"/>
      <c r="AX32" s="93"/>
      <c r="AY32" s="93"/>
      <c r="AZ32" s="93"/>
      <c r="BA32" s="93"/>
      <c r="BB32" s="93"/>
      <c r="BC32" s="93"/>
      <c r="BD32" s="93"/>
    </row>
    <row r="33" spans="1:56" ht="18">
      <c r="A33" s="91" t="s">
        <v>51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9">
        <v>487500</v>
      </c>
      <c r="O33" s="99">
        <v>487500</v>
      </c>
      <c r="P33" s="99">
        <v>375000</v>
      </c>
      <c r="Q33" s="99">
        <v>375000</v>
      </c>
      <c r="R33" s="99">
        <v>375000</v>
      </c>
      <c r="S33" s="99">
        <v>375000</v>
      </c>
      <c r="T33" s="99">
        <v>200000</v>
      </c>
      <c r="U33" s="99">
        <v>200000</v>
      </c>
      <c r="V33" s="99">
        <v>200000</v>
      </c>
      <c r="W33" s="99">
        <v>200000</v>
      </c>
      <c r="X33" s="99">
        <v>200000</v>
      </c>
      <c r="Y33" s="99">
        <v>200000</v>
      </c>
      <c r="Z33" s="99">
        <v>200000</v>
      </c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103"/>
      <c r="AM33" s="98">
        <v>3475000</v>
      </c>
      <c r="AN33" s="99"/>
      <c r="AO33" s="103"/>
      <c r="AP33" s="99"/>
      <c r="AQ33" s="99"/>
      <c r="AR33" s="103"/>
      <c r="AS33" s="99"/>
      <c r="AT33" s="99"/>
      <c r="AU33" s="93"/>
      <c r="AV33" s="93"/>
      <c r="AW33" s="93"/>
      <c r="AX33" s="93"/>
      <c r="AY33" s="93"/>
      <c r="AZ33" s="93"/>
      <c r="BA33" s="93"/>
      <c r="BB33" s="93"/>
      <c r="BC33" s="93"/>
      <c r="BD33" s="93"/>
    </row>
    <row r="34" spans="1:56" ht="18">
      <c r="A34" s="91" t="s">
        <v>52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9">
        <v>0</v>
      </c>
      <c r="O34" s="99">
        <v>0</v>
      </c>
      <c r="P34" s="99">
        <v>0</v>
      </c>
      <c r="Q34" s="99">
        <v>0</v>
      </c>
      <c r="R34" s="99">
        <v>0</v>
      </c>
      <c r="S34" s="99">
        <v>0</v>
      </c>
      <c r="T34" s="99">
        <v>750000</v>
      </c>
      <c r="U34" s="99">
        <v>0</v>
      </c>
      <c r="V34" s="99">
        <v>0</v>
      </c>
      <c r="W34" s="99">
        <v>0</v>
      </c>
      <c r="X34" s="99">
        <v>0</v>
      </c>
      <c r="Y34" s="99">
        <v>0</v>
      </c>
      <c r="Z34" s="99">
        <v>0</v>
      </c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103"/>
      <c r="AM34" s="98">
        <v>750000</v>
      </c>
      <c r="AN34" s="99"/>
      <c r="AO34" s="103"/>
      <c r="AP34" s="99"/>
      <c r="AQ34" s="99"/>
      <c r="AR34" s="103"/>
      <c r="AS34" s="99"/>
      <c r="AT34" s="99"/>
      <c r="AU34" s="93"/>
      <c r="AV34" s="93"/>
      <c r="AW34" s="93"/>
      <c r="AX34" s="93"/>
      <c r="AY34" s="93"/>
      <c r="AZ34" s="93"/>
      <c r="BA34" s="93"/>
      <c r="BB34" s="93"/>
      <c r="BC34" s="93"/>
      <c r="BD34" s="93"/>
    </row>
    <row r="35" spans="1:56" s="87" customFormat="1" ht="18">
      <c r="A35" s="87" t="s">
        <v>74</v>
      </c>
      <c r="B35" s="88">
        <v>166666.66666666666</v>
      </c>
      <c r="C35" s="88">
        <v>42000</v>
      </c>
      <c r="D35" s="88">
        <v>16818.18181818182</v>
      </c>
      <c r="E35" s="88">
        <v>46666.666666666664</v>
      </c>
      <c r="F35" s="88">
        <v>15555.555555555555</v>
      </c>
      <c r="G35" s="88">
        <v>26428.571428571428</v>
      </c>
      <c r="H35" s="88">
        <v>21777.777777777777</v>
      </c>
      <c r="I35" s="88">
        <v>10634.920634920634</v>
      </c>
      <c r="J35" s="88">
        <v>10769.23076923077</v>
      </c>
      <c r="K35" s="88">
        <v>20303.030303030304</v>
      </c>
      <c r="L35" s="88">
        <v>17894.736842105263</v>
      </c>
      <c r="M35" s="88">
        <v>25909.090909090908</v>
      </c>
      <c r="N35" s="100">
        <v>43934.2</v>
      </c>
      <c r="O35" s="100">
        <v>34148.346153846156</v>
      </c>
      <c r="P35" s="100">
        <v>21363.444444444445</v>
      </c>
      <c r="Q35" s="100">
        <v>29586.111111111109</v>
      </c>
      <c r="R35" s="100">
        <v>12969.511111111111</v>
      </c>
      <c r="S35" s="100">
        <v>25811.545454545456</v>
      </c>
      <c r="T35" s="100">
        <v>43972.833333333336</v>
      </c>
      <c r="U35" s="100">
        <v>15773.75</v>
      </c>
      <c r="V35" s="100">
        <v>59479.75</v>
      </c>
      <c r="W35" s="100">
        <v>40096.277777777781</v>
      </c>
      <c r="X35" s="100">
        <v>14671.34090909091</v>
      </c>
      <c r="Y35" s="100">
        <v>11025.057692307691</v>
      </c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4">
        <v>35118.702447649812</v>
      </c>
      <c r="AM35" s="100">
        <v>22790.763157894737</v>
      </c>
      <c r="AN35" s="100"/>
      <c r="AO35" s="8"/>
      <c r="AP35" s="89"/>
      <c r="AQ35" s="100"/>
      <c r="AR35" s="8" t="e">
        <v>#DIV/0!</v>
      </c>
      <c r="AS35" s="89"/>
      <c r="AT35" s="100"/>
      <c r="AU35" s="89"/>
      <c r="AV35" s="89"/>
      <c r="AW35" s="89"/>
      <c r="AX35" s="89"/>
      <c r="AY35" s="89"/>
      <c r="AZ35" s="89"/>
      <c r="BA35" s="89"/>
      <c r="BB35" s="89"/>
      <c r="BC35" s="89"/>
      <c r="BD35" s="89"/>
    </row>
    <row r="36" spans="1:56" s="87" customFormat="1" ht="18">
      <c r="A36" s="87" t="s">
        <v>75</v>
      </c>
      <c r="B36" s="88" t="s">
        <v>143</v>
      </c>
      <c r="C36" s="88" t="s">
        <v>143</v>
      </c>
      <c r="D36" s="88">
        <v>370000</v>
      </c>
      <c r="E36" s="88" t="s">
        <v>143</v>
      </c>
      <c r="F36" s="88" t="s">
        <v>143</v>
      </c>
      <c r="G36" s="88" t="s">
        <v>143</v>
      </c>
      <c r="H36" s="88" t="s">
        <v>143</v>
      </c>
      <c r="I36" s="88" t="s">
        <v>143</v>
      </c>
      <c r="J36" s="88" t="s">
        <v>143</v>
      </c>
      <c r="K36" s="88">
        <v>335000</v>
      </c>
      <c r="L36" s="88" t="s">
        <v>143</v>
      </c>
      <c r="M36" s="88" t="s">
        <v>143</v>
      </c>
      <c r="N36" s="100">
        <v>0</v>
      </c>
      <c r="O36" s="100">
        <v>221964.25</v>
      </c>
      <c r="P36" s="100">
        <v>192271</v>
      </c>
      <c r="Q36" s="100">
        <v>177516.66666666666</v>
      </c>
      <c r="R36" s="100">
        <v>583628</v>
      </c>
      <c r="S36" s="100">
        <v>283927</v>
      </c>
      <c r="T36" s="100">
        <v>0</v>
      </c>
      <c r="U36" s="100">
        <v>0</v>
      </c>
      <c r="V36" s="100">
        <v>0</v>
      </c>
      <c r="W36" s="100">
        <v>0</v>
      </c>
      <c r="X36" s="100">
        <v>0</v>
      </c>
      <c r="Y36" s="100">
        <v>286651.5</v>
      </c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4">
        <v>352500</v>
      </c>
      <c r="AM36" s="100">
        <v>519629.4</v>
      </c>
      <c r="AN36" s="100"/>
      <c r="AO36" s="8"/>
      <c r="AP36" s="89"/>
      <c r="AQ36" s="100"/>
      <c r="AR36" s="8" t="e">
        <v>#DIV/0!</v>
      </c>
      <c r="AS36" s="89"/>
      <c r="AT36" s="100"/>
      <c r="AU36" s="89"/>
      <c r="AV36" s="89"/>
      <c r="AW36" s="89"/>
      <c r="AX36" s="89"/>
      <c r="AY36" s="89"/>
      <c r="AZ36" s="89"/>
      <c r="BA36" s="89"/>
      <c r="BB36" s="89"/>
      <c r="BC36" s="89"/>
      <c r="BD36" s="89"/>
    </row>
    <row r="37" spans="1:56" s="87" customFormat="1" ht="18">
      <c r="A37" s="87" t="s">
        <v>76</v>
      </c>
      <c r="E37" s="89"/>
      <c r="F37" s="89"/>
      <c r="G37" s="89"/>
      <c r="H37" s="89"/>
      <c r="I37" s="89"/>
      <c r="J37" s="89"/>
      <c r="K37" s="89"/>
      <c r="L37" s="89"/>
      <c r="M37" s="89"/>
      <c r="N37" s="100">
        <v>0</v>
      </c>
      <c r="O37" s="100">
        <v>0</v>
      </c>
      <c r="P37" s="100">
        <v>0</v>
      </c>
      <c r="Q37" s="100">
        <v>0</v>
      </c>
      <c r="R37" s="100">
        <v>0</v>
      </c>
      <c r="S37" s="100">
        <v>567854</v>
      </c>
      <c r="T37" s="100">
        <v>0</v>
      </c>
      <c r="U37" s="100">
        <v>504760</v>
      </c>
      <c r="V37" s="100">
        <v>475838</v>
      </c>
      <c r="W37" s="100">
        <v>0</v>
      </c>
      <c r="X37" s="100">
        <v>0</v>
      </c>
      <c r="Y37" s="100">
        <v>0</v>
      </c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4" t="s">
        <v>143</v>
      </c>
      <c r="AM37" s="100">
        <v>2598147</v>
      </c>
      <c r="AN37" s="100"/>
      <c r="AO37" s="8"/>
      <c r="AP37" s="89"/>
      <c r="AQ37" s="100"/>
      <c r="AR37" s="8" t="e">
        <v>#VALUE!</v>
      </c>
      <c r="AS37" s="89"/>
      <c r="AT37" s="100"/>
      <c r="AU37" s="89"/>
      <c r="AV37" s="89"/>
      <c r="AW37" s="89"/>
      <c r="AX37" s="89"/>
      <c r="AY37" s="89"/>
      <c r="AZ37" s="89"/>
      <c r="BA37" s="89"/>
      <c r="BB37" s="89"/>
      <c r="BC37" s="89"/>
      <c r="BD37" s="89"/>
    </row>
    <row r="39" spans="1:56" ht="18"/>
    <row r="40" spans="1:56" ht="15.75" customHeight="1">
      <c r="AU40" s="21" t="s">
        <v>5</v>
      </c>
      <c r="AV40" s="6"/>
      <c r="AW40" s="16" t="s">
        <v>74</v>
      </c>
      <c r="AX40" s="17"/>
      <c r="AY40" s="18" t="s">
        <v>55</v>
      </c>
      <c r="AZ40" s="19"/>
    </row>
    <row r="41" spans="1:56" ht="18">
      <c r="A41" s="49" t="s">
        <v>56</v>
      </c>
      <c r="AU41" s="2" t="s">
        <v>1</v>
      </c>
      <c r="AV41" s="2" t="s">
        <v>2</v>
      </c>
      <c r="AW41" s="2" t="s">
        <v>1</v>
      </c>
      <c r="AX41" s="2" t="s">
        <v>2</v>
      </c>
      <c r="AY41" s="2" t="s">
        <v>1</v>
      </c>
      <c r="AZ41" s="2" t="s">
        <v>2</v>
      </c>
    </row>
    <row r="42" spans="1:56" ht="18">
      <c r="A42" s="1" t="s">
        <v>168</v>
      </c>
      <c r="B42" s="2">
        <v>0</v>
      </c>
      <c r="C42" s="2">
        <v>5</v>
      </c>
      <c r="D42" s="2">
        <v>14</v>
      </c>
      <c r="E42" s="2">
        <v>16</v>
      </c>
      <c r="F42" s="2">
        <v>35</v>
      </c>
      <c r="G42" s="2">
        <v>13</v>
      </c>
      <c r="H42" s="2">
        <v>29</v>
      </c>
      <c r="I42" s="2">
        <v>44</v>
      </c>
      <c r="J42" s="2">
        <v>38</v>
      </c>
      <c r="K42" s="2">
        <v>25</v>
      </c>
      <c r="L42" s="2">
        <v>24</v>
      </c>
      <c r="M42" s="2">
        <v>11</v>
      </c>
      <c r="N42" s="2">
        <v>151</v>
      </c>
      <c r="AL42" s="8">
        <v>254</v>
      </c>
      <c r="AU42" s="36">
        <v>5460000</v>
      </c>
      <c r="AV42" s="35"/>
      <c r="AW42" s="36">
        <v>21496.062992125986</v>
      </c>
      <c r="AX42" s="35"/>
      <c r="AY42" s="36"/>
      <c r="AZ42" s="35"/>
    </row>
    <row r="43" spans="1:56" ht="18">
      <c r="A43" s="1" t="s">
        <v>169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10</v>
      </c>
      <c r="J43" s="2">
        <v>10</v>
      </c>
      <c r="K43" s="2">
        <v>6</v>
      </c>
      <c r="L43" s="2">
        <v>7</v>
      </c>
      <c r="M43" s="2">
        <v>8</v>
      </c>
      <c r="N43" s="2">
        <v>100</v>
      </c>
      <c r="AL43" s="8">
        <v>42</v>
      </c>
      <c r="AU43" s="36">
        <v>1300000</v>
      </c>
      <c r="AV43" s="35"/>
      <c r="AW43" s="36">
        <v>30952.380952380954</v>
      </c>
      <c r="AX43" s="35"/>
      <c r="AY43" s="36"/>
      <c r="AZ43" s="35"/>
    </row>
    <row r="44" spans="1:56" ht="18">
      <c r="A44" s="1" t="s">
        <v>170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2</v>
      </c>
      <c r="M44" s="2">
        <v>2</v>
      </c>
      <c r="N44" s="2">
        <v>23</v>
      </c>
      <c r="AL44" s="8">
        <v>4</v>
      </c>
      <c r="AU44" s="36">
        <v>570000</v>
      </c>
      <c r="AV44" s="35"/>
      <c r="AW44" s="36">
        <v>142500</v>
      </c>
      <c r="AX44" s="35"/>
      <c r="AY44" s="36"/>
      <c r="AZ44" s="35"/>
    </row>
    <row r="45" spans="1:56" ht="18">
      <c r="A45" s="1" t="s">
        <v>171</v>
      </c>
      <c r="B45" s="2">
        <v>3</v>
      </c>
      <c r="C45" s="2">
        <v>5</v>
      </c>
      <c r="D45" s="2">
        <v>7</v>
      </c>
      <c r="E45" s="2">
        <v>5</v>
      </c>
      <c r="F45" s="2">
        <v>1</v>
      </c>
      <c r="G45" s="2">
        <v>1</v>
      </c>
      <c r="H45" s="2">
        <v>1</v>
      </c>
      <c r="I45" s="2">
        <v>9</v>
      </c>
      <c r="J45" s="2">
        <v>4</v>
      </c>
      <c r="K45" s="2">
        <v>2</v>
      </c>
      <c r="L45" s="2">
        <v>5</v>
      </c>
      <c r="M45" s="2">
        <v>1</v>
      </c>
      <c r="N45" s="2">
        <v>76</v>
      </c>
      <c r="AL45" s="8">
        <v>44</v>
      </c>
    </row>
    <row r="46" spans="1:56" ht="18">
      <c r="A46" s="1" t="s">
        <v>172</v>
      </c>
      <c r="B46" s="2">
        <v>0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12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38</v>
      </c>
      <c r="AL46" s="8">
        <v>13</v>
      </c>
    </row>
    <row r="47" spans="1:56" ht="18">
      <c r="A47" s="1" t="s">
        <v>173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AL47" s="8">
        <v>0</v>
      </c>
    </row>
    <row r="48" spans="1:56" ht="18">
      <c r="A48" s="1" t="s">
        <v>174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2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139</v>
      </c>
      <c r="AL48" s="8">
        <v>2</v>
      </c>
    </row>
    <row r="49" spans="1:56" ht="18">
      <c r="A49" s="1" t="s">
        <v>175</v>
      </c>
      <c r="B49" s="9">
        <v>0.63639999999999997</v>
      </c>
      <c r="C49" s="9">
        <v>0.61250000000000004</v>
      </c>
      <c r="D49" s="9">
        <v>0.53190000000000004</v>
      </c>
      <c r="E49" s="9">
        <v>0.57030000000000003</v>
      </c>
      <c r="F49" s="9">
        <v>0.55669999999999997</v>
      </c>
      <c r="G49" s="9">
        <v>0.55740000000000001</v>
      </c>
      <c r="H49" s="9">
        <v>0.53820000000000001</v>
      </c>
      <c r="I49" s="9">
        <v>0.56489999999999996</v>
      </c>
      <c r="J49" s="9">
        <v>0.58379999999999999</v>
      </c>
      <c r="K49" s="9">
        <v>0.55830000000000002</v>
      </c>
      <c r="L49" s="9">
        <v>0.58460000000000001</v>
      </c>
      <c r="M49" s="9">
        <v>0.60680000000000001</v>
      </c>
      <c r="N49" s="9">
        <v>0.63280000000000003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105"/>
      <c r="AN49" s="9"/>
      <c r="AQ49" s="9"/>
      <c r="AT49" s="9"/>
    </row>
    <row r="50" spans="1:56" ht="18">
      <c r="A50" s="49"/>
      <c r="B50" s="2" t="s">
        <v>6</v>
      </c>
      <c r="C50" s="2" t="s">
        <v>7</v>
      </c>
      <c r="D50" s="2" t="s">
        <v>8</v>
      </c>
      <c r="E50" s="2" t="s">
        <v>9</v>
      </c>
      <c r="F50" s="2" t="s">
        <v>10</v>
      </c>
      <c r="G50" s="2" t="s">
        <v>11</v>
      </c>
      <c r="H50" s="2" t="s">
        <v>12</v>
      </c>
      <c r="I50" s="2" t="s">
        <v>13</v>
      </c>
      <c r="J50" s="2" t="s">
        <v>14</v>
      </c>
      <c r="K50" s="2" t="s">
        <v>15</v>
      </c>
      <c r="L50" s="2" t="s">
        <v>16</v>
      </c>
      <c r="M50" s="2" t="s">
        <v>17</v>
      </c>
      <c r="N50" s="2" t="s">
        <v>131</v>
      </c>
      <c r="O50" s="2" t="s">
        <v>7</v>
      </c>
      <c r="P50" s="2" t="s">
        <v>8</v>
      </c>
      <c r="Q50" s="2" t="s">
        <v>132</v>
      </c>
      <c r="R50" s="2" t="s">
        <v>133</v>
      </c>
      <c r="S50" s="2" t="s">
        <v>134</v>
      </c>
      <c r="T50" s="2" t="s">
        <v>135</v>
      </c>
      <c r="U50" s="2" t="s">
        <v>136</v>
      </c>
      <c r="V50" s="2" t="s">
        <v>137</v>
      </c>
      <c r="W50" s="2" t="s">
        <v>138</v>
      </c>
      <c r="X50" s="2" t="s">
        <v>139</v>
      </c>
      <c r="Y50" s="2" t="s">
        <v>130</v>
      </c>
      <c r="AL50" s="8" t="s">
        <v>1</v>
      </c>
      <c r="AM50" s="2" t="s">
        <v>2</v>
      </c>
      <c r="AO50" s="8" t="s">
        <v>1</v>
      </c>
      <c r="AP50" s="2" t="s">
        <v>2</v>
      </c>
      <c r="AR50" s="8" t="s">
        <v>1</v>
      </c>
      <c r="AS50" s="2" t="s">
        <v>2</v>
      </c>
      <c r="BC50" s="2" t="s">
        <v>1</v>
      </c>
      <c r="BD50" s="2" t="s">
        <v>2</v>
      </c>
    </row>
    <row r="51" spans="1:56" ht="18">
      <c r="A51" s="1" t="s">
        <v>66</v>
      </c>
      <c r="B51" s="2">
        <v>2</v>
      </c>
      <c r="C51" s="2">
        <v>1</v>
      </c>
      <c r="D51" s="2">
        <v>1</v>
      </c>
      <c r="E51" s="2">
        <v>0</v>
      </c>
      <c r="F51" s="2">
        <v>0</v>
      </c>
      <c r="G51" s="2">
        <v>2</v>
      </c>
      <c r="H51" s="2">
        <v>10</v>
      </c>
      <c r="I51" s="2">
        <v>0</v>
      </c>
      <c r="J51" s="2">
        <v>0</v>
      </c>
      <c r="K51" s="2">
        <v>1</v>
      </c>
      <c r="L51" s="2">
        <v>0</v>
      </c>
      <c r="M51" s="2">
        <v>0</v>
      </c>
      <c r="N51" s="2">
        <v>1</v>
      </c>
      <c r="O51" s="2">
        <v>4</v>
      </c>
      <c r="P51" s="2">
        <v>7</v>
      </c>
      <c r="Q51" s="2">
        <v>8</v>
      </c>
      <c r="R51" s="2">
        <v>2</v>
      </c>
      <c r="S51" s="2">
        <v>1</v>
      </c>
      <c r="T51" s="2">
        <v>4</v>
      </c>
      <c r="U51" s="2">
        <v>3</v>
      </c>
      <c r="V51" s="2">
        <v>1</v>
      </c>
      <c r="W51" s="2">
        <v>0</v>
      </c>
      <c r="X51" s="2">
        <v>8</v>
      </c>
      <c r="Y51" s="2">
        <v>3</v>
      </c>
      <c r="AL51" s="8">
        <v>17</v>
      </c>
    </row>
    <row r="52" spans="1:56" ht="18">
      <c r="A52" s="1" t="s">
        <v>67</v>
      </c>
      <c r="B52" s="2">
        <v>1</v>
      </c>
      <c r="C52" s="2">
        <v>0</v>
      </c>
      <c r="D52" s="2">
        <v>2</v>
      </c>
      <c r="E52" s="2">
        <v>1</v>
      </c>
      <c r="F52" s="2">
        <v>1</v>
      </c>
      <c r="G52" s="2">
        <v>0</v>
      </c>
      <c r="H52" s="2">
        <v>5</v>
      </c>
      <c r="I52" s="2">
        <v>21</v>
      </c>
      <c r="J52" s="2">
        <v>15</v>
      </c>
      <c r="K52" s="2">
        <v>8</v>
      </c>
      <c r="L52" s="2">
        <v>15</v>
      </c>
      <c r="M52" s="2">
        <v>10</v>
      </c>
      <c r="N52" s="2">
        <v>495</v>
      </c>
      <c r="O52" s="2">
        <v>295</v>
      </c>
      <c r="P52" s="2">
        <v>14</v>
      </c>
      <c r="Q52" s="2">
        <v>23</v>
      </c>
      <c r="R52" s="2">
        <v>47</v>
      </c>
      <c r="S52" s="2">
        <v>22</v>
      </c>
      <c r="T52" s="2">
        <v>26</v>
      </c>
      <c r="U52" s="2">
        <v>30</v>
      </c>
      <c r="V52" s="2">
        <v>8</v>
      </c>
      <c r="W52" s="2">
        <v>18</v>
      </c>
      <c r="X52" s="2">
        <v>21</v>
      </c>
      <c r="Y52" s="2">
        <v>27</v>
      </c>
      <c r="AL52" s="8">
        <v>79</v>
      </c>
    </row>
    <row r="53" spans="1:56" ht="18">
      <c r="A53" s="1" t="s">
        <v>68</v>
      </c>
      <c r="B53" s="2">
        <v>0</v>
      </c>
      <c r="C53" s="2">
        <v>9</v>
      </c>
      <c r="D53" s="2">
        <v>19</v>
      </c>
      <c r="E53" s="2">
        <v>20</v>
      </c>
      <c r="F53" s="2">
        <v>35</v>
      </c>
      <c r="G53" s="2">
        <v>12</v>
      </c>
      <c r="H53" s="2">
        <v>30</v>
      </c>
      <c r="I53" s="2">
        <v>42</v>
      </c>
      <c r="J53" s="2">
        <v>37</v>
      </c>
      <c r="K53" s="2">
        <v>24</v>
      </c>
      <c r="L53" s="2">
        <v>23</v>
      </c>
      <c r="M53" s="2">
        <v>12</v>
      </c>
      <c r="N53" s="2">
        <v>31</v>
      </c>
      <c r="O53" s="2">
        <v>35</v>
      </c>
      <c r="P53" s="2">
        <v>44</v>
      </c>
      <c r="Q53" s="2">
        <v>34</v>
      </c>
      <c r="R53" s="2">
        <v>2</v>
      </c>
      <c r="S53" s="2">
        <v>0</v>
      </c>
      <c r="T53" s="2">
        <v>1</v>
      </c>
      <c r="U53" s="2">
        <v>0</v>
      </c>
      <c r="V53" s="2">
        <v>0</v>
      </c>
      <c r="W53" s="2">
        <v>0</v>
      </c>
      <c r="X53" s="2">
        <v>4</v>
      </c>
      <c r="Y53" s="2">
        <v>19</v>
      </c>
      <c r="AL53" s="8">
        <v>263</v>
      </c>
    </row>
    <row r="54" spans="1:56" s="5" customFormat="1" ht="18">
      <c r="A54" s="5" t="s">
        <v>69</v>
      </c>
      <c r="B54" s="6">
        <v>3</v>
      </c>
      <c r="C54" s="6">
        <v>10</v>
      </c>
      <c r="D54" s="6">
        <v>22</v>
      </c>
      <c r="E54" s="6">
        <v>21</v>
      </c>
      <c r="F54" s="6">
        <v>36</v>
      </c>
      <c r="G54" s="6">
        <v>14</v>
      </c>
      <c r="H54" s="6">
        <v>45</v>
      </c>
      <c r="I54" s="6">
        <v>63</v>
      </c>
      <c r="J54" s="6">
        <v>52</v>
      </c>
      <c r="K54" s="6">
        <v>33</v>
      </c>
      <c r="L54" s="6">
        <v>38</v>
      </c>
      <c r="M54" s="6">
        <v>22</v>
      </c>
      <c r="N54" s="6">
        <v>527</v>
      </c>
      <c r="O54" s="6">
        <v>334</v>
      </c>
      <c r="P54" s="6">
        <v>65</v>
      </c>
      <c r="Q54" s="6">
        <v>65</v>
      </c>
      <c r="R54" s="6">
        <v>51</v>
      </c>
      <c r="S54" s="6">
        <v>23</v>
      </c>
      <c r="T54" s="6">
        <v>31</v>
      </c>
      <c r="U54" s="6">
        <v>33</v>
      </c>
      <c r="V54" s="6">
        <v>9</v>
      </c>
      <c r="W54" s="6">
        <v>18</v>
      </c>
      <c r="X54" s="6">
        <v>33</v>
      </c>
      <c r="Y54" s="6">
        <v>49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8">
        <v>359</v>
      </c>
      <c r="AM54" s="6"/>
      <c r="AN54" s="6"/>
      <c r="AO54" s="8"/>
      <c r="AP54" s="6"/>
      <c r="AQ54" s="6"/>
      <c r="AR54" s="8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</row>
    <row r="55" spans="1:56" s="3" customFormat="1" ht="18">
      <c r="A55" s="3" t="s">
        <v>70</v>
      </c>
      <c r="B55" s="3">
        <v>4.5</v>
      </c>
      <c r="C55" s="3">
        <v>5.8</v>
      </c>
      <c r="D55" s="3">
        <v>6.8</v>
      </c>
      <c r="E55" s="4">
        <v>7.4</v>
      </c>
      <c r="F55" s="4">
        <v>8</v>
      </c>
      <c r="G55" s="4">
        <v>8.6999999999999993</v>
      </c>
      <c r="H55" s="4">
        <v>9.4</v>
      </c>
      <c r="I55" s="4">
        <v>9.8000000000000007</v>
      </c>
      <c r="J55" s="4">
        <v>10.6</v>
      </c>
      <c r="K55" s="4">
        <v>12.3</v>
      </c>
      <c r="L55" s="4">
        <v>13</v>
      </c>
      <c r="M55" s="4">
        <v>13</v>
      </c>
      <c r="N55" s="4">
        <v>17.5</v>
      </c>
      <c r="O55" s="4">
        <v>17.5</v>
      </c>
      <c r="P55" s="4">
        <v>17.5</v>
      </c>
      <c r="Q55" s="4">
        <v>17.5</v>
      </c>
      <c r="R55" s="4">
        <v>17.5</v>
      </c>
      <c r="S55" s="4">
        <v>17.5</v>
      </c>
      <c r="T55" s="4">
        <v>17.5</v>
      </c>
      <c r="U55" s="4">
        <v>17.5</v>
      </c>
      <c r="V55" s="4">
        <v>17.5</v>
      </c>
      <c r="W55" s="4">
        <v>17.5</v>
      </c>
      <c r="X55" s="4">
        <v>17.5</v>
      </c>
      <c r="Y55" s="4">
        <v>17.5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8">
        <v>109.3</v>
      </c>
      <c r="AM55" s="4"/>
      <c r="AN55" s="4"/>
      <c r="AO55" s="8"/>
      <c r="AP55" s="4"/>
      <c r="AQ55" s="4"/>
      <c r="AR55" s="8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</row>
    <row r="56" spans="1:56" ht="18">
      <c r="A56" s="1" t="s">
        <v>176</v>
      </c>
    </row>
    <row r="58" spans="1:56" ht="18"/>
    <row r="60" spans="1:56" ht="18">
      <c r="A60" s="49" t="s">
        <v>177</v>
      </c>
    </row>
    <row r="61" spans="1:56" ht="18">
      <c r="A61" s="22" t="s">
        <v>178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AL61" s="7">
        <v>11</v>
      </c>
    </row>
    <row r="62" spans="1:56" ht="18">
      <c r="A62" s="22" t="s">
        <v>179</v>
      </c>
      <c r="C62" s="1">
        <v>2</v>
      </c>
      <c r="D62" s="1">
        <v>1</v>
      </c>
      <c r="E62" s="1">
        <v>2</v>
      </c>
      <c r="F62" s="1">
        <v>3</v>
      </c>
      <c r="G62" s="1">
        <v>1</v>
      </c>
      <c r="H62" s="1">
        <v>2</v>
      </c>
      <c r="I62" s="1">
        <v>1</v>
      </c>
      <c r="J62" s="1"/>
      <c r="K62" s="1">
        <v>1</v>
      </c>
      <c r="L62" s="1">
        <v>2</v>
      </c>
      <c r="M62" s="1">
        <v>1</v>
      </c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7">
        <v>16</v>
      </c>
      <c r="AN62" s="53"/>
      <c r="AQ62" s="53"/>
      <c r="AT62" s="53"/>
    </row>
    <row r="63" spans="1:56" ht="15.75" customHeight="1">
      <c r="A63" s="22" t="s">
        <v>180</v>
      </c>
      <c r="B63" s="1">
        <v>1</v>
      </c>
      <c r="E63" s="1"/>
      <c r="F63" s="1"/>
      <c r="G63" s="1"/>
      <c r="H63" s="1">
        <v>1</v>
      </c>
      <c r="I63" s="1"/>
      <c r="J63" s="1"/>
      <c r="K63" s="1"/>
      <c r="L63" s="1"/>
      <c r="M63" s="1"/>
      <c r="AL63" s="7">
        <v>2</v>
      </c>
    </row>
    <row r="64" spans="1:56" ht="15.75" customHeight="1">
      <c r="A64" s="23" t="s">
        <v>168</v>
      </c>
      <c r="B64" s="23">
        <v>500000</v>
      </c>
      <c r="C64" s="23">
        <v>420000</v>
      </c>
      <c r="D64" s="23">
        <v>310000</v>
      </c>
      <c r="E64" s="23">
        <v>920000</v>
      </c>
      <c r="F64" s="23">
        <v>530000</v>
      </c>
      <c r="G64" s="23">
        <v>310000</v>
      </c>
      <c r="H64" s="23">
        <v>920000</v>
      </c>
      <c r="I64" s="23">
        <v>310000</v>
      </c>
      <c r="J64" s="23">
        <v>200000</v>
      </c>
      <c r="K64" s="23">
        <v>310000</v>
      </c>
      <c r="L64" s="23">
        <v>420000</v>
      </c>
      <c r="M64" s="23">
        <v>310000</v>
      </c>
      <c r="AL64" s="106">
        <v>5460000</v>
      </c>
    </row>
    <row r="65" spans="1:46" ht="15.75" customHeight="1">
      <c r="A65" s="42" t="s">
        <v>181</v>
      </c>
      <c r="B65" s="23"/>
      <c r="C65" s="23"/>
      <c r="D65" s="23"/>
      <c r="E65" s="23"/>
      <c r="F65" s="23"/>
      <c r="G65" s="23"/>
      <c r="H65" s="23">
        <v>40770</v>
      </c>
      <c r="I65" s="50">
        <v>206613</v>
      </c>
      <c r="J65" s="50">
        <v>211909</v>
      </c>
      <c r="K65" s="50">
        <v>183392</v>
      </c>
      <c r="L65" s="50">
        <v>139871</v>
      </c>
      <c r="M65" s="50">
        <v>140124</v>
      </c>
      <c r="AL65" s="106">
        <v>922679</v>
      </c>
    </row>
    <row r="66" spans="1:46" ht="15.75" customHeight="1">
      <c r="A66" s="23" t="s">
        <v>169</v>
      </c>
      <c r="B66" s="23"/>
      <c r="C66" s="23"/>
      <c r="D66" s="23"/>
      <c r="E66" s="23"/>
      <c r="F66" s="23"/>
      <c r="G66" s="23"/>
      <c r="H66" s="23"/>
      <c r="I66" s="23">
        <v>300000</v>
      </c>
      <c r="J66" s="23">
        <v>300000</v>
      </c>
      <c r="K66" s="23">
        <v>300000</v>
      </c>
      <c r="L66" s="23">
        <v>200000</v>
      </c>
      <c r="M66" s="23">
        <v>200000</v>
      </c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106">
        <v>1300000</v>
      </c>
      <c r="AN66" s="53"/>
      <c r="AQ66" s="53"/>
      <c r="AT66" s="53"/>
    </row>
    <row r="67" spans="1:46" ht="15.75" customHeight="1">
      <c r="A67" s="22" t="s">
        <v>182</v>
      </c>
      <c r="D67" s="1">
        <v>2</v>
      </c>
      <c r="E67" s="1">
        <v>2</v>
      </c>
      <c r="F67" s="1">
        <v>1</v>
      </c>
      <c r="G67" s="1">
        <v>2</v>
      </c>
      <c r="H67" s="1">
        <v>2</v>
      </c>
      <c r="I67" s="1">
        <v>2</v>
      </c>
      <c r="J67" s="1">
        <v>2</v>
      </c>
      <c r="K67" s="1">
        <v>2</v>
      </c>
      <c r="L67" s="1">
        <v>2</v>
      </c>
      <c r="M67" s="1">
        <v>2</v>
      </c>
      <c r="AL67" s="7">
        <v>19</v>
      </c>
    </row>
    <row r="68" spans="1:46" ht="15.75" customHeight="1">
      <c r="A68" s="23" t="s">
        <v>170</v>
      </c>
      <c r="B68" s="23">
        <v>0</v>
      </c>
      <c r="C68" s="23">
        <v>0</v>
      </c>
      <c r="D68" s="23">
        <v>60000</v>
      </c>
      <c r="E68" s="23">
        <v>60000</v>
      </c>
      <c r="F68" s="23">
        <v>30000</v>
      </c>
      <c r="G68" s="23">
        <v>60000</v>
      </c>
      <c r="H68" s="23">
        <v>60000</v>
      </c>
      <c r="I68" s="23">
        <v>60000</v>
      </c>
      <c r="J68" s="23">
        <v>60000</v>
      </c>
      <c r="K68" s="23">
        <v>60000</v>
      </c>
      <c r="L68" s="23">
        <v>60000</v>
      </c>
      <c r="M68" s="23">
        <v>60000</v>
      </c>
      <c r="AL68" s="106">
        <v>570000</v>
      </c>
    </row>
  </sheetData>
  <phoneticPr fontId="1"/>
  <conditionalFormatting sqref="A6:A7">
    <cfRule type="cellIs" dxfId="28" priority="10" operator="equal">
      <formula>#DIV/0!</formula>
    </cfRule>
  </conditionalFormatting>
  <conditionalFormatting sqref="A13:A17">
    <cfRule type="cellIs" dxfId="27" priority="17" operator="equal">
      <formula>#DIV/0!</formula>
    </cfRule>
  </conditionalFormatting>
  <conditionalFormatting sqref="A19:A23">
    <cfRule type="cellIs" dxfId="26" priority="15" operator="equal">
      <formula>#DIV/0!</formula>
    </cfRule>
  </conditionalFormatting>
  <conditionalFormatting sqref="B15:M17">
    <cfRule type="cellIs" dxfId="25" priority="14" operator="equal">
      <formula>#DIV/0!</formula>
    </cfRule>
  </conditionalFormatting>
  <conditionalFormatting sqref="B21:M23">
    <cfRule type="cellIs" dxfId="24" priority="13" operator="equal">
      <formula>#DIV/0!</formula>
    </cfRule>
  </conditionalFormatting>
  <conditionalFormatting sqref="B26:M36">
    <cfRule type="cellIs" dxfId="23" priority="9" operator="equal">
      <formula>#DIV/0!</formula>
    </cfRule>
  </conditionalFormatting>
  <conditionalFormatting sqref="D7:AK7">
    <cfRule type="cellIs" dxfId="22" priority="1" operator="equal">
      <formula>#DIV/0!</formula>
    </cfRule>
  </conditionalFormatting>
  <conditionalFormatting sqref="Z17:AK17 Z23:AK23">
    <cfRule type="cellIs" dxfId="21" priority="7" operator="equal">
      <formula>#DIV/0!</formula>
    </cfRule>
  </conditionalFormatting>
  <conditionalFormatting sqref="AL26:AL37">
    <cfRule type="cellIs" dxfId="20" priority="8" operator="equal">
      <formula>#DIV/0!</formula>
    </cfRule>
  </conditionalFormatting>
  <conditionalFormatting sqref="AM20:AN20">
    <cfRule type="cellIs" dxfId="19" priority="5" operator="equal">
      <formula>#DIV/0!</formula>
    </cfRule>
  </conditionalFormatting>
  <conditionalFormatting sqref="AN7 AN17 AN23">
    <cfRule type="cellIs" dxfId="18" priority="6" operator="equal">
      <formula>#DIV/0!</formula>
    </cfRule>
  </conditionalFormatting>
  <conditionalFormatting sqref="AO14:AO17">
    <cfRule type="cellIs" dxfId="17" priority="12" operator="equal">
      <formula>#DIV/0!</formula>
    </cfRule>
  </conditionalFormatting>
  <conditionalFormatting sqref="AO19:AO23">
    <cfRule type="cellIs" dxfId="16" priority="11" operator="equal">
      <formula>#DIV/0!</formula>
    </cfRule>
  </conditionalFormatting>
  <conditionalFormatting sqref="AP20:BD20">
    <cfRule type="cellIs" dxfId="15" priority="2" operator="equal">
      <formula>#DIV/0!</formula>
    </cfRule>
  </conditionalFormatting>
  <conditionalFormatting sqref="AQ7 AQ17 AQ23">
    <cfRule type="cellIs" dxfId="14" priority="4" operator="equal">
      <formula>#DIV/0!</formula>
    </cfRule>
  </conditionalFormatting>
  <conditionalFormatting sqref="AT7 AT17 AT23">
    <cfRule type="cellIs" dxfId="13" priority="3" operator="equal">
      <formula>#DIV/0!</formula>
    </cfRule>
  </conditionalFormatting>
  <conditionalFormatting sqref="AU40:AZ44">
    <cfRule type="cellIs" dxfId="12" priority="16" operator="equal">
      <formula>#DIV/0!</formula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14F2-3D8B-4A46-A70C-2B25A1F79E5B}">
  <dimension ref="A1:BD70"/>
  <sheetViews>
    <sheetView zoomScale="80" zoomScaleNormal="80" workbookViewId="0">
      <pane xSplit="1" ySplit="3" topLeftCell="E8" activePane="bottomRight" state="frozen"/>
      <selection pane="bottomRight" activeCell="AJ68" sqref="AJ68"/>
      <selection pane="bottomLeft" activeCell="AJ68" sqref="AJ68"/>
      <selection pane="topRight" activeCell="AJ68" sqref="AJ68"/>
    </sheetView>
  </sheetViews>
  <sheetFormatPr defaultColWidth="9" defaultRowHeight="15.75" customHeight="1"/>
  <cols>
    <col min="1" max="1" width="24.375" style="1" customWidth="1"/>
    <col min="2" max="4" width="8.875" style="1" hidden="1" customWidth="1"/>
    <col min="5" max="5" width="9.625" style="2" customWidth="1"/>
    <col min="6" max="13" width="10" style="2" bestFit="1" customWidth="1"/>
    <col min="14" max="37" width="12.125" style="2" customWidth="1"/>
    <col min="38" max="38" width="11.375" style="8" customWidth="1"/>
    <col min="39" max="39" width="11.375" style="2" customWidth="1"/>
    <col min="40" max="40" width="9" style="2"/>
    <col min="41" max="41" width="11.375" style="8" customWidth="1"/>
    <col min="42" max="42" width="11.375" style="2" customWidth="1"/>
    <col min="43" max="43" width="9" style="2"/>
    <col min="44" max="44" width="11.375" style="8" customWidth="1"/>
    <col min="45" max="45" width="11.375" style="2" customWidth="1"/>
    <col min="46" max="46" width="9" style="2"/>
    <col min="47" max="47" width="11.375" style="2" customWidth="1"/>
    <col min="48" max="56" width="9" style="2"/>
    <col min="57" max="16384" width="9" style="1"/>
  </cols>
  <sheetData>
    <row r="1" spans="1:56" ht="18"/>
    <row r="2" spans="1:56" ht="18">
      <c r="A2" s="49" t="s">
        <v>79</v>
      </c>
      <c r="B2" s="2" t="s">
        <v>1</v>
      </c>
      <c r="N2" s="2" t="s">
        <v>2</v>
      </c>
      <c r="Z2" s="2" t="s">
        <v>3</v>
      </c>
      <c r="AL2" s="101" t="s">
        <v>5</v>
      </c>
      <c r="AM2" s="6"/>
      <c r="AO2" s="101" t="s">
        <v>127</v>
      </c>
      <c r="AP2" s="17"/>
      <c r="AR2" s="101" t="s">
        <v>128</v>
      </c>
      <c r="AS2" s="19"/>
      <c r="AU2" s="15"/>
      <c r="AW2" s="15"/>
      <c r="AY2" s="20"/>
    </row>
    <row r="3" spans="1:56" ht="18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118">
        <v>45717</v>
      </c>
      <c r="O3" s="118">
        <v>45748</v>
      </c>
      <c r="P3" s="118">
        <v>45778</v>
      </c>
      <c r="Q3" s="118">
        <v>45809</v>
      </c>
      <c r="R3" s="118">
        <v>45839</v>
      </c>
      <c r="S3" s="118">
        <v>45870</v>
      </c>
      <c r="T3" s="118">
        <v>45901</v>
      </c>
      <c r="U3" s="118">
        <v>45931</v>
      </c>
      <c r="V3" s="118">
        <v>45962</v>
      </c>
      <c r="W3" s="118">
        <v>45992</v>
      </c>
      <c r="X3" s="118">
        <v>46023</v>
      </c>
      <c r="Y3" s="118">
        <v>46054</v>
      </c>
      <c r="Z3" s="118">
        <v>46082</v>
      </c>
      <c r="AA3" s="2" t="s">
        <v>7</v>
      </c>
      <c r="AB3" s="2" t="s">
        <v>8</v>
      </c>
      <c r="AC3" s="2" t="s">
        <v>132</v>
      </c>
      <c r="AD3" s="2" t="s">
        <v>133</v>
      </c>
      <c r="AE3" s="2" t="s">
        <v>134</v>
      </c>
      <c r="AF3" s="2" t="s">
        <v>135</v>
      </c>
      <c r="AG3" s="2" t="s">
        <v>136</v>
      </c>
      <c r="AH3" s="2" t="s">
        <v>137</v>
      </c>
      <c r="AI3" s="2" t="s">
        <v>138</v>
      </c>
      <c r="AJ3" s="2" t="s">
        <v>139</v>
      </c>
      <c r="AK3" s="2" t="s">
        <v>130</v>
      </c>
      <c r="AL3" s="8" t="s">
        <v>1</v>
      </c>
      <c r="AM3" s="2" t="s">
        <v>2</v>
      </c>
      <c r="AN3" s="2" t="s">
        <v>3</v>
      </c>
      <c r="AO3" s="8" t="s">
        <v>1</v>
      </c>
      <c r="AP3" s="2" t="s">
        <v>2</v>
      </c>
      <c r="AQ3" s="2" t="s">
        <v>3</v>
      </c>
      <c r="AR3" s="8" t="s">
        <v>1</v>
      </c>
      <c r="AS3" s="2" t="s">
        <v>2</v>
      </c>
      <c r="AT3" s="2" t="s">
        <v>3</v>
      </c>
    </row>
    <row r="4" spans="1:56" ht="18">
      <c r="A4" s="119" t="s">
        <v>140</v>
      </c>
      <c r="B4" s="2" t="s">
        <v>19</v>
      </c>
      <c r="C4" s="2" t="s">
        <v>19</v>
      </c>
      <c r="D4" s="2" t="s">
        <v>19</v>
      </c>
      <c r="E4" s="2">
        <v>537</v>
      </c>
      <c r="F4" s="2">
        <v>371</v>
      </c>
      <c r="G4" s="2">
        <v>923</v>
      </c>
      <c r="H4" s="2">
        <v>712</v>
      </c>
      <c r="I4" s="2">
        <v>755</v>
      </c>
      <c r="J4" s="2">
        <v>4615</v>
      </c>
      <c r="K4" s="2">
        <v>1022</v>
      </c>
      <c r="L4" s="2">
        <v>759</v>
      </c>
      <c r="M4" s="2">
        <v>1100</v>
      </c>
      <c r="N4" s="2">
        <v>764</v>
      </c>
      <c r="O4" s="2">
        <v>1778</v>
      </c>
      <c r="P4" s="2">
        <v>972</v>
      </c>
      <c r="Q4" s="2">
        <v>1028</v>
      </c>
      <c r="R4" s="2">
        <v>3160</v>
      </c>
      <c r="S4" s="2">
        <v>1281</v>
      </c>
      <c r="T4" s="2">
        <v>1652</v>
      </c>
      <c r="U4" s="2">
        <v>1120</v>
      </c>
      <c r="V4" s="2">
        <v>1551</v>
      </c>
      <c r="W4" s="2">
        <v>1613</v>
      </c>
      <c r="X4" s="2">
        <v>1364</v>
      </c>
      <c r="Y4" s="2">
        <v>1222</v>
      </c>
      <c r="Z4" s="2">
        <v>1317</v>
      </c>
      <c r="AL4" s="8">
        <v>10794</v>
      </c>
      <c r="AM4" s="2">
        <v>17505</v>
      </c>
      <c r="AO4" s="8">
        <v>12320</v>
      </c>
      <c r="AR4" s="105">
        <v>0.8761363636363636</v>
      </c>
    </row>
    <row r="5" spans="1:56" ht="18">
      <c r="A5" s="119" t="s">
        <v>141</v>
      </c>
      <c r="B5" s="2" t="s">
        <v>19</v>
      </c>
      <c r="C5" s="2" t="s">
        <v>19</v>
      </c>
      <c r="D5" s="2" t="s">
        <v>19</v>
      </c>
      <c r="E5" s="2">
        <v>0</v>
      </c>
      <c r="F5" s="2">
        <v>3</v>
      </c>
      <c r="G5" s="2">
        <v>5</v>
      </c>
      <c r="H5" s="2">
        <v>6</v>
      </c>
      <c r="I5" s="2">
        <v>3</v>
      </c>
      <c r="J5" s="2">
        <v>9</v>
      </c>
      <c r="K5" s="2">
        <v>17</v>
      </c>
      <c r="L5" s="2">
        <v>7</v>
      </c>
      <c r="M5" s="2">
        <v>69</v>
      </c>
      <c r="N5" s="2">
        <v>4</v>
      </c>
      <c r="O5" s="2">
        <v>6</v>
      </c>
      <c r="P5" s="2">
        <v>5</v>
      </c>
      <c r="Q5" s="2">
        <v>12</v>
      </c>
      <c r="R5" s="2">
        <v>16</v>
      </c>
      <c r="S5" s="2">
        <v>25</v>
      </c>
      <c r="T5" s="2">
        <v>5</v>
      </c>
      <c r="U5" s="122">
        <v>15</v>
      </c>
      <c r="V5" s="2">
        <v>9</v>
      </c>
      <c r="W5" s="2">
        <v>24</v>
      </c>
      <c r="X5" s="2">
        <v>32</v>
      </c>
      <c r="Y5" s="2">
        <v>39</v>
      </c>
      <c r="Z5" s="2">
        <v>13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8">
        <v>119</v>
      </c>
      <c r="AM5" s="2">
        <v>192</v>
      </c>
      <c r="AO5" s="111" t="s">
        <v>19</v>
      </c>
      <c r="AR5" s="8" t="e">
        <v>#VALUE!</v>
      </c>
    </row>
    <row r="6" spans="1:56" ht="18">
      <c r="A6" s="119" t="s">
        <v>22</v>
      </c>
      <c r="B6" s="2"/>
      <c r="C6" s="2"/>
      <c r="D6" s="2"/>
      <c r="E6" s="2">
        <v>0</v>
      </c>
      <c r="F6" s="2">
        <v>0</v>
      </c>
      <c r="G6" s="2">
        <v>1</v>
      </c>
      <c r="H6" s="2">
        <v>1</v>
      </c>
      <c r="I6" s="2">
        <v>1</v>
      </c>
      <c r="J6" s="2">
        <v>1</v>
      </c>
      <c r="K6" s="2">
        <v>4</v>
      </c>
      <c r="L6" s="2">
        <v>0</v>
      </c>
      <c r="M6" s="2">
        <v>3</v>
      </c>
      <c r="N6" s="2">
        <v>0</v>
      </c>
      <c r="O6" s="2">
        <v>0</v>
      </c>
      <c r="P6" s="2">
        <v>1</v>
      </c>
      <c r="Q6" s="2">
        <v>2</v>
      </c>
      <c r="R6" s="2">
        <v>6</v>
      </c>
      <c r="S6" s="2">
        <v>2</v>
      </c>
      <c r="T6" s="2">
        <v>1</v>
      </c>
      <c r="U6" s="2">
        <v>4</v>
      </c>
      <c r="V6" s="2">
        <v>1</v>
      </c>
      <c r="W6" s="2">
        <v>3</v>
      </c>
      <c r="X6" s="2">
        <v>2</v>
      </c>
      <c r="Y6" s="2">
        <v>10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M6" s="2">
        <v>32</v>
      </c>
      <c r="AO6" s="111"/>
    </row>
    <row r="7" spans="1:56" s="10" customFormat="1" ht="18">
      <c r="A7" s="10" t="s">
        <v>23</v>
      </c>
      <c r="B7" s="11"/>
      <c r="C7" s="11"/>
      <c r="D7" s="11"/>
      <c r="E7" s="12" t="s">
        <v>97</v>
      </c>
      <c r="F7" s="12" t="s">
        <v>97</v>
      </c>
      <c r="G7" s="12">
        <v>0.2</v>
      </c>
      <c r="H7" s="12">
        <v>0.16666666666666666</v>
      </c>
      <c r="I7" s="12">
        <v>0.33333333333333331</v>
      </c>
      <c r="J7" s="12">
        <v>0.1111111111111111</v>
      </c>
      <c r="K7" s="12">
        <v>0.23529411764705882</v>
      </c>
      <c r="L7" s="12" t="s">
        <v>97</v>
      </c>
      <c r="M7" s="12">
        <v>4.3478260869565216E-2</v>
      </c>
      <c r="N7" s="12" t="s">
        <v>97</v>
      </c>
      <c r="O7" s="12" t="s">
        <v>97</v>
      </c>
      <c r="P7" s="12">
        <v>0.2</v>
      </c>
      <c r="Q7" s="12">
        <v>0.16666666666666666</v>
      </c>
      <c r="R7" s="12">
        <v>0.375</v>
      </c>
      <c r="S7" s="12">
        <v>0.08</v>
      </c>
      <c r="T7" s="12">
        <v>0.2</v>
      </c>
      <c r="U7" s="12">
        <v>0.26666666666666666</v>
      </c>
      <c r="V7" s="12">
        <v>0.1111111111111111</v>
      </c>
      <c r="W7" s="12">
        <v>0.125</v>
      </c>
      <c r="X7" s="12">
        <v>6.25E-2</v>
      </c>
      <c r="Y7" s="12">
        <v>0.25641025641025639</v>
      </c>
      <c r="Z7" s="12" t="s">
        <v>97</v>
      </c>
      <c r="AA7" s="12" t="s">
        <v>97</v>
      </c>
      <c r="AB7" s="12" t="s">
        <v>97</v>
      </c>
      <c r="AC7" s="12" t="s">
        <v>97</v>
      </c>
      <c r="AD7" s="12" t="s">
        <v>97</v>
      </c>
      <c r="AE7" s="12" t="s">
        <v>97</v>
      </c>
      <c r="AF7" s="12" t="s">
        <v>97</v>
      </c>
      <c r="AG7" s="12" t="s">
        <v>97</v>
      </c>
      <c r="AH7" s="12" t="s">
        <v>97</v>
      </c>
      <c r="AI7" s="12" t="s">
        <v>97</v>
      </c>
      <c r="AJ7" s="12" t="s">
        <v>97</v>
      </c>
      <c r="AK7" s="12" t="s">
        <v>97</v>
      </c>
      <c r="AL7" s="109"/>
      <c r="AM7" s="11"/>
      <c r="AN7" s="12"/>
      <c r="AO7" s="111"/>
      <c r="AP7" s="11"/>
      <c r="AQ7" s="12"/>
      <c r="AR7" s="8"/>
      <c r="AS7" s="11"/>
      <c r="AT7" s="12"/>
      <c r="AU7" s="11"/>
      <c r="AV7" s="11"/>
      <c r="AW7" s="11"/>
      <c r="AX7" s="11"/>
      <c r="AY7" s="11"/>
      <c r="AZ7" s="11"/>
      <c r="BA7" s="11"/>
      <c r="BB7" s="11"/>
      <c r="BC7" s="11"/>
      <c r="BD7" s="11"/>
    </row>
    <row r="8" spans="1:56" ht="18">
      <c r="A8" s="119" t="s">
        <v>24</v>
      </c>
      <c r="B8" s="2" t="s">
        <v>19</v>
      </c>
      <c r="C8" s="2" t="s">
        <v>19</v>
      </c>
      <c r="D8" s="2" t="s">
        <v>19</v>
      </c>
      <c r="E8" s="2">
        <v>1</v>
      </c>
      <c r="F8" s="2">
        <v>0</v>
      </c>
      <c r="G8" s="2">
        <v>0</v>
      </c>
      <c r="H8" s="2">
        <v>1</v>
      </c>
      <c r="I8" s="2">
        <v>1</v>
      </c>
      <c r="J8" s="2">
        <v>0</v>
      </c>
      <c r="K8" s="2">
        <v>2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1</v>
      </c>
      <c r="U8" s="2">
        <v>1</v>
      </c>
      <c r="V8" s="2">
        <v>0</v>
      </c>
      <c r="W8" s="2">
        <v>0</v>
      </c>
      <c r="X8" s="2">
        <v>1</v>
      </c>
      <c r="Y8" s="2">
        <v>3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8">
        <v>6</v>
      </c>
      <c r="AM8" s="2">
        <v>7</v>
      </c>
      <c r="AO8" s="8">
        <v>24.3</v>
      </c>
      <c r="AR8" s="8">
        <v>0.24691358024691357</v>
      </c>
    </row>
    <row r="9" spans="1:56" s="10" customFormat="1" ht="18">
      <c r="A9" s="10" t="s">
        <v>25</v>
      </c>
      <c r="B9" s="11" t="s">
        <v>19</v>
      </c>
      <c r="C9" s="11" t="s">
        <v>19</v>
      </c>
      <c r="D9" s="11" t="s">
        <v>19</v>
      </c>
      <c r="E9" s="12" t="e">
        <v>#DIV/0!</v>
      </c>
      <c r="F9" s="12" t="s">
        <v>97</v>
      </c>
      <c r="G9" s="12" t="s">
        <v>97</v>
      </c>
      <c r="H9" s="12">
        <v>0.16666666666666666</v>
      </c>
      <c r="I9" s="12">
        <v>0.33333333333333331</v>
      </c>
      <c r="J9" s="12" t="s">
        <v>97</v>
      </c>
      <c r="K9" s="12">
        <v>0.11764705882352941</v>
      </c>
      <c r="L9" s="12" t="s">
        <v>97</v>
      </c>
      <c r="M9" s="12">
        <v>1.4492753623188406E-2</v>
      </c>
      <c r="N9" s="12" t="s">
        <v>97</v>
      </c>
      <c r="O9" s="12" t="s">
        <v>97</v>
      </c>
      <c r="P9" s="12" t="s">
        <v>97</v>
      </c>
      <c r="Q9" s="12">
        <v>8.3333333333333329E-2</v>
      </c>
      <c r="R9" s="12" t="s">
        <v>97</v>
      </c>
      <c r="S9" s="12" t="s">
        <v>97</v>
      </c>
      <c r="T9" s="12">
        <v>0.2</v>
      </c>
      <c r="U9" s="12">
        <v>6.6666666666666666E-2</v>
      </c>
      <c r="V9" s="12" t="s">
        <v>97</v>
      </c>
      <c r="W9" s="12" t="s">
        <v>97</v>
      </c>
      <c r="X9" s="12">
        <v>3.125E-2</v>
      </c>
      <c r="Y9" s="12">
        <v>7.6923076923076927E-2</v>
      </c>
      <c r="Z9" s="12" t="s">
        <v>97</v>
      </c>
      <c r="AA9" s="12" t="s">
        <v>97</v>
      </c>
      <c r="AB9" s="12" t="s">
        <v>97</v>
      </c>
      <c r="AC9" s="12" t="s">
        <v>97</v>
      </c>
      <c r="AD9" s="12" t="s">
        <v>97</v>
      </c>
      <c r="AE9" s="12" t="s">
        <v>97</v>
      </c>
      <c r="AF9" s="12" t="s">
        <v>97</v>
      </c>
      <c r="AG9" s="12" t="s">
        <v>97</v>
      </c>
      <c r="AH9" s="12" t="s">
        <v>97</v>
      </c>
      <c r="AI9" s="12" t="s">
        <v>97</v>
      </c>
      <c r="AJ9" s="12" t="s">
        <v>97</v>
      </c>
      <c r="AK9" s="12" t="s">
        <v>97</v>
      </c>
      <c r="AL9" s="110">
        <v>5.0420168067226892E-2</v>
      </c>
      <c r="AM9" s="11"/>
      <c r="AN9" s="12"/>
      <c r="AO9" s="8"/>
      <c r="AP9" s="11"/>
      <c r="AQ9" s="12"/>
      <c r="AR9" s="8" t="e">
        <v>#DIV/0!</v>
      </c>
      <c r="AS9" s="11"/>
      <c r="AT9" s="12"/>
      <c r="AU9" s="11"/>
      <c r="AV9" s="11"/>
      <c r="AW9" s="11"/>
      <c r="AX9" s="11"/>
      <c r="AY9" s="11"/>
      <c r="AZ9" s="11"/>
      <c r="BA9" s="11"/>
      <c r="BB9" s="11"/>
      <c r="BC9" s="11"/>
      <c r="BD9" s="11"/>
    </row>
    <row r="10" spans="1:56" ht="18">
      <c r="A10" s="119" t="s">
        <v>26</v>
      </c>
      <c r="B10" s="2" t="s">
        <v>19</v>
      </c>
      <c r="C10" s="2" t="s">
        <v>19</v>
      </c>
      <c r="D10" s="2" t="s">
        <v>19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1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8">
        <v>0</v>
      </c>
      <c r="AM10" s="2">
        <v>0</v>
      </c>
      <c r="AO10" s="8">
        <v>4.5999999999999996</v>
      </c>
      <c r="AR10" s="8">
        <v>0</v>
      </c>
    </row>
    <row r="11" spans="1:56" s="10" customFormat="1" ht="18">
      <c r="A11" s="10" t="s">
        <v>27</v>
      </c>
      <c r="B11" s="11" t="s">
        <v>19</v>
      </c>
      <c r="C11" s="11" t="s">
        <v>19</v>
      </c>
      <c r="D11" s="11" t="s">
        <v>19</v>
      </c>
      <c r="E11" s="12" t="s">
        <v>97</v>
      </c>
      <c r="F11" s="12" t="s">
        <v>97</v>
      </c>
      <c r="G11" s="12" t="s">
        <v>97</v>
      </c>
      <c r="H11" s="12" t="s">
        <v>97</v>
      </c>
      <c r="I11" s="12" t="s">
        <v>97</v>
      </c>
      <c r="J11" s="12" t="s">
        <v>97</v>
      </c>
      <c r="K11" s="12" t="s">
        <v>97</v>
      </c>
      <c r="L11" s="12" t="s">
        <v>97</v>
      </c>
      <c r="M11" s="12" t="s">
        <v>97</v>
      </c>
      <c r="N11" s="12" t="s">
        <v>97</v>
      </c>
      <c r="O11" s="12" t="s">
        <v>97</v>
      </c>
      <c r="P11" s="12" t="s">
        <v>97</v>
      </c>
      <c r="Q11" s="12" t="s">
        <v>97</v>
      </c>
      <c r="R11" s="12" t="s">
        <v>97</v>
      </c>
      <c r="S11" s="12" t="s">
        <v>97</v>
      </c>
      <c r="T11" s="12" t="s">
        <v>97</v>
      </c>
      <c r="U11" s="12" t="s">
        <v>97</v>
      </c>
      <c r="V11" s="12" t="s">
        <v>97</v>
      </c>
      <c r="W11" s="12" t="s">
        <v>97</v>
      </c>
      <c r="X11" s="12" t="s">
        <v>97</v>
      </c>
      <c r="Y11" s="12" t="s">
        <v>97</v>
      </c>
      <c r="Z11" s="12">
        <v>7.6923076923076927E-2</v>
      </c>
      <c r="AA11" s="12" t="s">
        <v>97</v>
      </c>
      <c r="AB11" s="12" t="s">
        <v>97</v>
      </c>
      <c r="AC11" s="12" t="s">
        <v>97</v>
      </c>
      <c r="AD11" s="12" t="s">
        <v>97</v>
      </c>
      <c r="AE11" s="12" t="s">
        <v>97</v>
      </c>
      <c r="AF11" s="12" t="s">
        <v>97</v>
      </c>
      <c r="AG11" s="12" t="s">
        <v>97</v>
      </c>
      <c r="AH11" s="12" t="s">
        <v>97</v>
      </c>
      <c r="AI11" s="12" t="s">
        <v>97</v>
      </c>
      <c r="AJ11" s="12" t="s">
        <v>97</v>
      </c>
      <c r="AK11" s="12" t="s">
        <v>97</v>
      </c>
      <c r="AL11" s="110">
        <v>0</v>
      </c>
      <c r="AM11" s="11"/>
      <c r="AN11" s="12"/>
      <c r="AO11" s="8"/>
      <c r="AP11" s="11"/>
      <c r="AQ11" s="12"/>
      <c r="AR11" s="8" t="e">
        <v>#DIV/0!</v>
      </c>
      <c r="AS11" s="11"/>
      <c r="AT11" s="12"/>
      <c r="AU11" s="11"/>
      <c r="AV11" s="11"/>
      <c r="AW11" s="11"/>
      <c r="AX11" s="11"/>
      <c r="AY11" s="11"/>
      <c r="AZ11" s="11"/>
      <c r="BA11" s="11"/>
      <c r="BB11" s="11"/>
      <c r="BC11" s="11"/>
      <c r="BD11" s="11"/>
    </row>
    <row r="12" spans="1:56" s="7" customFormat="1" ht="18">
      <c r="A12" s="7" t="s">
        <v>28</v>
      </c>
      <c r="B12" s="7">
        <v>269</v>
      </c>
      <c r="C12" s="7">
        <v>349</v>
      </c>
      <c r="D12" s="7">
        <v>404</v>
      </c>
      <c r="E12" s="8">
        <v>454</v>
      </c>
      <c r="F12" s="8">
        <v>504</v>
      </c>
      <c r="G12" s="8">
        <v>564</v>
      </c>
      <c r="H12" s="8">
        <v>614</v>
      </c>
      <c r="I12" s="8">
        <v>664</v>
      </c>
      <c r="J12" s="8">
        <v>724</v>
      </c>
      <c r="K12" s="8">
        <v>874</v>
      </c>
      <c r="L12" s="8">
        <v>924</v>
      </c>
      <c r="M12" s="8">
        <v>924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 t="e">
        <v>#DIV/0!</v>
      </c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1:56" s="3" customFormat="1" ht="18">
      <c r="A13" s="117" t="s">
        <v>78</v>
      </c>
      <c r="B13" s="41">
        <v>3</v>
      </c>
      <c r="C13" s="41">
        <v>4</v>
      </c>
      <c r="D13" s="41">
        <v>4</v>
      </c>
      <c r="E13" s="14">
        <v>4</v>
      </c>
      <c r="F13" s="14">
        <v>4</v>
      </c>
      <c r="G13" s="14">
        <v>4</v>
      </c>
      <c r="H13" s="14">
        <v>5</v>
      </c>
      <c r="I13" s="14">
        <v>5</v>
      </c>
      <c r="J13" s="14">
        <v>5</v>
      </c>
      <c r="K13" s="14">
        <v>6</v>
      </c>
      <c r="L13" s="14">
        <v>7</v>
      </c>
      <c r="M13" s="14">
        <v>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8"/>
      <c r="AM13" s="4"/>
      <c r="AN13" s="4"/>
      <c r="AO13" s="8">
        <v>47</v>
      </c>
      <c r="AP13" s="4"/>
      <c r="AQ13" s="4"/>
      <c r="AR13" s="8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</row>
    <row r="14" spans="1:56" s="3" customFormat="1" ht="18">
      <c r="A14" s="3" t="s">
        <v>32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4" t="s">
        <v>143</v>
      </c>
      <c r="O14" s="4" t="s">
        <v>143</v>
      </c>
      <c r="P14" s="4" t="s">
        <v>143</v>
      </c>
      <c r="Q14" s="4">
        <v>0</v>
      </c>
      <c r="R14" s="4">
        <v>3.5999999999999996</v>
      </c>
      <c r="S14" s="4">
        <v>6</v>
      </c>
      <c r="T14" s="4">
        <v>7.1999999999999993</v>
      </c>
      <c r="U14" s="4">
        <v>3.5999999999999996</v>
      </c>
      <c r="V14" s="4">
        <v>10.799999999999999</v>
      </c>
      <c r="W14" s="4">
        <v>20.399999999999999</v>
      </c>
      <c r="X14" s="4">
        <v>8.4</v>
      </c>
      <c r="Y14" s="4">
        <v>82.8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7"/>
      <c r="AM14" s="4"/>
      <c r="AN14" s="4"/>
      <c r="AO14" s="7"/>
      <c r="AP14" s="4">
        <v>142.79999999999998</v>
      </c>
      <c r="AQ14" s="4"/>
      <c r="AR14" s="8" t="e">
        <v>#REF!</v>
      </c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</row>
    <row r="15" spans="1:56" s="3" customFormat="1" ht="18">
      <c r="A15" s="3" t="s">
        <v>33</v>
      </c>
      <c r="B15" s="7"/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4">
        <v>1.1499999999999999</v>
      </c>
      <c r="O15" s="4">
        <v>1.1499999999999999</v>
      </c>
      <c r="P15" s="4">
        <v>1.1499999999999999</v>
      </c>
      <c r="Q15" s="4">
        <v>1.1499999999999999</v>
      </c>
      <c r="R15" s="4">
        <v>1.1499999999999999</v>
      </c>
      <c r="S15" s="4">
        <v>1.1499999999999999</v>
      </c>
      <c r="T15" s="4">
        <v>1.1499999999999999</v>
      </c>
      <c r="U15" s="4">
        <v>1.1499999999999999</v>
      </c>
      <c r="V15" s="4">
        <v>1.1499999999999999</v>
      </c>
      <c r="W15" s="4">
        <v>1.1499999999999999</v>
      </c>
      <c r="X15" s="4">
        <v>1.1499999999999999</v>
      </c>
      <c r="Y15" s="4">
        <v>1.1499999999999999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8"/>
      <c r="AM15" s="4"/>
      <c r="AN15" s="4"/>
      <c r="AO15" s="8"/>
      <c r="AP15" s="4">
        <v>13.800000000000002</v>
      </c>
      <c r="AQ15" s="4"/>
      <c r="AR15" s="8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</row>
    <row r="16" spans="1:56" s="3" customFormat="1" ht="18">
      <c r="A16" s="3" t="s">
        <v>34</v>
      </c>
      <c r="B16" s="7"/>
      <c r="C16" s="7"/>
      <c r="D16" s="7"/>
      <c r="E16" s="8"/>
      <c r="F16" s="8"/>
      <c r="G16" s="8"/>
      <c r="H16" s="8"/>
      <c r="I16" s="8"/>
      <c r="J16" s="8"/>
      <c r="K16" s="8"/>
      <c r="L16" s="8"/>
      <c r="M16" s="8"/>
      <c r="N16" s="39">
        <v>58</v>
      </c>
      <c r="O16" s="39">
        <v>58</v>
      </c>
      <c r="P16" s="39">
        <v>58</v>
      </c>
      <c r="Q16" s="39">
        <v>58</v>
      </c>
      <c r="R16" s="39">
        <v>58</v>
      </c>
      <c r="S16" s="39">
        <v>58</v>
      </c>
      <c r="T16" s="39">
        <v>58</v>
      </c>
      <c r="U16" s="39">
        <v>58</v>
      </c>
      <c r="V16" s="39">
        <v>58</v>
      </c>
      <c r="W16" s="39">
        <v>58</v>
      </c>
      <c r="X16" s="39">
        <v>58</v>
      </c>
      <c r="Y16" s="39">
        <v>58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8"/>
      <c r="AM16" s="4"/>
      <c r="AN16" s="4"/>
      <c r="AO16" s="8"/>
      <c r="AP16" s="4">
        <v>696</v>
      </c>
      <c r="AQ16" s="4"/>
      <c r="AR16" s="8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</row>
    <row r="17" spans="1:56" s="3" customFormat="1" ht="18">
      <c r="A17" s="3" t="s">
        <v>35</v>
      </c>
      <c r="B17" s="7"/>
      <c r="C17" s="7"/>
      <c r="D17" s="7"/>
      <c r="E17" s="8"/>
      <c r="F17" s="8"/>
      <c r="G17" s="8"/>
      <c r="H17" s="8"/>
      <c r="I17" s="8"/>
      <c r="J17" s="8"/>
      <c r="K17" s="8"/>
      <c r="L17" s="8"/>
      <c r="M17" s="8"/>
      <c r="N17" s="39">
        <v>29.574999999999999</v>
      </c>
      <c r="O17" s="39">
        <v>29.574999999999999</v>
      </c>
      <c r="P17" s="39">
        <v>29.574999999999999</v>
      </c>
      <c r="Q17" s="39">
        <v>19.716666666666665</v>
      </c>
      <c r="R17" s="39">
        <v>20.916666666666668</v>
      </c>
      <c r="S17" s="39">
        <v>21.716666666666669</v>
      </c>
      <c r="T17" s="39">
        <v>22.116666666666664</v>
      </c>
      <c r="U17" s="39">
        <v>20.916666666666668</v>
      </c>
      <c r="V17" s="39">
        <v>23.316666666666666</v>
      </c>
      <c r="W17" s="39">
        <v>26.516666666666666</v>
      </c>
      <c r="X17" s="39">
        <v>22.516666666666666</v>
      </c>
      <c r="Y17" s="39">
        <v>47.316666666666663</v>
      </c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8"/>
      <c r="AM17" s="4"/>
      <c r="AN17" s="39"/>
      <c r="AO17" s="8"/>
      <c r="AP17" s="39">
        <v>284.2</v>
      </c>
      <c r="AQ17" s="39"/>
      <c r="AR17" s="8"/>
      <c r="AS17" s="4"/>
      <c r="AT17" s="39"/>
      <c r="AU17" s="4"/>
      <c r="AV17" s="4"/>
      <c r="AW17" s="4"/>
      <c r="AX17" s="4"/>
      <c r="AY17" s="4"/>
      <c r="AZ17" s="4"/>
      <c r="BA17" s="4"/>
      <c r="BB17" s="4"/>
      <c r="BC17" s="4"/>
      <c r="BD17" s="4"/>
    </row>
    <row r="18" spans="1:56" s="7" customFormat="1" ht="18">
      <c r="A18" s="7" t="s">
        <v>36</v>
      </c>
      <c r="B18" s="7">
        <v>1.3</v>
      </c>
      <c r="C18" s="7">
        <v>2.2999999999999998</v>
      </c>
      <c r="D18" s="7">
        <v>3</v>
      </c>
      <c r="E18" s="8">
        <v>3.4</v>
      </c>
      <c r="F18" s="8">
        <v>3.9</v>
      </c>
      <c r="G18" s="8">
        <v>4.3</v>
      </c>
      <c r="H18" s="8">
        <v>4.5999999999999996</v>
      </c>
      <c r="I18" s="8">
        <v>4.9000000000000004</v>
      </c>
      <c r="J18" s="8">
        <v>5.2</v>
      </c>
      <c r="K18" s="8">
        <v>6.2</v>
      </c>
      <c r="L18" s="8">
        <v>6.2</v>
      </c>
      <c r="M18" s="8">
        <v>6.2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 t="e">
        <v>#DIV/0!</v>
      </c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1:56" s="3" customFormat="1" ht="18">
      <c r="A19" s="117" t="s">
        <v>37</v>
      </c>
      <c r="B19" s="41">
        <v>0.5</v>
      </c>
      <c r="C19" s="41">
        <v>0.8</v>
      </c>
      <c r="D19" s="41">
        <v>0.9</v>
      </c>
      <c r="E19" s="14">
        <v>1.1000000000000001</v>
      </c>
      <c r="F19" s="14">
        <v>1.2</v>
      </c>
      <c r="G19" s="14">
        <v>1.3</v>
      </c>
      <c r="H19" s="14">
        <v>1.4</v>
      </c>
      <c r="I19" s="14">
        <v>1.5</v>
      </c>
      <c r="J19" s="14">
        <v>1.6</v>
      </c>
      <c r="K19" s="14">
        <v>1.9</v>
      </c>
      <c r="L19" s="14">
        <v>1.9</v>
      </c>
      <c r="M19" s="14">
        <v>1.9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8"/>
      <c r="AM19" s="4"/>
      <c r="AN19" s="4"/>
      <c r="AO19" s="8">
        <v>13.8</v>
      </c>
      <c r="AP19" s="4"/>
      <c r="AQ19" s="4"/>
      <c r="AR19" s="8"/>
      <c r="AS19" s="4"/>
      <c r="AT19" s="4"/>
      <c r="AU19" s="4"/>
      <c r="AV19" s="4"/>
      <c r="AW19" s="4"/>
      <c r="AX19" s="4"/>
      <c r="AY19" s="4"/>
      <c r="AZ19" s="4"/>
      <c r="BA19" s="4"/>
    </row>
    <row r="20" spans="1:56" s="3" customFormat="1" ht="18">
      <c r="A20" s="3" t="s">
        <v>39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7"/>
      <c r="AM20" s="4"/>
      <c r="AN20" s="4"/>
      <c r="AO20" s="8"/>
      <c r="AP20" s="4">
        <v>12</v>
      </c>
      <c r="AQ20" s="4"/>
      <c r="AR20" s="8" t="e">
        <v>#REF!</v>
      </c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</row>
    <row r="21" spans="1:56" s="3" customFormat="1" ht="18">
      <c r="A21" s="3" t="s">
        <v>40</v>
      </c>
      <c r="B21" s="7"/>
      <c r="C21" s="7"/>
      <c r="D21" s="7"/>
      <c r="E21" s="8"/>
      <c r="F21" s="8"/>
      <c r="G21" s="8"/>
      <c r="H21" s="8"/>
      <c r="I21" s="8"/>
      <c r="J21" s="8"/>
      <c r="K21" s="8"/>
      <c r="L21" s="8"/>
      <c r="M21" s="8"/>
      <c r="N21" s="4">
        <v>0.13938</v>
      </c>
      <c r="O21" s="4">
        <v>0.13938</v>
      </c>
      <c r="P21" s="4">
        <v>0.13938</v>
      </c>
      <c r="Q21" s="4">
        <v>0.13938</v>
      </c>
      <c r="R21" s="4">
        <v>0.13938</v>
      </c>
      <c r="S21" s="4">
        <v>0.13938</v>
      </c>
      <c r="T21" s="4">
        <v>0.13938</v>
      </c>
      <c r="U21" s="4">
        <v>0.13938</v>
      </c>
      <c r="V21" s="4">
        <v>0.13938</v>
      </c>
      <c r="W21" s="4">
        <v>0.13938</v>
      </c>
      <c r="X21" s="4">
        <v>0.13938</v>
      </c>
      <c r="Y21" s="4">
        <v>0.13938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8"/>
      <c r="AM21" s="4"/>
      <c r="AN21" s="4"/>
      <c r="AO21" s="8"/>
      <c r="AP21" s="4">
        <v>1.6725600000000005</v>
      </c>
      <c r="AQ21" s="4"/>
      <c r="AR21" s="8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</row>
    <row r="22" spans="1:56" s="3" customFormat="1" ht="18">
      <c r="A22" s="3" t="s">
        <v>41</v>
      </c>
      <c r="B22" s="7"/>
      <c r="C22" s="7"/>
      <c r="D22" s="7"/>
      <c r="E22" s="8"/>
      <c r="F22" s="8"/>
      <c r="G22" s="8"/>
      <c r="H22" s="8"/>
      <c r="I22" s="8"/>
      <c r="J22" s="8"/>
      <c r="K22" s="8"/>
      <c r="L22" s="8"/>
      <c r="M22" s="8"/>
      <c r="N22" s="39">
        <v>4</v>
      </c>
      <c r="O22" s="39">
        <v>4</v>
      </c>
      <c r="P22" s="39">
        <v>4</v>
      </c>
      <c r="Q22" s="39">
        <v>4</v>
      </c>
      <c r="R22" s="39">
        <v>4</v>
      </c>
      <c r="S22" s="39">
        <v>4</v>
      </c>
      <c r="T22" s="39">
        <v>4</v>
      </c>
      <c r="U22" s="39">
        <v>4</v>
      </c>
      <c r="V22" s="39">
        <v>4</v>
      </c>
      <c r="W22" s="39">
        <v>4</v>
      </c>
      <c r="X22" s="39">
        <v>4</v>
      </c>
      <c r="Y22" s="39">
        <v>4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8"/>
      <c r="AM22" s="4"/>
      <c r="AN22" s="4"/>
      <c r="AO22" s="8"/>
      <c r="AP22" s="4">
        <v>48</v>
      </c>
      <c r="AQ22" s="4"/>
      <c r="AR22" s="8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</row>
    <row r="23" spans="1:56" s="3" customFormat="1" ht="18">
      <c r="A23" s="3" t="s">
        <v>42</v>
      </c>
      <c r="B23" s="7"/>
      <c r="C23" s="7"/>
      <c r="D23" s="7"/>
      <c r="E23" s="8"/>
      <c r="F23" s="8"/>
      <c r="G23" s="8"/>
      <c r="H23" s="8"/>
      <c r="I23" s="8"/>
      <c r="J23" s="8"/>
      <c r="K23" s="8"/>
      <c r="L23" s="8"/>
      <c r="M23" s="8"/>
      <c r="N23" s="39">
        <v>1.7131266666666667</v>
      </c>
      <c r="O23" s="39">
        <v>1.7131266666666667</v>
      </c>
      <c r="P23" s="39">
        <v>1.7131266666666667</v>
      </c>
      <c r="Q23" s="39">
        <v>1.7131266666666667</v>
      </c>
      <c r="R23" s="39">
        <v>1.7131266666666667</v>
      </c>
      <c r="S23" s="39">
        <v>1.7131266666666667</v>
      </c>
      <c r="T23" s="39">
        <v>1.7131266666666667</v>
      </c>
      <c r="U23" s="39">
        <v>1.7131266666666667</v>
      </c>
      <c r="V23" s="39">
        <v>1.7131266666666667</v>
      </c>
      <c r="W23" s="39">
        <v>1.7131266666666667</v>
      </c>
      <c r="X23" s="39">
        <v>1.7131266666666667</v>
      </c>
      <c r="Y23" s="39">
        <v>1.7131266666666667</v>
      </c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8"/>
      <c r="AM23" s="4"/>
      <c r="AN23" s="39"/>
      <c r="AO23" s="8"/>
      <c r="AP23" s="39">
        <v>20.55752</v>
      </c>
      <c r="AQ23" s="39"/>
      <c r="AR23" s="8"/>
      <c r="AS23" s="4"/>
      <c r="AT23" s="39"/>
      <c r="AU23" s="4"/>
      <c r="AV23" s="4"/>
      <c r="AW23" s="4"/>
      <c r="AX23" s="4"/>
      <c r="AY23" s="4"/>
      <c r="AZ23" s="4"/>
      <c r="BA23" s="4"/>
      <c r="BB23" s="4"/>
      <c r="BC23" s="4"/>
      <c r="BD23" s="4"/>
    </row>
    <row r="24" spans="1:56" s="10" customFormat="1" ht="18">
      <c r="A24" s="10" t="s">
        <v>142</v>
      </c>
      <c r="E24" s="11"/>
      <c r="F24" s="11"/>
      <c r="G24" s="11"/>
      <c r="H24" s="12">
        <v>0.83333333333333337</v>
      </c>
      <c r="I24" s="12">
        <v>1.6666666666666667</v>
      </c>
      <c r="J24" s="12">
        <v>0.55555555555555558</v>
      </c>
      <c r="K24" s="12">
        <v>0.35294117647058826</v>
      </c>
      <c r="L24" s="12">
        <v>1</v>
      </c>
      <c r="M24" s="12">
        <v>0.10144927536231885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8"/>
      <c r="AM24" s="11"/>
      <c r="AN24" s="11"/>
      <c r="AO24" s="8"/>
      <c r="AP24" s="11"/>
      <c r="AQ24" s="11"/>
      <c r="AR24" s="8" t="e">
        <v>#DIV/0!</v>
      </c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</row>
    <row r="25" spans="1:56" s="3" customFormat="1" ht="18">
      <c r="A25" s="3" t="s">
        <v>72</v>
      </c>
      <c r="E25" s="4"/>
      <c r="F25" s="4"/>
      <c r="G25" s="4"/>
      <c r="H25" s="4"/>
      <c r="I25" s="4"/>
      <c r="J25" s="4"/>
      <c r="K25" s="4"/>
      <c r="L25" s="4"/>
      <c r="M25" s="4"/>
      <c r="N25" s="86">
        <v>1287500</v>
      </c>
      <c r="O25" s="86">
        <v>1287500</v>
      </c>
      <c r="P25" s="86">
        <v>1175000</v>
      </c>
      <c r="Q25" s="86">
        <v>1175000</v>
      </c>
      <c r="R25" s="86">
        <v>1175000</v>
      </c>
      <c r="S25" s="86">
        <v>1175000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8"/>
      <c r="AM25" s="4"/>
      <c r="AN25" s="4"/>
      <c r="AO25" s="8"/>
      <c r="AP25" s="4"/>
      <c r="AQ25" s="4"/>
      <c r="AR25" s="8" t="e">
        <v>#DIV/0!</v>
      </c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</row>
    <row r="26" spans="1:56" s="92" customFormat="1" ht="18">
      <c r="A26" s="95" t="s">
        <v>73</v>
      </c>
      <c r="B26" s="92">
        <v>0</v>
      </c>
      <c r="C26" s="92">
        <v>0</v>
      </c>
      <c r="D26" s="92">
        <v>0</v>
      </c>
      <c r="E26" s="92">
        <v>720000</v>
      </c>
      <c r="F26" s="92">
        <v>0</v>
      </c>
      <c r="G26" s="92">
        <v>30000</v>
      </c>
      <c r="H26" s="92">
        <v>30000</v>
      </c>
      <c r="I26" s="92">
        <v>440000</v>
      </c>
      <c r="J26" s="92">
        <v>470000</v>
      </c>
      <c r="K26" s="92">
        <v>330000</v>
      </c>
      <c r="L26" s="92">
        <v>230000</v>
      </c>
      <c r="M26" s="92">
        <v>340000</v>
      </c>
      <c r="N26" s="98">
        <v>643070</v>
      </c>
      <c r="O26" s="98">
        <v>672413</v>
      </c>
      <c r="P26" s="98">
        <v>560138</v>
      </c>
      <c r="Q26" s="98">
        <v>549931</v>
      </c>
      <c r="R26" s="98">
        <v>543762</v>
      </c>
      <c r="S26" s="98">
        <v>482401</v>
      </c>
      <c r="T26" s="98">
        <v>385000</v>
      </c>
      <c r="U26" s="98">
        <v>295000</v>
      </c>
      <c r="V26" s="98">
        <v>592046</v>
      </c>
      <c r="W26" s="98">
        <v>449972</v>
      </c>
      <c r="X26" s="98">
        <v>686179</v>
      </c>
      <c r="Y26" s="98">
        <v>906333</v>
      </c>
      <c r="Z26" s="98">
        <v>5102481</v>
      </c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104">
        <v>2590000</v>
      </c>
      <c r="AM26" s="116">
        <v>6359912</v>
      </c>
      <c r="AN26" s="98"/>
      <c r="AO26" s="8"/>
      <c r="AP26" s="94"/>
      <c r="AQ26" s="98"/>
      <c r="AR26" s="104" t="e">
        <v>#DIV/0!</v>
      </c>
      <c r="AS26" s="94"/>
      <c r="AT26" s="98"/>
      <c r="AU26" s="94"/>
      <c r="AV26" s="94"/>
      <c r="AW26" s="94"/>
      <c r="AX26" s="94"/>
      <c r="AY26" s="94"/>
      <c r="AZ26" s="94"/>
      <c r="BA26" s="94"/>
      <c r="BB26" s="94"/>
      <c r="BC26" s="94"/>
      <c r="BD26" s="94"/>
    </row>
    <row r="27" spans="1:56" s="23" customFormat="1" ht="18">
      <c r="A27" s="120" t="s">
        <v>45</v>
      </c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70000</v>
      </c>
      <c r="U27" s="99">
        <v>0</v>
      </c>
      <c r="V27" s="99">
        <v>110000</v>
      </c>
      <c r="W27" s="99">
        <v>0</v>
      </c>
      <c r="X27" s="99">
        <v>220000</v>
      </c>
      <c r="Y27" s="99">
        <v>55000</v>
      </c>
      <c r="Z27" s="99">
        <v>308000</v>
      </c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103"/>
      <c r="AM27" s="116">
        <v>455000</v>
      </c>
      <c r="AN27" s="99"/>
      <c r="AO27" s="103"/>
      <c r="AP27" s="99"/>
      <c r="AQ27" s="99"/>
      <c r="AR27" s="103"/>
      <c r="AS27" s="99"/>
      <c r="AT27" s="99"/>
      <c r="AU27" s="93"/>
      <c r="AV27" s="93"/>
      <c r="AW27" s="93"/>
      <c r="AX27" s="93"/>
      <c r="AY27" s="93"/>
      <c r="AZ27" s="93"/>
      <c r="BA27" s="93"/>
      <c r="BB27" s="93"/>
      <c r="BC27" s="93"/>
      <c r="BD27" s="93"/>
    </row>
    <row r="28" spans="1:56" s="23" customFormat="1" ht="18">
      <c r="A28" s="120" t="s">
        <v>46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9">
        <v>0</v>
      </c>
      <c r="O28" s="99">
        <v>30000</v>
      </c>
      <c r="P28" s="99">
        <v>30000</v>
      </c>
      <c r="Q28" s="99">
        <v>60000</v>
      </c>
      <c r="R28" s="99">
        <v>35000</v>
      </c>
      <c r="S28" s="99">
        <v>35000</v>
      </c>
      <c r="T28" s="99">
        <v>0</v>
      </c>
      <c r="U28" s="99">
        <v>30000</v>
      </c>
      <c r="V28" s="99">
        <v>30000</v>
      </c>
      <c r="W28" s="99">
        <v>15000</v>
      </c>
      <c r="X28" s="99">
        <v>60000</v>
      </c>
      <c r="Y28" s="99">
        <v>90000</v>
      </c>
      <c r="Z28" s="99">
        <v>45000</v>
      </c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103"/>
      <c r="AM28" s="116">
        <v>415000</v>
      </c>
      <c r="AN28" s="99"/>
      <c r="AO28" s="103"/>
      <c r="AP28" s="99"/>
      <c r="AQ28" s="99"/>
      <c r="AR28" s="103"/>
      <c r="AS28" s="99"/>
      <c r="AT28" s="99"/>
      <c r="AU28" s="93"/>
      <c r="AV28" s="93"/>
      <c r="AW28" s="93"/>
      <c r="AX28" s="93"/>
      <c r="AY28" s="93"/>
      <c r="AZ28" s="93"/>
      <c r="BA28" s="93"/>
      <c r="BB28" s="93"/>
      <c r="BC28" s="93"/>
      <c r="BD28" s="93"/>
    </row>
    <row r="29" spans="1:56" s="23" customFormat="1" ht="18">
      <c r="A29" s="120" t="s">
        <v>47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Z29" s="99">
        <v>250000</v>
      </c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103"/>
      <c r="AM29" s="116">
        <v>0</v>
      </c>
      <c r="AN29" s="99"/>
      <c r="AO29" s="103"/>
      <c r="AP29" s="99"/>
      <c r="AQ29" s="99"/>
      <c r="AR29" s="103"/>
      <c r="AS29" s="99"/>
      <c r="AT29" s="99"/>
      <c r="AU29" s="93"/>
      <c r="AV29" s="93"/>
      <c r="AW29" s="93"/>
      <c r="AX29" s="93"/>
      <c r="AY29" s="93"/>
      <c r="AZ29" s="93"/>
      <c r="BA29" s="93"/>
      <c r="BB29" s="93"/>
      <c r="BC29" s="93"/>
      <c r="BD29" s="93"/>
    </row>
    <row r="30" spans="1:56" s="23" customFormat="1" ht="18">
      <c r="A30" s="120" t="s">
        <v>48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9">
        <v>0</v>
      </c>
      <c r="O30" s="99">
        <v>0</v>
      </c>
      <c r="P30" s="99">
        <v>0</v>
      </c>
      <c r="Q30" s="99">
        <v>0</v>
      </c>
      <c r="R30" s="99">
        <v>0</v>
      </c>
      <c r="S30" s="99">
        <v>0</v>
      </c>
      <c r="T30" s="99">
        <v>60000</v>
      </c>
      <c r="U30" s="99">
        <v>10000</v>
      </c>
      <c r="V30" s="99">
        <v>10000</v>
      </c>
      <c r="W30" s="99">
        <v>10000</v>
      </c>
      <c r="X30" s="99">
        <v>0</v>
      </c>
      <c r="Y30" s="99">
        <v>355000</v>
      </c>
      <c r="Z30" s="99">
        <v>1065000</v>
      </c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103"/>
      <c r="AM30" s="116">
        <v>445000</v>
      </c>
      <c r="AN30" s="99"/>
      <c r="AO30" s="103"/>
      <c r="AP30" s="99"/>
      <c r="AQ30" s="99"/>
      <c r="AR30" s="103"/>
      <c r="AS30" s="99"/>
      <c r="AT30" s="99"/>
      <c r="AU30" s="93"/>
      <c r="AV30" s="93"/>
      <c r="AW30" s="93"/>
      <c r="AX30" s="93"/>
      <c r="AY30" s="93"/>
      <c r="AZ30" s="93"/>
      <c r="BA30" s="93"/>
      <c r="BB30" s="93"/>
      <c r="BC30" s="93"/>
      <c r="BD30" s="93"/>
    </row>
    <row r="31" spans="1:56" s="23" customFormat="1" ht="18">
      <c r="A31" s="120" t="s">
        <v>49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9">
        <v>155570</v>
      </c>
      <c r="O31" s="99">
        <v>154913</v>
      </c>
      <c r="P31" s="99">
        <v>155138</v>
      </c>
      <c r="Q31" s="99">
        <v>114931</v>
      </c>
      <c r="R31" s="99">
        <v>133762</v>
      </c>
      <c r="S31" s="99">
        <v>72401</v>
      </c>
      <c r="T31" s="99">
        <v>0</v>
      </c>
      <c r="U31" s="99">
        <v>0</v>
      </c>
      <c r="V31" s="99">
        <v>187046</v>
      </c>
      <c r="W31" s="99">
        <v>169972</v>
      </c>
      <c r="X31" s="99">
        <v>151179</v>
      </c>
      <c r="Y31" s="99">
        <v>151333</v>
      </c>
      <c r="Z31" s="99">
        <v>201481</v>
      </c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103"/>
      <c r="AM31" s="116">
        <v>1294912</v>
      </c>
      <c r="AN31" s="99"/>
      <c r="AO31" s="103"/>
      <c r="AP31" s="99"/>
      <c r="AQ31" s="99"/>
      <c r="AR31" s="103"/>
      <c r="AS31" s="99"/>
      <c r="AT31" s="99"/>
      <c r="AU31" s="93"/>
      <c r="AV31" s="93"/>
      <c r="AW31" s="93"/>
      <c r="AX31" s="93"/>
      <c r="AY31" s="93"/>
      <c r="AZ31" s="93"/>
      <c r="BA31" s="93"/>
      <c r="BB31" s="93"/>
      <c r="BC31" s="93"/>
      <c r="BD31" s="93"/>
    </row>
    <row r="32" spans="1:56" s="23" customFormat="1" ht="18">
      <c r="A32" s="120" t="s">
        <v>50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55000</v>
      </c>
      <c r="U32" s="99">
        <v>55000</v>
      </c>
      <c r="V32" s="99">
        <v>55000</v>
      </c>
      <c r="W32" s="99">
        <v>55000</v>
      </c>
      <c r="X32" s="99">
        <v>55000</v>
      </c>
      <c r="Y32" s="99">
        <v>55000</v>
      </c>
      <c r="Z32" s="99">
        <v>55000</v>
      </c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103"/>
      <c r="AM32" s="116">
        <v>275000</v>
      </c>
      <c r="AN32" s="99"/>
      <c r="AO32" s="103"/>
      <c r="AP32" s="99"/>
      <c r="AQ32" s="99"/>
      <c r="AR32" s="103"/>
      <c r="AS32" s="99"/>
      <c r="AT32" s="99"/>
      <c r="AU32" s="93"/>
      <c r="AV32" s="93"/>
      <c r="AW32" s="93"/>
      <c r="AX32" s="93"/>
      <c r="AY32" s="93"/>
      <c r="AZ32" s="93"/>
      <c r="BA32" s="93"/>
      <c r="BB32" s="93"/>
      <c r="BC32" s="93"/>
      <c r="BD32" s="93"/>
    </row>
    <row r="33" spans="1:56" s="23" customFormat="1" ht="18">
      <c r="A33" s="120" t="s">
        <v>51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9">
        <v>487500</v>
      </c>
      <c r="O33" s="99">
        <v>487500</v>
      </c>
      <c r="P33" s="99">
        <v>375000</v>
      </c>
      <c r="Q33" s="99">
        <v>375000</v>
      </c>
      <c r="R33" s="99">
        <v>375000</v>
      </c>
      <c r="S33" s="99">
        <v>375000</v>
      </c>
      <c r="T33" s="99">
        <v>200000</v>
      </c>
      <c r="U33" s="99">
        <v>200000</v>
      </c>
      <c r="V33" s="99">
        <v>200000</v>
      </c>
      <c r="W33" s="99">
        <v>200000</v>
      </c>
      <c r="X33" s="99">
        <v>200000</v>
      </c>
      <c r="Y33" s="99">
        <v>200000</v>
      </c>
      <c r="Z33" s="99">
        <v>200000</v>
      </c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103"/>
      <c r="AM33" s="116">
        <v>3475000</v>
      </c>
      <c r="AN33" s="99"/>
      <c r="AO33" s="103"/>
      <c r="AP33" s="99"/>
      <c r="AQ33" s="99"/>
      <c r="AR33" s="103"/>
      <c r="AS33" s="99"/>
      <c r="AT33" s="99"/>
      <c r="AU33" s="93"/>
      <c r="AV33" s="93"/>
      <c r="AW33" s="93"/>
      <c r="AX33" s="93"/>
      <c r="AY33" s="93"/>
      <c r="AZ33" s="93"/>
      <c r="BA33" s="93"/>
      <c r="BB33" s="93"/>
      <c r="BC33" s="93"/>
      <c r="BD33" s="93"/>
    </row>
    <row r="34" spans="1:56" s="23" customFormat="1" ht="18">
      <c r="A34" s="120" t="s">
        <v>52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9">
        <v>0</v>
      </c>
      <c r="O34" s="99">
        <v>0</v>
      </c>
      <c r="P34" s="99">
        <v>0</v>
      </c>
      <c r="Q34" s="99">
        <v>0</v>
      </c>
      <c r="R34" s="99">
        <v>0</v>
      </c>
      <c r="S34" s="99">
        <v>0</v>
      </c>
      <c r="T34" s="99">
        <v>0</v>
      </c>
      <c r="U34" s="99">
        <v>0</v>
      </c>
      <c r="V34" s="99">
        <v>0</v>
      </c>
      <c r="W34" s="99">
        <v>0</v>
      </c>
      <c r="X34" s="99">
        <v>0</v>
      </c>
      <c r="Y34" s="99">
        <v>0</v>
      </c>
      <c r="Z34" s="99">
        <v>2978000</v>
      </c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103"/>
      <c r="AM34" s="116">
        <v>0</v>
      </c>
      <c r="AN34" s="99"/>
      <c r="AO34" s="103"/>
      <c r="AP34" s="99"/>
      <c r="AQ34" s="99"/>
      <c r="AR34" s="103"/>
      <c r="AS34" s="99"/>
      <c r="AT34" s="99"/>
      <c r="AU34" s="93"/>
      <c r="AV34" s="93"/>
      <c r="AW34" s="93"/>
      <c r="AX34" s="93"/>
      <c r="AY34" s="93"/>
      <c r="AZ34" s="93"/>
      <c r="BA34" s="93"/>
      <c r="BB34" s="93"/>
      <c r="BC34" s="93"/>
      <c r="BD34" s="93"/>
    </row>
    <row r="35" spans="1:56" s="88" customFormat="1" ht="18">
      <c r="A35" s="88" t="s">
        <v>74</v>
      </c>
      <c r="B35" s="88" t="s">
        <v>143</v>
      </c>
      <c r="C35" s="88" t="s">
        <v>143</v>
      </c>
      <c r="D35" s="88" t="s">
        <v>143</v>
      </c>
      <c r="E35" s="88">
        <v>60000</v>
      </c>
      <c r="F35" s="88">
        <v>0</v>
      </c>
      <c r="G35" s="88">
        <v>6000</v>
      </c>
      <c r="H35" s="88">
        <v>15000</v>
      </c>
      <c r="I35" s="88">
        <v>110000</v>
      </c>
      <c r="J35" s="88">
        <v>470000</v>
      </c>
      <c r="K35" s="88">
        <v>82500</v>
      </c>
      <c r="L35" s="88">
        <v>32857.142857142855</v>
      </c>
      <c r="M35" s="88">
        <v>3655.9139784946237</v>
      </c>
      <c r="N35" s="100">
        <v>160767.5</v>
      </c>
      <c r="O35" s="100">
        <v>112068.83333333333</v>
      </c>
      <c r="P35" s="100">
        <v>112027.6</v>
      </c>
      <c r="Q35" s="100">
        <v>45827.583333333336</v>
      </c>
      <c r="R35" s="100">
        <v>33985.125</v>
      </c>
      <c r="S35" s="100">
        <v>19296.04</v>
      </c>
      <c r="T35" s="90">
        <v>77000</v>
      </c>
      <c r="U35" s="90">
        <v>19666.666666666668</v>
      </c>
      <c r="V35" s="90">
        <v>65782.888888888891</v>
      </c>
      <c r="W35" s="90">
        <v>18748.833333333332</v>
      </c>
      <c r="X35" s="90">
        <v>21443.09375</v>
      </c>
      <c r="Y35" s="90">
        <v>23239.307692307691</v>
      </c>
      <c r="Z35" s="100">
        <v>392498.53846153844</v>
      </c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4">
        <v>86668.11742618194</v>
      </c>
      <c r="AM35" s="100">
        <v>33124.541666666664</v>
      </c>
      <c r="AN35" s="100"/>
      <c r="AO35" s="8"/>
      <c r="AP35" s="90"/>
      <c r="AQ35" s="100"/>
      <c r="AR35" s="104" t="e">
        <v>#DIV/0!</v>
      </c>
      <c r="AS35" s="90"/>
      <c r="AT35" s="100"/>
      <c r="AU35" s="90"/>
      <c r="AV35" s="90"/>
      <c r="AW35" s="90"/>
      <c r="AX35" s="90"/>
      <c r="AY35" s="90"/>
      <c r="AZ35" s="90"/>
      <c r="BA35" s="90"/>
      <c r="BB35" s="90"/>
      <c r="BC35" s="90"/>
      <c r="BD35" s="90"/>
    </row>
    <row r="36" spans="1:56" s="87" customFormat="1" ht="18">
      <c r="A36" s="87" t="s">
        <v>75</v>
      </c>
      <c r="B36" s="88" t="s">
        <v>143</v>
      </c>
      <c r="C36" s="88" t="s">
        <v>143</v>
      </c>
      <c r="D36" s="88" t="s">
        <v>143</v>
      </c>
      <c r="E36" s="88">
        <v>720000</v>
      </c>
      <c r="F36" s="88" t="s">
        <v>143</v>
      </c>
      <c r="G36" s="88" t="s">
        <v>143</v>
      </c>
      <c r="H36" s="88">
        <v>30000</v>
      </c>
      <c r="I36" s="88">
        <v>440000</v>
      </c>
      <c r="J36" s="88" t="s">
        <v>143</v>
      </c>
      <c r="K36" s="88">
        <v>165000</v>
      </c>
      <c r="L36" s="88" t="s">
        <v>143</v>
      </c>
      <c r="M36" s="88">
        <v>340000</v>
      </c>
      <c r="N36" s="100">
        <v>0</v>
      </c>
      <c r="O36" s="100">
        <v>0</v>
      </c>
      <c r="P36" s="100">
        <v>0</v>
      </c>
      <c r="Q36" s="100">
        <v>549931</v>
      </c>
      <c r="R36" s="100">
        <v>0</v>
      </c>
      <c r="S36" s="100">
        <v>0</v>
      </c>
      <c r="T36" s="89">
        <v>385000</v>
      </c>
      <c r="U36" s="89">
        <v>295000</v>
      </c>
      <c r="V36" s="89">
        <v>0</v>
      </c>
      <c r="W36" s="89">
        <v>0</v>
      </c>
      <c r="X36" s="89">
        <v>686179</v>
      </c>
      <c r="Y36" s="89">
        <v>302111</v>
      </c>
      <c r="Z36" s="100">
        <v>0</v>
      </c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4">
        <v>339000</v>
      </c>
      <c r="AM36" s="100">
        <v>908558.85714285716</v>
      </c>
      <c r="AN36" s="100"/>
      <c r="AO36" s="8"/>
      <c r="AP36" s="89"/>
      <c r="AQ36" s="100"/>
      <c r="AR36" s="8" t="e">
        <v>#DIV/0!</v>
      </c>
      <c r="AS36" s="89"/>
      <c r="AT36" s="100"/>
      <c r="AU36" s="89"/>
      <c r="AV36" s="89"/>
      <c r="AW36" s="89"/>
      <c r="AX36" s="89"/>
      <c r="AY36" s="89"/>
      <c r="AZ36" s="89"/>
      <c r="BA36" s="89"/>
      <c r="BB36" s="89"/>
      <c r="BC36" s="89"/>
      <c r="BD36" s="89"/>
    </row>
    <row r="37" spans="1:56" s="87" customFormat="1" ht="18">
      <c r="A37" s="87" t="s">
        <v>76</v>
      </c>
      <c r="B37" s="88" t="s">
        <v>143</v>
      </c>
      <c r="C37" s="88" t="s">
        <v>143</v>
      </c>
      <c r="D37" s="88" t="s">
        <v>143</v>
      </c>
      <c r="E37" s="88" t="s">
        <v>143</v>
      </c>
      <c r="F37" s="88" t="s">
        <v>143</v>
      </c>
      <c r="G37" s="88" t="s">
        <v>143</v>
      </c>
      <c r="H37" s="88" t="s">
        <v>143</v>
      </c>
      <c r="I37" s="88" t="s">
        <v>143</v>
      </c>
      <c r="J37" s="88" t="s">
        <v>143</v>
      </c>
      <c r="K37" s="88" t="s">
        <v>143</v>
      </c>
      <c r="L37" s="88" t="s">
        <v>143</v>
      </c>
      <c r="M37" s="88" t="s">
        <v>143</v>
      </c>
      <c r="N37" s="100">
        <v>0</v>
      </c>
      <c r="O37" s="100">
        <v>0</v>
      </c>
      <c r="P37" s="100">
        <v>0</v>
      </c>
      <c r="Q37" s="100">
        <v>0</v>
      </c>
      <c r="R37" s="100">
        <v>0</v>
      </c>
      <c r="S37" s="100">
        <v>0</v>
      </c>
      <c r="T37" s="89">
        <v>0</v>
      </c>
      <c r="U37" s="89">
        <v>0</v>
      </c>
      <c r="V37" s="89">
        <v>0</v>
      </c>
      <c r="W37" s="89">
        <v>0</v>
      </c>
      <c r="X37" s="89">
        <v>0</v>
      </c>
      <c r="Y37" s="89">
        <v>0</v>
      </c>
      <c r="Z37" s="100">
        <v>5102481</v>
      </c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4" t="s">
        <v>143</v>
      </c>
      <c r="AM37" s="100">
        <v>0</v>
      </c>
      <c r="AN37" s="100"/>
      <c r="AO37" s="8"/>
      <c r="AP37" s="89"/>
      <c r="AQ37" s="100"/>
      <c r="AR37" s="8" t="e">
        <v>#VALUE!</v>
      </c>
      <c r="AS37" s="89"/>
      <c r="AT37" s="100"/>
      <c r="AU37" s="89"/>
      <c r="AV37" s="89"/>
      <c r="AW37" s="89"/>
      <c r="AX37" s="89"/>
      <c r="AY37" s="89"/>
      <c r="AZ37" s="89"/>
      <c r="BA37" s="89"/>
      <c r="BB37" s="89"/>
      <c r="BC37" s="89"/>
      <c r="BD37" s="89"/>
    </row>
    <row r="39" spans="1:56" ht="18"/>
    <row r="40" spans="1:56" ht="15.75" customHeight="1">
      <c r="AU40" s="21" t="s">
        <v>5</v>
      </c>
      <c r="AV40" s="6"/>
      <c r="AW40" s="16" t="s">
        <v>74</v>
      </c>
      <c r="AX40" s="17"/>
      <c r="AY40" s="18" t="s">
        <v>55</v>
      </c>
      <c r="AZ40" s="19"/>
    </row>
    <row r="41" spans="1:56" ht="18">
      <c r="A41" s="49" t="s">
        <v>56</v>
      </c>
      <c r="AU41" s="2" t="s">
        <v>1</v>
      </c>
      <c r="AV41" s="2" t="s">
        <v>2</v>
      </c>
      <c r="AW41" s="2" t="s">
        <v>1</v>
      </c>
      <c r="AX41" s="2" t="s">
        <v>2</v>
      </c>
      <c r="AY41" s="2" t="s">
        <v>1</v>
      </c>
      <c r="AZ41" s="2" t="s">
        <v>2</v>
      </c>
    </row>
    <row r="42" spans="1:56" ht="18">
      <c r="A42" s="1" t="s">
        <v>168</v>
      </c>
      <c r="B42" s="2" t="s">
        <v>19</v>
      </c>
      <c r="C42" s="2" t="s">
        <v>19</v>
      </c>
      <c r="D42" s="2" t="s">
        <v>19</v>
      </c>
      <c r="E42" s="2">
        <v>0</v>
      </c>
      <c r="F42" s="2">
        <v>2</v>
      </c>
      <c r="G42" s="2">
        <v>3</v>
      </c>
      <c r="H42" s="2">
        <v>1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AL42" s="8">
        <v>7</v>
      </c>
      <c r="AM42" s="37"/>
      <c r="AU42" s="36">
        <v>1050000</v>
      </c>
      <c r="AV42" s="35"/>
      <c r="AW42" s="36">
        <v>150000</v>
      </c>
      <c r="AX42" s="35"/>
      <c r="AY42" s="36"/>
      <c r="AZ42" s="35"/>
    </row>
    <row r="43" spans="1:56" ht="18">
      <c r="A43" s="1" t="s">
        <v>169</v>
      </c>
      <c r="B43" s="2" t="s">
        <v>19</v>
      </c>
      <c r="C43" s="2" t="s">
        <v>19</v>
      </c>
      <c r="D43" s="2" t="s">
        <v>19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3</v>
      </c>
      <c r="L43" s="2">
        <v>5</v>
      </c>
      <c r="M43" s="2">
        <v>5</v>
      </c>
      <c r="N43" s="2">
        <v>4</v>
      </c>
      <c r="AL43" s="8">
        <v>14</v>
      </c>
      <c r="AM43" s="37"/>
      <c r="AU43" s="36">
        <v>1300000</v>
      </c>
      <c r="AV43" s="35"/>
      <c r="AW43" s="36">
        <v>92857.142857142855</v>
      </c>
      <c r="AX43" s="35"/>
      <c r="AY43" s="36"/>
      <c r="AZ43" s="35"/>
    </row>
    <row r="44" spans="1:56" ht="18">
      <c r="A44" s="1" t="s">
        <v>170</v>
      </c>
      <c r="B44" s="2" t="s">
        <v>19</v>
      </c>
      <c r="C44" s="2" t="s">
        <v>19</v>
      </c>
      <c r="D44" s="2" t="s">
        <v>19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83</v>
      </c>
      <c r="N44" s="2">
        <v>0</v>
      </c>
      <c r="AL44" s="8">
        <v>83</v>
      </c>
      <c r="AM44" s="37"/>
      <c r="AU44" s="36">
        <v>240000</v>
      </c>
      <c r="AV44" s="35"/>
      <c r="AW44" s="36">
        <v>2891.5662650602408</v>
      </c>
      <c r="AX44" s="35"/>
      <c r="AY44" s="36"/>
      <c r="AZ44" s="35"/>
    </row>
    <row r="45" spans="1:56" ht="18">
      <c r="A45" s="1" t="s">
        <v>171</v>
      </c>
      <c r="B45" s="2" t="s">
        <v>19</v>
      </c>
      <c r="C45" s="2" t="s">
        <v>19</v>
      </c>
      <c r="D45" s="2" t="s">
        <v>19</v>
      </c>
      <c r="E45" s="2">
        <v>12</v>
      </c>
      <c r="F45" s="2">
        <v>1</v>
      </c>
      <c r="G45" s="2">
        <v>2</v>
      </c>
      <c r="H45" s="2">
        <v>1</v>
      </c>
      <c r="I45" s="2">
        <v>3</v>
      </c>
      <c r="J45" s="2">
        <v>0</v>
      </c>
      <c r="K45" s="2">
        <v>0</v>
      </c>
      <c r="L45" s="2">
        <v>2</v>
      </c>
      <c r="M45" s="2">
        <v>2</v>
      </c>
      <c r="N45" s="2">
        <v>3</v>
      </c>
      <c r="AL45" s="8">
        <v>23</v>
      </c>
      <c r="AM45" s="37"/>
      <c r="AU45" s="35"/>
      <c r="AV45" s="35"/>
      <c r="AW45" s="35"/>
      <c r="AX45" s="35"/>
      <c r="AY45" s="35"/>
      <c r="AZ45" s="35"/>
    </row>
    <row r="46" spans="1:56" ht="18">
      <c r="A46" s="1" t="s">
        <v>172</v>
      </c>
      <c r="B46" s="2" t="s">
        <v>19</v>
      </c>
      <c r="C46" s="2" t="s">
        <v>19</v>
      </c>
      <c r="D46" s="2" t="s">
        <v>19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3</v>
      </c>
      <c r="N46" s="2">
        <v>1</v>
      </c>
      <c r="AL46" s="8">
        <v>4</v>
      </c>
      <c r="AM46" s="37"/>
      <c r="AU46" s="35"/>
      <c r="AV46" s="35"/>
      <c r="AW46" s="35"/>
      <c r="AX46" s="35"/>
      <c r="AY46" s="35"/>
      <c r="AZ46" s="35"/>
    </row>
    <row r="47" spans="1:56" ht="18">
      <c r="A47" s="1" t="s">
        <v>173</v>
      </c>
      <c r="B47" s="2" t="s">
        <v>19</v>
      </c>
      <c r="C47" s="2" t="s">
        <v>19</v>
      </c>
      <c r="D47" s="2" t="s">
        <v>19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AL47" s="8">
        <v>0</v>
      </c>
      <c r="AM47" s="37"/>
      <c r="AU47" s="35"/>
      <c r="AV47" s="35"/>
      <c r="AW47" s="35"/>
      <c r="AX47" s="35"/>
      <c r="AY47" s="35"/>
      <c r="AZ47" s="35"/>
    </row>
    <row r="48" spans="1:56" ht="18">
      <c r="A48" s="1" t="s">
        <v>174</v>
      </c>
      <c r="B48" s="2" t="s">
        <v>19</v>
      </c>
      <c r="C48" s="2" t="s">
        <v>19</v>
      </c>
      <c r="D48" s="2" t="s">
        <v>19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AL48" s="8">
        <v>0</v>
      </c>
      <c r="AM48" s="37"/>
      <c r="AU48" s="35"/>
      <c r="AV48" s="35"/>
      <c r="AW48" s="35"/>
      <c r="AX48" s="35"/>
      <c r="AY48" s="35"/>
      <c r="AZ48" s="35"/>
    </row>
    <row r="49" spans="1:56" ht="18">
      <c r="A49" s="1" t="s">
        <v>175</v>
      </c>
      <c r="B49" s="2" t="s">
        <v>19</v>
      </c>
      <c r="C49" s="2" t="s">
        <v>19</v>
      </c>
      <c r="D49" s="2" t="s">
        <v>19</v>
      </c>
      <c r="E49" s="9">
        <v>0.61819999999999997</v>
      </c>
      <c r="F49" s="9">
        <v>0.52829999999999999</v>
      </c>
      <c r="G49" s="9">
        <v>0.46910000000000002</v>
      </c>
      <c r="H49" s="9">
        <v>0.53369999999999995</v>
      </c>
      <c r="I49" s="9">
        <v>0.51519999999999999</v>
      </c>
      <c r="J49" s="9">
        <v>0.45660000000000001</v>
      </c>
      <c r="K49" s="9">
        <v>0.48920000000000002</v>
      </c>
      <c r="L49" s="9">
        <v>0.53490000000000004</v>
      </c>
      <c r="M49" s="9">
        <v>0.53090000000000004</v>
      </c>
      <c r="N49" s="9">
        <v>0.52490000000000003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105"/>
      <c r="AM49" s="37"/>
      <c r="AN49" s="9"/>
      <c r="AQ49" s="9"/>
      <c r="AT49" s="9"/>
      <c r="AU49" s="35"/>
      <c r="AV49" s="35"/>
      <c r="AW49" s="35"/>
      <c r="AX49" s="35"/>
      <c r="AY49" s="35"/>
      <c r="AZ49" s="35"/>
    </row>
    <row r="50" spans="1:56" ht="18">
      <c r="B50" s="2" t="s">
        <v>6</v>
      </c>
      <c r="C50" s="2" t="s">
        <v>7</v>
      </c>
      <c r="D50" s="2" t="s">
        <v>8</v>
      </c>
      <c r="E50" s="2" t="s">
        <v>9</v>
      </c>
      <c r="F50" s="2" t="s">
        <v>10</v>
      </c>
      <c r="G50" s="2" t="s">
        <v>11</v>
      </c>
      <c r="H50" s="2" t="s">
        <v>12</v>
      </c>
      <c r="I50" s="2" t="s">
        <v>13</v>
      </c>
      <c r="J50" s="2" t="s">
        <v>14</v>
      </c>
      <c r="K50" s="2" t="s">
        <v>15</v>
      </c>
      <c r="L50" s="2" t="s">
        <v>16</v>
      </c>
      <c r="M50" s="2" t="s">
        <v>17</v>
      </c>
      <c r="N50" s="2" t="s">
        <v>131</v>
      </c>
      <c r="O50" s="2" t="s">
        <v>7</v>
      </c>
      <c r="P50" s="2" t="s">
        <v>8</v>
      </c>
      <c r="Q50" s="2" t="s">
        <v>132</v>
      </c>
      <c r="R50" s="2" t="s">
        <v>133</v>
      </c>
      <c r="S50" s="2" t="s">
        <v>134</v>
      </c>
      <c r="T50" s="2" t="s">
        <v>135</v>
      </c>
      <c r="U50" s="2" t="s">
        <v>136</v>
      </c>
      <c r="V50" s="2" t="s">
        <v>137</v>
      </c>
      <c r="W50" s="2" t="s">
        <v>138</v>
      </c>
      <c r="X50" s="2" t="s">
        <v>139</v>
      </c>
      <c r="Y50" s="2" t="s">
        <v>130</v>
      </c>
      <c r="AL50" s="8" t="s">
        <v>1</v>
      </c>
      <c r="AM50" s="2" t="s">
        <v>2</v>
      </c>
      <c r="AO50" s="8" t="s">
        <v>1</v>
      </c>
      <c r="AP50" s="2" t="s">
        <v>2</v>
      </c>
      <c r="AR50" s="8" t="s">
        <v>1</v>
      </c>
      <c r="AS50" s="2" t="s">
        <v>2</v>
      </c>
    </row>
    <row r="51" spans="1:56" ht="18">
      <c r="A51" s="121" t="s">
        <v>66</v>
      </c>
      <c r="B51" s="2" t="s">
        <v>19</v>
      </c>
      <c r="C51" s="2" t="s">
        <v>19</v>
      </c>
      <c r="D51" s="2" t="s">
        <v>19</v>
      </c>
      <c r="E51" s="2">
        <v>5</v>
      </c>
      <c r="F51" s="2">
        <v>0</v>
      </c>
      <c r="G51" s="2">
        <v>2</v>
      </c>
      <c r="H51" s="2">
        <v>1</v>
      </c>
      <c r="I51" s="2">
        <v>3</v>
      </c>
      <c r="J51" s="2">
        <v>1</v>
      </c>
      <c r="K51" s="2">
        <v>3</v>
      </c>
      <c r="L51" s="2">
        <v>0</v>
      </c>
      <c r="M51" s="2">
        <v>4</v>
      </c>
      <c r="N51" s="2">
        <v>4</v>
      </c>
      <c r="O51" s="2">
        <v>1</v>
      </c>
      <c r="P51" s="2">
        <v>3</v>
      </c>
      <c r="Q51" s="2">
        <v>9</v>
      </c>
      <c r="R51" s="2">
        <v>4</v>
      </c>
      <c r="S51" s="2">
        <v>1</v>
      </c>
      <c r="T51" s="2">
        <v>3</v>
      </c>
      <c r="U51" s="2">
        <v>1</v>
      </c>
      <c r="V51" s="2">
        <v>0</v>
      </c>
      <c r="W51" s="2">
        <v>1</v>
      </c>
      <c r="X51" s="2">
        <v>5</v>
      </c>
      <c r="Y51" s="2">
        <v>1</v>
      </c>
      <c r="AL51" s="8">
        <v>19</v>
      </c>
      <c r="AU51" s="35"/>
      <c r="AV51" s="35"/>
      <c r="AW51" s="35"/>
      <c r="AX51" s="35"/>
      <c r="AY51" s="35"/>
      <c r="AZ51" s="35"/>
    </row>
    <row r="52" spans="1:56" ht="18">
      <c r="A52" s="121" t="s">
        <v>67</v>
      </c>
      <c r="B52" s="2" t="s">
        <v>19</v>
      </c>
      <c r="C52" s="2" t="s">
        <v>19</v>
      </c>
      <c r="D52" s="2" t="s">
        <v>19</v>
      </c>
      <c r="E52" s="2">
        <v>7</v>
      </c>
      <c r="F52" s="2">
        <v>3</v>
      </c>
      <c r="G52" s="2">
        <v>3</v>
      </c>
      <c r="H52" s="2">
        <v>1</v>
      </c>
      <c r="I52" s="2">
        <v>1</v>
      </c>
      <c r="J52" s="2">
        <v>0</v>
      </c>
      <c r="K52" s="2">
        <v>1</v>
      </c>
      <c r="L52" s="2">
        <v>7</v>
      </c>
      <c r="M52" s="2">
        <v>6</v>
      </c>
      <c r="N52" s="2">
        <v>2</v>
      </c>
      <c r="O52" s="2">
        <v>4</v>
      </c>
      <c r="P52" s="2">
        <v>2</v>
      </c>
      <c r="Q52" s="2">
        <v>5</v>
      </c>
      <c r="R52" s="2">
        <v>12</v>
      </c>
      <c r="S52" s="2">
        <v>23</v>
      </c>
      <c r="T52" s="2">
        <v>1</v>
      </c>
      <c r="U52" s="2">
        <v>15</v>
      </c>
      <c r="V52" s="2">
        <v>9</v>
      </c>
      <c r="W52" s="2">
        <v>24</v>
      </c>
      <c r="X52" s="2">
        <v>17</v>
      </c>
      <c r="Y52" s="2">
        <v>19</v>
      </c>
      <c r="AL52" s="8">
        <v>29</v>
      </c>
      <c r="AU52" s="35"/>
      <c r="AV52" s="35"/>
      <c r="AW52" s="35"/>
      <c r="AX52" s="35"/>
      <c r="AY52" s="35"/>
      <c r="AZ52" s="35"/>
    </row>
    <row r="53" spans="1:56" ht="18">
      <c r="A53" s="121" t="s">
        <v>68</v>
      </c>
      <c r="B53" s="2" t="s">
        <v>19</v>
      </c>
      <c r="C53" s="2" t="s">
        <v>19</v>
      </c>
      <c r="D53" s="2" t="s">
        <v>19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83</v>
      </c>
      <c r="N53" s="2">
        <v>2</v>
      </c>
      <c r="O53" s="2">
        <v>5</v>
      </c>
      <c r="P53" s="2">
        <v>4</v>
      </c>
      <c r="Q53" s="2">
        <v>35</v>
      </c>
      <c r="R53" s="2">
        <v>0</v>
      </c>
      <c r="S53" s="2">
        <v>20</v>
      </c>
      <c r="T53" s="2">
        <v>1</v>
      </c>
      <c r="U53" s="2">
        <v>0</v>
      </c>
      <c r="V53" s="2">
        <v>0</v>
      </c>
      <c r="W53" s="2">
        <v>0</v>
      </c>
      <c r="X53" s="2">
        <v>0</v>
      </c>
      <c r="Y53" s="2">
        <v>18</v>
      </c>
      <c r="AL53" s="8">
        <v>83</v>
      </c>
      <c r="AU53" s="35"/>
      <c r="AV53" s="35"/>
      <c r="AW53" s="35"/>
      <c r="AX53" s="35"/>
      <c r="AY53" s="35"/>
      <c r="AZ53" s="35"/>
    </row>
    <row r="54" spans="1:56" s="5" customFormat="1" ht="18">
      <c r="A54" s="5" t="s">
        <v>69</v>
      </c>
      <c r="B54" s="6">
        <v>0</v>
      </c>
      <c r="C54" s="6">
        <v>0</v>
      </c>
      <c r="D54" s="6">
        <v>0</v>
      </c>
      <c r="E54" s="6">
        <v>12</v>
      </c>
      <c r="F54" s="6">
        <v>3</v>
      </c>
      <c r="G54" s="6">
        <v>5</v>
      </c>
      <c r="H54" s="6">
        <v>2</v>
      </c>
      <c r="I54" s="6">
        <v>4</v>
      </c>
      <c r="J54" s="6">
        <v>1</v>
      </c>
      <c r="K54" s="6">
        <v>4</v>
      </c>
      <c r="L54" s="6">
        <v>7</v>
      </c>
      <c r="M54" s="6">
        <v>93</v>
      </c>
      <c r="N54" s="6">
        <v>8</v>
      </c>
      <c r="O54" s="6">
        <v>10</v>
      </c>
      <c r="P54" s="6">
        <v>9</v>
      </c>
      <c r="Q54" s="6">
        <v>49</v>
      </c>
      <c r="R54" s="6">
        <v>16</v>
      </c>
      <c r="S54" s="6">
        <v>44</v>
      </c>
      <c r="T54" s="6">
        <v>5</v>
      </c>
      <c r="U54" s="6">
        <v>16</v>
      </c>
      <c r="V54" s="6">
        <v>9</v>
      </c>
      <c r="W54" s="6">
        <v>25</v>
      </c>
      <c r="X54" s="6">
        <v>22</v>
      </c>
      <c r="Y54" s="6">
        <v>38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8">
        <v>131</v>
      </c>
      <c r="AM54" s="6"/>
      <c r="AN54" s="6"/>
      <c r="AO54" s="8"/>
      <c r="AP54" s="6"/>
      <c r="AQ54" s="6"/>
      <c r="AR54" s="8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</row>
    <row r="55" spans="1:56" s="3" customFormat="1" ht="18">
      <c r="A55" s="3" t="s">
        <v>81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>
        <v>23.75</v>
      </c>
      <c r="O55" s="4">
        <v>23.75</v>
      </c>
      <c r="P55" s="4">
        <v>23.75</v>
      </c>
      <c r="Q55" s="4">
        <v>23.75</v>
      </c>
      <c r="R55" s="4">
        <v>23.75</v>
      </c>
      <c r="S55" s="4">
        <v>23.75</v>
      </c>
      <c r="T55" s="4">
        <v>23.75</v>
      </c>
      <c r="U55" s="4">
        <v>23.75</v>
      </c>
      <c r="V55" s="4">
        <v>23.75</v>
      </c>
      <c r="W55" s="4">
        <v>23.75</v>
      </c>
      <c r="X55" s="4">
        <v>23.75</v>
      </c>
      <c r="Y55" s="4">
        <v>23.75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8"/>
      <c r="AM55" s="4"/>
      <c r="AN55" s="4"/>
      <c r="AO55" s="8"/>
      <c r="AP55" s="4"/>
      <c r="AQ55" s="4"/>
      <c r="AR55" s="8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</row>
    <row r="56" spans="1:56" s="54" customFormat="1" ht="18">
      <c r="A56" s="54" t="s">
        <v>183</v>
      </c>
      <c r="B56" s="54">
        <v>4.5</v>
      </c>
      <c r="C56" s="54">
        <v>5.8</v>
      </c>
      <c r="D56" s="54">
        <v>6.8</v>
      </c>
      <c r="E56" s="55">
        <v>7.4</v>
      </c>
      <c r="F56" s="55">
        <v>8</v>
      </c>
      <c r="G56" s="55">
        <v>8.6999999999999993</v>
      </c>
      <c r="H56" s="55">
        <v>9.4</v>
      </c>
      <c r="I56" s="55">
        <v>9.8000000000000007</v>
      </c>
      <c r="J56" s="55">
        <v>10.6</v>
      </c>
      <c r="K56" s="55">
        <v>12.3</v>
      </c>
      <c r="L56" s="55">
        <v>13</v>
      </c>
      <c r="M56" s="55">
        <v>13</v>
      </c>
      <c r="N56" s="55">
        <v>0</v>
      </c>
      <c r="O56" s="55">
        <v>0</v>
      </c>
      <c r="P56" s="55">
        <v>0</v>
      </c>
      <c r="Q56" s="55">
        <v>14.399999999999999</v>
      </c>
      <c r="R56" s="55">
        <v>3.5999999999999996</v>
      </c>
      <c r="S56" s="55">
        <v>6</v>
      </c>
      <c r="T56" s="55">
        <v>2.4</v>
      </c>
      <c r="U56" s="55">
        <v>4.8</v>
      </c>
      <c r="V56" s="55">
        <v>1.2</v>
      </c>
      <c r="W56" s="55">
        <v>4.8</v>
      </c>
      <c r="X56" s="55">
        <v>8.4</v>
      </c>
      <c r="Y56" s="55">
        <v>111.6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7"/>
      <c r="AN56" s="2"/>
      <c r="AO56" s="8">
        <v>109.3</v>
      </c>
      <c r="AP56" s="55">
        <v>157.19999999999999</v>
      </c>
      <c r="AQ56" s="2"/>
      <c r="AR56" s="8"/>
      <c r="AS56" s="55"/>
      <c r="AT56" s="2"/>
      <c r="AU56" s="55"/>
      <c r="AV56" s="55"/>
      <c r="AW56" s="55"/>
      <c r="AX56" s="55"/>
      <c r="AY56" s="55"/>
      <c r="AZ56" s="55"/>
      <c r="BA56" s="55"/>
      <c r="BB56" s="55"/>
      <c r="BC56" s="55"/>
      <c r="BD56" s="55"/>
    </row>
    <row r="57" spans="1:56" s="54" customFormat="1" ht="18">
      <c r="A57" s="54" t="s">
        <v>184</v>
      </c>
      <c r="E57" s="55"/>
      <c r="F57" s="55"/>
      <c r="G57" s="55"/>
      <c r="H57" s="55"/>
      <c r="I57" s="55"/>
      <c r="J57" s="55"/>
      <c r="K57" s="55"/>
      <c r="L57" s="55"/>
      <c r="M57" s="55"/>
      <c r="N57" s="55">
        <v>1.2659663865546216</v>
      </c>
      <c r="O57" s="55">
        <v>1.2659663865546216</v>
      </c>
      <c r="P57" s="55">
        <v>1.2659663865546216</v>
      </c>
      <c r="Q57" s="55">
        <v>1.2659663865546216</v>
      </c>
      <c r="R57" s="55">
        <v>1.2659663865546216</v>
      </c>
      <c r="S57" s="55">
        <v>1.2659663865546216</v>
      </c>
      <c r="T57" s="55">
        <v>1.2659663865546216</v>
      </c>
      <c r="U57" s="55">
        <v>1.2659663865546216</v>
      </c>
      <c r="V57" s="55">
        <v>1.2659663865546216</v>
      </c>
      <c r="W57" s="55">
        <v>1.2659663865546216</v>
      </c>
      <c r="X57" s="55">
        <v>1.2659663865546216</v>
      </c>
      <c r="Y57" s="55">
        <v>1.2659663865546216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7"/>
      <c r="AN57" s="2"/>
      <c r="AO57" s="8">
        <v>0</v>
      </c>
      <c r="AP57" s="55">
        <v>15.19159663865546</v>
      </c>
      <c r="AQ57" s="2"/>
      <c r="AR57" s="8"/>
      <c r="AS57" s="55"/>
      <c r="AT57" s="2"/>
      <c r="AU57" s="55"/>
      <c r="AV57" s="55"/>
      <c r="AW57" s="55"/>
      <c r="AX57" s="55"/>
      <c r="AY57" s="55"/>
      <c r="AZ57" s="55"/>
      <c r="BA57" s="55"/>
      <c r="BB57" s="55"/>
      <c r="BC57" s="55"/>
      <c r="BD57" s="55"/>
    </row>
    <row r="58" spans="1:56" ht="18">
      <c r="A58" s="1" t="s">
        <v>176</v>
      </c>
    </row>
    <row r="60" spans="1:56" ht="18"/>
    <row r="62" spans="1:56" ht="18">
      <c r="A62" s="49" t="s">
        <v>177</v>
      </c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N62" s="53"/>
      <c r="AQ62" s="53"/>
      <c r="AT62" s="53"/>
    </row>
    <row r="63" spans="1:56" ht="18">
      <c r="A63" s="22" t="s">
        <v>178</v>
      </c>
      <c r="B63" s="2"/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AL63" s="7">
        <v>9</v>
      </c>
    </row>
    <row r="64" spans="1:56" ht="18">
      <c r="A64" s="22" t="s">
        <v>179</v>
      </c>
      <c r="B64" s="2"/>
      <c r="C64" s="2"/>
      <c r="D64" s="2"/>
      <c r="E64" s="1">
        <v>2</v>
      </c>
      <c r="F64" s="1"/>
      <c r="G64" s="1"/>
      <c r="H64" s="1"/>
      <c r="I64" s="1">
        <v>1</v>
      </c>
      <c r="J64" s="1">
        <v>1</v>
      </c>
      <c r="K64" s="1"/>
      <c r="L64" s="1"/>
      <c r="M64" s="1">
        <v>1</v>
      </c>
      <c r="AL64" s="7">
        <v>5</v>
      </c>
    </row>
    <row r="65" spans="1:46" ht="15.75" customHeight="1">
      <c r="A65" s="22" t="s">
        <v>180</v>
      </c>
      <c r="B65" s="2"/>
      <c r="C65" s="2"/>
      <c r="D65" s="2"/>
      <c r="E65" s="1">
        <v>1</v>
      </c>
      <c r="F65" s="1"/>
      <c r="G65" s="1"/>
      <c r="H65" s="1"/>
      <c r="I65" s="1"/>
      <c r="J65" s="1"/>
      <c r="K65" s="1"/>
      <c r="L65" s="1"/>
      <c r="M65" s="1"/>
      <c r="AL65" s="7">
        <v>1</v>
      </c>
    </row>
    <row r="66" spans="1:46" ht="15.75" customHeight="1">
      <c r="A66" s="23" t="s">
        <v>168</v>
      </c>
      <c r="B66" s="23">
        <v>0</v>
      </c>
      <c r="C66" s="23">
        <v>0</v>
      </c>
      <c r="D66" s="23">
        <v>0</v>
      </c>
      <c r="E66" s="23">
        <v>720000</v>
      </c>
      <c r="F66" s="23">
        <v>0</v>
      </c>
      <c r="G66" s="23">
        <v>0</v>
      </c>
      <c r="H66" s="23">
        <v>0</v>
      </c>
      <c r="I66" s="23">
        <v>110000</v>
      </c>
      <c r="J66" s="23">
        <v>110000</v>
      </c>
      <c r="K66" s="23">
        <v>0</v>
      </c>
      <c r="L66" s="23">
        <v>0</v>
      </c>
      <c r="M66" s="23">
        <v>110000</v>
      </c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106">
        <v>1050000</v>
      </c>
      <c r="AN66" s="53"/>
      <c r="AQ66" s="53"/>
      <c r="AT66" s="53"/>
    </row>
    <row r="67" spans="1:46" ht="15.75" customHeight="1">
      <c r="A67" s="42" t="s">
        <v>181</v>
      </c>
      <c r="B67" s="23"/>
      <c r="C67" s="23"/>
      <c r="D67" s="23"/>
      <c r="E67" s="23"/>
      <c r="F67" s="23"/>
      <c r="G67" s="23"/>
      <c r="H67" s="23"/>
      <c r="I67" s="23"/>
      <c r="J67" s="23">
        <v>186595</v>
      </c>
      <c r="K67" s="23">
        <v>176017</v>
      </c>
      <c r="L67" s="23">
        <v>155792</v>
      </c>
      <c r="M67" s="23">
        <v>207948</v>
      </c>
      <c r="AL67" s="106">
        <v>726352</v>
      </c>
    </row>
    <row r="68" spans="1:46" ht="15.75" customHeight="1">
      <c r="A68" s="23" t="s">
        <v>169</v>
      </c>
      <c r="B68" s="23"/>
      <c r="C68" s="23"/>
      <c r="D68" s="23"/>
      <c r="E68" s="23"/>
      <c r="F68" s="23"/>
      <c r="G68" s="23"/>
      <c r="H68" s="23"/>
      <c r="I68" s="23">
        <v>300000</v>
      </c>
      <c r="J68" s="23">
        <v>300000</v>
      </c>
      <c r="K68" s="23">
        <v>300000</v>
      </c>
      <c r="L68" s="23">
        <v>200000</v>
      </c>
      <c r="M68" s="23">
        <v>200000</v>
      </c>
      <c r="AL68" s="106">
        <v>1300000</v>
      </c>
    </row>
    <row r="69" spans="1:46" ht="15.75" customHeight="1">
      <c r="A69" s="22" t="s">
        <v>182</v>
      </c>
      <c r="E69" s="1"/>
      <c r="F69" s="1"/>
      <c r="G69" s="1">
        <v>1</v>
      </c>
      <c r="H69" s="1">
        <v>1</v>
      </c>
      <c r="I69" s="1">
        <v>1</v>
      </c>
      <c r="J69" s="1">
        <v>2</v>
      </c>
      <c r="K69" s="1">
        <v>1</v>
      </c>
      <c r="L69" s="1">
        <v>1</v>
      </c>
      <c r="M69" s="1">
        <v>1</v>
      </c>
      <c r="AL69" s="7">
        <v>8</v>
      </c>
    </row>
    <row r="70" spans="1:46" ht="15.75" customHeight="1">
      <c r="A70" s="23" t="s">
        <v>170</v>
      </c>
      <c r="B70" s="23"/>
      <c r="C70" s="23"/>
      <c r="D70" s="23"/>
      <c r="E70" s="23">
        <v>0</v>
      </c>
      <c r="F70" s="23">
        <v>0</v>
      </c>
      <c r="G70" s="23">
        <v>30000</v>
      </c>
      <c r="H70" s="23">
        <v>30000</v>
      </c>
      <c r="I70" s="23">
        <v>30000</v>
      </c>
      <c r="J70" s="23">
        <v>60000</v>
      </c>
      <c r="K70" s="23">
        <v>30000</v>
      </c>
      <c r="L70" s="23">
        <v>30000</v>
      </c>
      <c r="M70" s="23">
        <v>30000</v>
      </c>
      <c r="AL70" s="106">
        <v>240000</v>
      </c>
    </row>
  </sheetData>
  <phoneticPr fontId="1"/>
  <conditionalFormatting sqref="A7:AK7">
    <cfRule type="cellIs" dxfId="11" priority="1" operator="equal">
      <formula>#DIV/0!</formula>
    </cfRule>
  </conditionalFormatting>
  <conditionalFormatting sqref="B26:M34">
    <cfRule type="cellIs" dxfId="10" priority="10" operator="equal">
      <formula>#DIV/0!</formula>
    </cfRule>
  </conditionalFormatting>
  <conditionalFormatting sqref="B1:Y1 A2:Y2 A13:A14">
    <cfRule type="cellIs" dxfId="9" priority="11" operator="equal">
      <formula>#DIV/0!</formula>
    </cfRule>
  </conditionalFormatting>
  <conditionalFormatting sqref="Z17:AK17 Z23:AK23">
    <cfRule type="cellIs" dxfId="8" priority="8" operator="equal">
      <formula>#DIV/0!</formula>
    </cfRule>
  </conditionalFormatting>
  <conditionalFormatting sqref="AL1:AM11 AO1:AP13 AR1:AS26 AU1:XFD26 A3:M3 A4:Y4 A5:M6 A8:M8 A9:AK9 A10:M10 A11:AK11 A12:Y12 AL12:AL13 AM12:AM23 B13:Y13 N14:Y14 AP14 A15:Y19 AL15:AL19 AO15:AP26 A20:A23 B21:Y23 AL21:AL23 A24:Y24 A25:M25 T25:Y25 BE27:XFD34 A35:M37 T35:Y37 AO35:AP1048576 AR35:AS1048576 AU35:XFD1048576 A38:Y61 AL58:AM62 B62:Y70 AM63:AM70 A71:Y1048576 AL71:AM1048576">
    <cfRule type="cellIs" dxfId="7" priority="12" operator="equal">
      <formula>#DIV/0!</formula>
    </cfRule>
  </conditionalFormatting>
  <conditionalFormatting sqref="AL24:AM34 AL35:AL37 AL38:AM55">
    <cfRule type="cellIs" dxfId="6" priority="9" operator="equal">
      <formula>#DIV/0!</formula>
    </cfRule>
  </conditionalFormatting>
  <conditionalFormatting sqref="AN7 AN17 AN23">
    <cfRule type="cellIs" dxfId="5" priority="7" operator="equal">
      <formula>#DIV/0!</formula>
    </cfRule>
  </conditionalFormatting>
  <conditionalFormatting sqref="AN20">
    <cfRule type="cellIs" dxfId="4" priority="6" operator="equal">
      <formula>#DIV/0!</formula>
    </cfRule>
  </conditionalFormatting>
  <conditionalFormatting sqref="AQ7 AQ17 AQ23">
    <cfRule type="cellIs" dxfId="3" priority="5" operator="equal">
      <formula>#DIV/0!</formula>
    </cfRule>
  </conditionalFormatting>
  <conditionalFormatting sqref="AQ20">
    <cfRule type="cellIs" dxfId="2" priority="4" operator="equal">
      <formula>#DIV/0!</formula>
    </cfRule>
  </conditionalFormatting>
  <conditionalFormatting sqref="AT7 AT17 AT23">
    <cfRule type="cellIs" dxfId="1" priority="3" operator="equal">
      <formula>#DIV/0!</formula>
    </cfRule>
  </conditionalFormatting>
  <conditionalFormatting sqref="AT20">
    <cfRule type="cellIs" dxfId="0" priority="2" operator="equal">
      <formula>#DIV/0!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EF6E-86DD-45A4-A0C0-4904333DB10C}">
  <sheetPr>
    <tabColor rgb="FFFFC000"/>
  </sheetPr>
  <dimension ref="A1:J23"/>
  <sheetViews>
    <sheetView zoomScale="44" zoomScaleNormal="100" workbookViewId="0"/>
  </sheetViews>
  <sheetFormatPr defaultRowHeight="18"/>
  <cols>
    <col min="1" max="4" width="16.5" customWidth="1"/>
    <col min="5" max="6" width="16.5" style="24" customWidth="1"/>
    <col min="7" max="10" width="16.5" customWidth="1"/>
  </cols>
  <sheetData>
    <row r="1" spans="1:9" ht="24" customHeight="1">
      <c r="A1" s="83" t="s">
        <v>109</v>
      </c>
      <c r="B1" s="83" t="s">
        <v>185</v>
      </c>
      <c r="C1" s="83" t="s">
        <v>186</v>
      </c>
      <c r="D1" s="83" t="s">
        <v>187</v>
      </c>
      <c r="E1" s="84" t="s">
        <v>188</v>
      </c>
      <c r="F1" s="84" t="s">
        <v>189</v>
      </c>
      <c r="G1" s="83" t="s">
        <v>190</v>
      </c>
      <c r="H1" s="83" t="s">
        <v>191</v>
      </c>
      <c r="I1" s="83" t="s">
        <v>192</v>
      </c>
    </row>
    <row r="2" spans="1:9" s="58" customFormat="1" ht="27" customHeight="1">
      <c r="A2" s="72">
        <v>45870</v>
      </c>
      <c r="B2" s="73">
        <f>SUM(C19:C22)</f>
        <v>6254</v>
      </c>
      <c r="C2" s="73">
        <f>SUM(D19:D22)</f>
        <v>484</v>
      </c>
      <c r="D2" s="74">
        <f>IF(C2=0,0,C2/B2)</f>
        <v>7.7390470099136549E-2</v>
      </c>
      <c r="E2" s="75">
        <f>IF(C2=0,0,F2/C2)</f>
        <v>315.96074380165288</v>
      </c>
      <c r="F2" s="75">
        <f>SUM(G19:G22)</f>
        <v>152925</v>
      </c>
      <c r="G2" s="73">
        <f>SUM(H19:H22)</f>
        <v>8</v>
      </c>
      <c r="H2" s="74">
        <f>IF(G2=0,0,G2/C2)</f>
        <v>1.6528925619834711E-2</v>
      </c>
      <c r="I2" s="75">
        <f>IF(G2=0,0,F2/G2)</f>
        <v>19115.625</v>
      </c>
    </row>
    <row r="3" spans="1:9">
      <c r="A3" s="76" t="s">
        <v>193</v>
      </c>
      <c r="B3">
        <f t="shared" ref="B3:F3" si="0">B2-B4</f>
        <v>-2070</v>
      </c>
      <c r="C3">
        <f t="shared" si="0"/>
        <v>-144</v>
      </c>
      <c r="D3" s="115">
        <f t="shared" si="0"/>
        <v>1.9459722615584596E-3</v>
      </c>
      <c r="E3">
        <f t="shared" si="0"/>
        <v>69.514883929041417</v>
      </c>
      <c r="F3">
        <f t="shared" si="0"/>
        <v>-1843</v>
      </c>
      <c r="G3">
        <f>G2-G4</f>
        <v>4</v>
      </c>
      <c r="H3" s="43">
        <f>H2-H4</f>
        <v>1.0159498868242354E-2</v>
      </c>
      <c r="I3" s="24">
        <f>I2-I4</f>
        <v>-19576.375</v>
      </c>
    </row>
    <row r="4" spans="1:9">
      <c r="A4" s="77">
        <v>45839</v>
      </c>
      <c r="B4" s="66">
        <v>8324</v>
      </c>
      <c r="C4" s="66">
        <v>628</v>
      </c>
      <c r="D4" s="78">
        <f t="shared" ref="D4:D5" si="1">IF(C4=0,0,C4/B4)</f>
        <v>7.5444497837578089E-2</v>
      </c>
      <c r="E4" s="67">
        <f>IF(C4=0,0,F4/C4)</f>
        <v>246.44585987261146</v>
      </c>
      <c r="F4" s="67">
        <v>154768</v>
      </c>
      <c r="G4" s="66">
        <v>4</v>
      </c>
      <c r="H4" s="78">
        <f>IF(G4=0,0,G4/C4)</f>
        <v>6.369426751592357E-3</v>
      </c>
      <c r="I4" s="67">
        <f>IF(G4=0,0,F4/G4)</f>
        <v>38692</v>
      </c>
    </row>
    <row r="5" spans="1:9">
      <c r="A5" s="56">
        <v>45809</v>
      </c>
      <c r="B5">
        <v>8435</v>
      </c>
      <c r="C5">
        <v>627</v>
      </c>
      <c r="D5" s="43">
        <f t="shared" si="1"/>
        <v>7.4333135743924125E-2</v>
      </c>
      <c r="E5" s="24">
        <f>IF(C5=0,0,F5/C5)</f>
        <v>244.20095693779905</v>
      </c>
      <c r="F5" s="24">
        <v>153114</v>
      </c>
      <c r="G5">
        <v>5</v>
      </c>
      <c r="H5" s="43">
        <f>IF(G5=0,0,G5/C5)</f>
        <v>7.9744816586921844E-3</v>
      </c>
      <c r="I5" s="24">
        <f>IF(G5=0,0,F5/G5)</f>
        <v>30622.799999999999</v>
      </c>
    </row>
    <row r="6" spans="1:9">
      <c r="A6" s="77">
        <v>45778</v>
      </c>
      <c r="B6" s="66">
        <v>7920</v>
      </c>
      <c r="C6" s="66">
        <v>599</v>
      </c>
      <c r="D6" s="78">
        <f>IF(C6=0,0,C6/B6)</f>
        <v>7.5631313131313133E-2</v>
      </c>
      <c r="E6" s="67">
        <f t="shared" ref="E6:E16" si="2">IF(C6=0,0,F6/C6)</f>
        <v>262.16360601001668</v>
      </c>
      <c r="F6" s="67">
        <v>157036</v>
      </c>
      <c r="G6" s="66">
        <v>6</v>
      </c>
      <c r="H6" s="78">
        <f t="shared" ref="H6:H16" si="3">IF(G6=0,0,G6/C6)</f>
        <v>1.001669449081803E-2</v>
      </c>
      <c r="I6" s="67">
        <f t="shared" ref="I6:I16" si="4">IF(G6=0,0,F6/G6)</f>
        <v>26172.666666666668</v>
      </c>
    </row>
    <row r="7" spans="1:9">
      <c r="A7" s="56">
        <v>45748</v>
      </c>
      <c r="B7">
        <v>8824</v>
      </c>
      <c r="C7">
        <v>558</v>
      </c>
      <c r="D7" s="43">
        <f t="shared" ref="D7:D16" si="5">IF(C7=0,0,C7/B7)</f>
        <v>6.3236627379873067E-2</v>
      </c>
      <c r="E7" s="24">
        <f t="shared" si="2"/>
        <v>269.6720430107527</v>
      </c>
      <c r="F7" s="24">
        <v>150477</v>
      </c>
      <c r="G7">
        <v>16</v>
      </c>
      <c r="H7" s="43">
        <f t="shared" si="3"/>
        <v>2.8673835125448029E-2</v>
      </c>
      <c r="I7" s="24">
        <f t="shared" si="4"/>
        <v>9404.8125</v>
      </c>
    </row>
    <row r="8" spans="1:9">
      <c r="A8" s="77">
        <v>45717</v>
      </c>
      <c r="B8" s="66">
        <v>8097</v>
      </c>
      <c r="C8" s="66">
        <v>552</v>
      </c>
      <c r="D8" s="78">
        <f t="shared" si="5"/>
        <v>6.8173397554649864E-2</v>
      </c>
      <c r="E8" s="67">
        <f t="shared" si="2"/>
        <v>279.72826086956519</v>
      </c>
      <c r="F8" s="67">
        <v>154410</v>
      </c>
      <c r="G8" s="66">
        <v>5</v>
      </c>
      <c r="H8" s="78">
        <f t="shared" si="3"/>
        <v>9.057971014492754E-3</v>
      </c>
      <c r="I8" s="67">
        <f t="shared" si="4"/>
        <v>30882</v>
      </c>
    </row>
    <row r="9" spans="1:9">
      <c r="A9" s="56">
        <v>45689</v>
      </c>
      <c r="B9">
        <v>9795</v>
      </c>
      <c r="C9">
        <v>700</v>
      </c>
      <c r="D9" s="43">
        <f t="shared" si="5"/>
        <v>7.1465033180193982E-2</v>
      </c>
      <c r="E9" s="24">
        <f t="shared" si="2"/>
        <v>255.25285714285715</v>
      </c>
      <c r="F9" s="24">
        <v>178677</v>
      </c>
      <c r="G9">
        <v>3</v>
      </c>
      <c r="H9" s="43">
        <f t="shared" si="3"/>
        <v>4.2857142857142859E-3</v>
      </c>
      <c r="I9" s="24">
        <f t="shared" si="4"/>
        <v>59559</v>
      </c>
    </row>
    <row r="10" spans="1:9">
      <c r="A10" s="77">
        <v>45658</v>
      </c>
      <c r="B10" s="66">
        <v>9347</v>
      </c>
      <c r="C10" s="66">
        <v>645</v>
      </c>
      <c r="D10" s="78">
        <f t="shared" si="5"/>
        <v>6.900609821333048E-2</v>
      </c>
      <c r="E10" s="67">
        <f t="shared" si="2"/>
        <v>240.2108527131783</v>
      </c>
      <c r="F10" s="67">
        <v>154936</v>
      </c>
      <c r="G10" s="66">
        <v>7</v>
      </c>
      <c r="H10" s="78">
        <f t="shared" si="3"/>
        <v>1.0852713178294573E-2</v>
      </c>
      <c r="I10" s="67">
        <f t="shared" si="4"/>
        <v>22133.714285714286</v>
      </c>
    </row>
    <row r="11" spans="1:9">
      <c r="A11" s="56">
        <v>45627</v>
      </c>
      <c r="B11">
        <v>9634</v>
      </c>
      <c r="C11">
        <v>555</v>
      </c>
      <c r="D11" s="43">
        <f t="shared" si="5"/>
        <v>5.760847000207598E-2</v>
      </c>
      <c r="E11" s="24">
        <f t="shared" si="2"/>
        <v>274.01081081081082</v>
      </c>
      <c r="F11" s="24">
        <v>152076</v>
      </c>
      <c r="G11">
        <v>2</v>
      </c>
      <c r="H11" s="43">
        <f t="shared" si="3"/>
        <v>3.6036036036036037E-3</v>
      </c>
      <c r="I11" s="24">
        <f t="shared" si="4"/>
        <v>76038</v>
      </c>
    </row>
    <row r="12" spans="1:9">
      <c r="A12" s="77">
        <v>45597</v>
      </c>
      <c r="B12" s="66">
        <v>13222</v>
      </c>
      <c r="C12" s="66">
        <v>872</v>
      </c>
      <c r="D12" s="78">
        <f t="shared" si="5"/>
        <v>6.5950688246861289E-2</v>
      </c>
      <c r="E12" s="67">
        <f t="shared" si="2"/>
        <v>228.36467889908258</v>
      </c>
      <c r="F12" s="67">
        <v>199134</v>
      </c>
      <c r="G12" s="66">
        <v>13</v>
      </c>
      <c r="H12" s="78">
        <f t="shared" si="3"/>
        <v>1.4908256880733946E-2</v>
      </c>
      <c r="I12" s="67">
        <f t="shared" si="4"/>
        <v>15318</v>
      </c>
    </row>
    <row r="13" spans="1:9">
      <c r="A13" s="56">
        <v>45566</v>
      </c>
      <c r="B13">
        <v>2665</v>
      </c>
      <c r="C13">
        <v>195</v>
      </c>
      <c r="D13" s="43">
        <f t="shared" si="5"/>
        <v>7.3170731707317069E-2</v>
      </c>
      <c r="E13" s="24">
        <f t="shared" si="2"/>
        <v>211.85641025641024</v>
      </c>
      <c r="F13" s="24">
        <v>41312</v>
      </c>
      <c r="G13">
        <v>2</v>
      </c>
      <c r="H13" s="43">
        <f t="shared" si="3"/>
        <v>1.0256410256410256E-2</v>
      </c>
      <c r="I13" s="24">
        <f t="shared" si="4"/>
        <v>20656</v>
      </c>
    </row>
    <row r="14" spans="1:9">
      <c r="A14" s="77">
        <v>45536</v>
      </c>
      <c r="B14" s="66">
        <v>0</v>
      </c>
      <c r="C14" s="66">
        <v>0</v>
      </c>
      <c r="D14" s="78">
        <f t="shared" si="5"/>
        <v>0</v>
      </c>
      <c r="E14" s="67">
        <f t="shared" si="2"/>
        <v>0</v>
      </c>
      <c r="F14" s="67">
        <v>0</v>
      </c>
      <c r="G14" s="66">
        <v>0</v>
      </c>
      <c r="H14" s="78">
        <f t="shared" si="3"/>
        <v>0</v>
      </c>
      <c r="I14" s="67">
        <f t="shared" si="4"/>
        <v>0</v>
      </c>
    </row>
    <row r="15" spans="1:9">
      <c r="A15" s="79">
        <v>45505</v>
      </c>
      <c r="B15" s="80">
        <v>0</v>
      </c>
      <c r="C15" s="80">
        <v>0</v>
      </c>
      <c r="D15" s="81">
        <f t="shared" si="5"/>
        <v>0</v>
      </c>
      <c r="E15" s="82">
        <f t="shared" si="2"/>
        <v>0</v>
      </c>
      <c r="F15" s="82">
        <v>0</v>
      </c>
      <c r="G15" s="80">
        <v>0</v>
      </c>
      <c r="H15" s="81">
        <f t="shared" si="3"/>
        <v>0</v>
      </c>
      <c r="I15" s="82">
        <f t="shared" si="4"/>
        <v>0</v>
      </c>
    </row>
    <row r="16" spans="1:9" hidden="1">
      <c r="A16" s="79">
        <v>45474</v>
      </c>
      <c r="B16" s="80">
        <v>0</v>
      </c>
      <c r="C16" s="80">
        <v>0</v>
      </c>
      <c r="D16" s="81">
        <f t="shared" si="5"/>
        <v>0</v>
      </c>
      <c r="E16" s="82">
        <f t="shared" si="2"/>
        <v>0</v>
      </c>
      <c r="F16" s="82">
        <v>0</v>
      </c>
      <c r="G16" s="80">
        <v>0</v>
      </c>
      <c r="H16" s="81">
        <f t="shared" si="3"/>
        <v>0</v>
      </c>
      <c r="I16" s="82">
        <f t="shared" si="4"/>
        <v>0</v>
      </c>
    </row>
    <row r="17" spans="1:10">
      <c r="A17" s="56"/>
    </row>
    <row r="18" spans="1:10">
      <c r="A18" s="59" t="s">
        <v>194</v>
      </c>
      <c r="B18" s="60" t="s">
        <v>195</v>
      </c>
      <c r="C18" s="60" t="s">
        <v>185</v>
      </c>
      <c r="D18" s="60" t="s">
        <v>186</v>
      </c>
      <c r="E18" s="61" t="s">
        <v>187</v>
      </c>
      <c r="F18" s="61" t="s">
        <v>188</v>
      </c>
      <c r="G18" s="60" t="s">
        <v>189</v>
      </c>
      <c r="H18" s="60" t="s">
        <v>190</v>
      </c>
      <c r="I18" s="60" t="s">
        <v>191</v>
      </c>
      <c r="J18" s="60" t="s">
        <v>192</v>
      </c>
    </row>
    <row r="19" spans="1:10" ht="39.75" customHeight="1">
      <c r="A19" s="62" t="s">
        <v>196</v>
      </c>
      <c r="B19" s="63" t="s">
        <v>197</v>
      </c>
      <c r="C19">
        <v>4287</v>
      </c>
      <c r="D19">
        <v>330</v>
      </c>
      <c r="E19" s="43">
        <f t="shared" ref="E19" si="6">IF(C19=0,0,D19/C19)</f>
        <v>7.6976906927921626E-2</v>
      </c>
      <c r="F19" s="24">
        <f t="shared" ref="F19" si="7">IF(D19=0,0,G19/D19)</f>
        <v>294.9787878787879</v>
      </c>
      <c r="G19" s="24">
        <v>97343</v>
      </c>
      <c r="H19">
        <v>7</v>
      </c>
      <c r="I19" s="43">
        <f>IF(H19=0,0,H19/D19)</f>
        <v>2.1212121212121213E-2</v>
      </c>
      <c r="J19" s="24">
        <f>IF(H19=0,0,G19/H19)</f>
        <v>13906.142857142857</v>
      </c>
    </row>
    <row r="20" spans="1:10" ht="39.75" customHeight="1">
      <c r="A20" s="113" t="s">
        <v>198</v>
      </c>
      <c r="B20" s="65" t="s">
        <v>199</v>
      </c>
      <c r="C20" s="66">
        <v>0</v>
      </c>
      <c r="D20" s="66">
        <v>0</v>
      </c>
      <c r="E20" s="78">
        <f>IF(C20=0,0,D20/C20)</f>
        <v>0</v>
      </c>
      <c r="F20" s="67">
        <f>IF(D20=0,0,G20/D20)</f>
        <v>0</v>
      </c>
      <c r="G20" s="67">
        <v>0</v>
      </c>
      <c r="H20" s="66">
        <v>0</v>
      </c>
      <c r="I20" s="78">
        <f t="shared" ref="I20:I22" si="8">IF(H20=0,0,H20/D20)</f>
        <v>0</v>
      </c>
      <c r="J20" s="67">
        <f t="shared" ref="J20:J22" si="9">IF(H20=0,0,G20/H20)</f>
        <v>0</v>
      </c>
    </row>
    <row r="21" spans="1:10" ht="39.75" customHeight="1">
      <c r="A21" s="62" t="s">
        <v>200</v>
      </c>
      <c r="B21" s="63" t="s">
        <v>201</v>
      </c>
      <c r="C21">
        <v>1967</v>
      </c>
      <c r="D21">
        <v>154</v>
      </c>
      <c r="E21" s="43">
        <f t="shared" ref="E21:E22" si="10">IF(C21=0,0,D21/C21)</f>
        <v>7.8291814946619215E-2</v>
      </c>
      <c r="F21" s="24">
        <f t="shared" ref="F21:F22" si="11">IF(D21=0,0,G21/D21)</f>
        <v>360.9220779220779</v>
      </c>
      <c r="G21" s="24">
        <v>55582</v>
      </c>
      <c r="H21">
        <v>1</v>
      </c>
      <c r="I21" s="43">
        <f t="shared" si="8"/>
        <v>6.4935064935064939E-3</v>
      </c>
      <c r="J21" s="24">
        <f t="shared" si="9"/>
        <v>55582</v>
      </c>
    </row>
    <row r="22" spans="1:10" ht="39.75" customHeight="1">
      <c r="A22" s="114" t="s">
        <v>202</v>
      </c>
      <c r="B22" s="69" t="s">
        <v>203</v>
      </c>
      <c r="C22" s="70">
        <v>0</v>
      </c>
      <c r="D22" s="70">
        <v>0</v>
      </c>
      <c r="E22" s="85">
        <f t="shared" si="10"/>
        <v>0</v>
      </c>
      <c r="F22" s="71">
        <f t="shared" si="11"/>
        <v>0</v>
      </c>
      <c r="G22" s="71">
        <v>0</v>
      </c>
      <c r="H22" s="70">
        <v>0</v>
      </c>
      <c r="I22" s="85">
        <f t="shared" si="8"/>
        <v>0</v>
      </c>
      <c r="J22" s="71">
        <f t="shared" si="9"/>
        <v>0</v>
      </c>
    </row>
    <row r="23" spans="1:10">
      <c r="A23" s="57"/>
      <c r="B23" s="57"/>
    </row>
  </sheetData>
  <sortState xmlns:xlrd2="http://schemas.microsoft.com/office/spreadsheetml/2017/richdata2" ref="A19:J22">
    <sortCondition ref="A19:A22"/>
  </sortState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2AC9-A3D4-4F16-B62F-BC8E7E086C8B}">
  <sheetPr>
    <tabColor rgb="FF92D050"/>
  </sheetPr>
  <dimension ref="A1:J23"/>
  <sheetViews>
    <sheetView workbookViewId="0"/>
  </sheetViews>
  <sheetFormatPr defaultRowHeight="18"/>
  <cols>
    <col min="1" max="4" width="16.5" customWidth="1"/>
    <col min="5" max="6" width="16.5" style="24" customWidth="1"/>
    <col min="7" max="10" width="16.5" customWidth="1"/>
  </cols>
  <sheetData>
    <row r="1" spans="1:9" ht="24" customHeight="1">
      <c r="A1" s="83" t="s">
        <v>109</v>
      </c>
      <c r="B1" s="83" t="s">
        <v>185</v>
      </c>
      <c r="C1" s="83" t="s">
        <v>186</v>
      </c>
      <c r="D1" s="83" t="s">
        <v>187</v>
      </c>
      <c r="E1" s="84" t="s">
        <v>188</v>
      </c>
      <c r="F1" s="84" t="s">
        <v>189</v>
      </c>
      <c r="G1" s="83" t="s">
        <v>190</v>
      </c>
      <c r="H1" s="83" t="s">
        <v>191</v>
      </c>
      <c r="I1" s="83" t="s">
        <v>192</v>
      </c>
    </row>
    <row r="2" spans="1:9" s="58" customFormat="1" ht="27" customHeight="1">
      <c r="A2" s="72">
        <v>45870</v>
      </c>
      <c r="B2" s="73">
        <f>SUM(C19:C22)</f>
        <v>594</v>
      </c>
      <c r="C2" s="73">
        <f>SUM(D19:D22)</f>
        <v>33</v>
      </c>
      <c r="D2" s="74">
        <f>IF(C2=0,0,C2/B2)</f>
        <v>5.5555555555555552E-2</v>
      </c>
      <c r="E2" s="75">
        <f>IF(C2=0,0,F2/C2)</f>
        <v>4349.909090909091</v>
      </c>
      <c r="F2" s="75">
        <f>SUM(G19)</f>
        <v>143547</v>
      </c>
      <c r="G2" s="73">
        <f>SUM(H19:H22)</f>
        <v>0</v>
      </c>
      <c r="H2" s="74">
        <f>IF(G2=0,0,G2/C2)</f>
        <v>0</v>
      </c>
      <c r="I2" s="75">
        <f>IF(G2=0,0,F2/G2)</f>
        <v>0</v>
      </c>
    </row>
    <row r="3" spans="1:9">
      <c r="A3" s="76" t="s">
        <v>193</v>
      </c>
      <c r="B3">
        <f>B2-B5</f>
        <v>25</v>
      </c>
      <c r="C3">
        <f t="shared" ref="C3:I3" si="0">C2-C5</f>
        <v>-7</v>
      </c>
      <c r="D3" s="43">
        <f t="shared" si="0"/>
        <v>-1.4743214215973452E-2</v>
      </c>
      <c r="E3" s="24">
        <f t="shared" si="0"/>
        <v>557.5090909090909</v>
      </c>
      <c r="F3" s="24">
        <f t="shared" si="0"/>
        <v>-8149</v>
      </c>
      <c r="G3">
        <f t="shared" si="0"/>
        <v>-1</v>
      </c>
      <c r="H3" s="43">
        <f t="shared" si="0"/>
        <v>-2.5000000000000001E-2</v>
      </c>
      <c r="I3" s="24">
        <f t="shared" si="0"/>
        <v>-151696</v>
      </c>
    </row>
    <row r="4" spans="1:9">
      <c r="A4" s="77">
        <v>45839</v>
      </c>
      <c r="B4" s="66">
        <v>398</v>
      </c>
      <c r="C4" s="66">
        <v>25</v>
      </c>
      <c r="D4" s="78">
        <f>IF(C4=0,0,C4/B4)</f>
        <v>6.2814070351758788E-2</v>
      </c>
      <c r="E4" s="67">
        <v>5604.68</v>
      </c>
      <c r="F4" s="67">
        <v>140117</v>
      </c>
      <c r="G4" s="66">
        <f>SUM(H21:H24)</f>
        <v>0</v>
      </c>
      <c r="H4" s="78">
        <f>IF(G4=0,0,G4/C4)</f>
        <v>0</v>
      </c>
      <c r="I4" s="67">
        <f>IF(G4=0,0,F4/G4)</f>
        <v>0</v>
      </c>
    </row>
    <row r="5" spans="1:9">
      <c r="A5" s="56">
        <v>45809</v>
      </c>
      <c r="B5">
        <v>569</v>
      </c>
      <c r="C5">
        <v>40</v>
      </c>
      <c r="D5" s="43">
        <f t="shared" ref="D5" si="1">IF(C5=0,0,C5/B5)</f>
        <v>7.0298769771529004E-2</v>
      </c>
      <c r="E5" s="24">
        <f>IF(C5=0,0,F5/C5)</f>
        <v>3792.4</v>
      </c>
      <c r="F5" s="24">
        <v>151696</v>
      </c>
      <c r="G5">
        <v>1</v>
      </c>
      <c r="H5" s="43">
        <f>IF(G5=0,0,G5/C5)</f>
        <v>2.5000000000000001E-2</v>
      </c>
      <c r="I5" s="24">
        <f>IF(G5=0,0,F5/G5)</f>
        <v>151696</v>
      </c>
    </row>
    <row r="6" spans="1:9">
      <c r="A6" s="77">
        <v>45778</v>
      </c>
      <c r="B6" s="66">
        <v>541</v>
      </c>
      <c r="C6" s="66">
        <v>20</v>
      </c>
      <c r="D6" s="78">
        <f>IF(C6=0,0,C6/B6)</f>
        <v>3.6968576709796676E-2</v>
      </c>
      <c r="E6" s="67">
        <f t="shared" ref="E6:E16" si="2">IF(C6=0,0,F6/C6)</f>
        <v>4507.25</v>
      </c>
      <c r="F6" s="67">
        <v>90145</v>
      </c>
      <c r="G6" s="66">
        <v>0</v>
      </c>
      <c r="H6" s="78">
        <f t="shared" ref="H6:H16" si="3">IF(G6=0,0,G6/C6)</f>
        <v>0</v>
      </c>
      <c r="I6" s="67">
        <f t="shared" ref="I6:I16" si="4">IF(G6=0,0,F6/G6)</f>
        <v>0</v>
      </c>
    </row>
    <row r="7" spans="1:9">
      <c r="A7" s="56">
        <v>45748</v>
      </c>
      <c r="B7">
        <v>611</v>
      </c>
      <c r="C7">
        <v>44</v>
      </c>
      <c r="D7" s="43">
        <f t="shared" ref="D7:D16" si="5">IF(C7=0,0,C7/B7)</f>
        <v>7.2013093289689037E-2</v>
      </c>
      <c r="E7" s="24">
        <f t="shared" si="2"/>
        <v>2900.590909090909</v>
      </c>
      <c r="F7" s="24">
        <v>127626</v>
      </c>
      <c r="G7">
        <v>0</v>
      </c>
      <c r="H7" s="43">
        <f t="shared" si="3"/>
        <v>0</v>
      </c>
      <c r="I7" s="24">
        <f t="shared" si="4"/>
        <v>0</v>
      </c>
    </row>
    <row r="8" spans="1:9">
      <c r="A8" s="77">
        <v>45717</v>
      </c>
      <c r="B8" s="66">
        <v>2112</v>
      </c>
      <c r="C8" s="66">
        <v>135</v>
      </c>
      <c r="D8" s="78">
        <f t="shared" si="5"/>
        <v>6.3920454545454544E-2</v>
      </c>
      <c r="E8" s="67">
        <f t="shared" si="2"/>
        <v>1152.1703703703704</v>
      </c>
      <c r="F8" s="67">
        <v>155543</v>
      </c>
      <c r="G8" s="66">
        <v>1</v>
      </c>
      <c r="H8" s="78">
        <f t="shared" si="3"/>
        <v>7.4074074074074077E-3</v>
      </c>
      <c r="I8" s="67">
        <f t="shared" si="4"/>
        <v>155543</v>
      </c>
    </row>
    <row r="9" spans="1:9">
      <c r="A9" s="56">
        <v>45689</v>
      </c>
      <c r="B9">
        <v>3443</v>
      </c>
      <c r="C9">
        <v>198</v>
      </c>
      <c r="D9" s="43">
        <f t="shared" si="5"/>
        <v>5.7507987220447282E-2</v>
      </c>
      <c r="E9" s="24">
        <f t="shared" si="2"/>
        <v>793.03535353535358</v>
      </c>
      <c r="F9" s="24">
        <v>157021</v>
      </c>
      <c r="G9">
        <v>1</v>
      </c>
      <c r="H9" s="43">
        <f t="shared" si="3"/>
        <v>5.0505050505050509E-3</v>
      </c>
      <c r="I9" s="24">
        <f t="shared" si="4"/>
        <v>157021</v>
      </c>
    </row>
    <row r="10" spans="1:9">
      <c r="A10" s="77">
        <v>45658</v>
      </c>
      <c r="B10" s="66">
        <v>2815</v>
      </c>
      <c r="C10" s="66">
        <v>144</v>
      </c>
      <c r="D10" s="78">
        <f t="shared" si="5"/>
        <v>5.1154529307282419E-2</v>
      </c>
      <c r="E10" s="67">
        <f t="shared" si="2"/>
        <v>1068.0208333333333</v>
      </c>
      <c r="F10" s="67">
        <v>153795</v>
      </c>
      <c r="G10" s="66">
        <v>0</v>
      </c>
      <c r="H10" s="78">
        <f t="shared" si="3"/>
        <v>0</v>
      </c>
      <c r="I10" s="67">
        <f t="shared" si="4"/>
        <v>0</v>
      </c>
    </row>
    <row r="11" spans="1:9">
      <c r="A11" s="56">
        <v>45627</v>
      </c>
      <c r="B11">
        <v>4354</v>
      </c>
      <c r="C11">
        <v>182</v>
      </c>
      <c r="D11" s="43">
        <f t="shared" si="5"/>
        <v>4.1800643086816719E-2</v>
      </c>
      <c r="E11" s="24">
        <f t="shared" si="2"/>
        <v>1094.7747252747254</v>
      </c>
      <c r="F11" s="24">
        <v>199249</v>
      </c>
      <c r="G11">
        <v>2</v>
      </c>
      <c r="H11" s="43">
        <f t="shared" si="3"/>
        <v>1.098901098901099E-2</v>
      </c>
      <c r="I11" s="24">
        <f t="shared" si="4"/>
        <v>99624.5</v>
      </c>
    </row>
    <row r="12" spans="1:9">
      <c r="A12" s="77">
        <v>45597</v>
      </c>
      <c r="B12" s="66">
        <v>4979</v>
      </c>
      <c r="C12" s="66">
        <v>192</v>
      </c>
      <c r="D12" s="78">
        <f t="shared" si="5"/>
        <v>3.8561960232978511E-2</v>
      </c>
      <c r="E12" s="67">
        <f t="shared" si="2"/>
        <v>993.80729166666663</v>
      </c>
      <c r="F12" s="67">
        <v>190811</v>
      </c>
      <c r="G12" s="66">
        <v>4</v>
      </c>
      <c r="H12" s="78">
        <f t="shared" si="3"/>
        <v>2.0833333333333332E-2</v>
      </c>
      <c r="I12" s="67">
        <f t="shared" si="4"/>
        <v>47702.75</v>
      </c>
    </row>
    <row r="13" spans="1:9">
      <c r="A13" s="56">
        <v>45566</v>
      </c>
      <c r="B13">
        <v>7989</v>
      </c>
      <c r="C13">
        <v>289</v>
      </c>
      <c r="D13" s="43">
        <f t="shared" si="5"/>
        <v>3.6174740267868322E-2</v>
      </c>
      <c r="E13" s="24">
        <f t="shared" si="2"/>
        <v>729.73010380622839</v>
      </c>
      <c r="F13" s="24">
        <v>210892</v>
      </c>
      <c r="G13">
        <v>3</v>
      </c>
      <c r="H13" s="43">
        <f t="shared" si="3"/>
        <v>1.0380622837370242E-2</v>
      </c>
      <c r="I13" s="24">
        <f t="shared" si="4"/>
        <v>70297.333333333328</v>
      </c>
    </row>
    <row r="14" spans="1:9">
      <c r="A14" s="77">
        <v>45536</v>
      </c>
      <c r="B14" s="66">
        <v>0</v>
      </c>
      <c r="C14" s="66">
        <v>0</v>
      </c>
      <c r="D14" s="78">
        <f t="shared" si="5"/>
        <v>0</v>
      </c>
      <c r="E14" s="67">
        <f t="shared" si="2"/>
        <v>0</v>
      </c>
      <c r="F14" s="67">
        <v>0</v>
      </c>
      <c r="G14" s="66">
        <v>0</v>
      </c>
      <c r="H14" s="78">
        <f t="shared" si="3"/>
        <v>0</v>
      </c>
      <c r="I14" s="67">
        <f t="shared" si="4"/>
        <v>0</v>
      </c>
    </row>
    <row r="15" spans="1:9">
      <c r="A15" s="79">
        <v>45505</v>
      </c>
      <c r="B15" s="80">
        <v>0</v>
      </c>
      <c r="C15" s="80">
        <v>0</v>
      </c>
      <c r="D15" s="81">
        <f t="shared" si="5"/>
        <v>0</v>
      </c>
      <c r="E15" s="82">
        <f t="shared" si="2"/>
        <v>0</v>
      </c>
      <c r="F15" s="82">
        <v>0</v>
      </c>
      <c r="G15" s="80">
        <v>0</v>
      </c>
      <c r="H15" s="81">
        <f t="shared" si="3"/>
        <v>0</v>
      </c>
      <c r="I15" s="82">
        <f t="shared" si="4"/>
        <v>0</v>
      </c>
    </row>
    <row r="16" spans="1:9" hidden="1">
      <c r="A16" s="112">
        <v>45474</v>
      </c>
      <c r="B16" s="70">
        <v>0</v>
      </c>
      <c r="C16" s="70">
        <v>0</v>
      </c>
      <c r="D16" s="85">
        <f t="shared" si="5"/>
        <v>0</v>
      </c>
      <c r="E16" s="71">
        <f t="shared" si="2"/>
        <v>0</v>
      </c>
      <c r="F16" s="71">
        <v>0</v>
      </c>
      <c r="G16" s="70">
        <v>0</v>
      </c>
      <c r="H16" s="85">
        <f t="shared" si="3"/>
        <v>0</v>
      </c>
      <c r="I16" s="71">
        <f t="shared" si="4"/>
        <v>0</v>
      </c>
    </row>
    <row r="17" spans="1:10">
      <c r="A17" s="56"/>
    </row>
    <row r="18" spans="1:10">
      <c r="A18" s="59" t="s">
        <v>194</v>
      </c>
      <c r="B18" s="60" t="s">
        <v>195</v>
      </c>
      <c r="C18" s="60" t="s">
        <v>185</v>
      </c>
      <c r="D18" s="60" t="s">
        <v>186</v>
      </c>
      <c r="E18" s="61" t="s">
        <v>187</v>
      </c>
      <c r="F18" s="61" t="s">
        <v>188</v>
      </c>
      <c r="G18" s="60" t="s">
        <v>189</v>
      </c>
      <c r="H18" s="60" t="s">
        <v>190</v>
      </c>
      <c r="I18" s="60" t="s">
        <v>191</v>
      </c>
      <c r="J18" s="60" t="s">
        <v>192</v>
      </c>
    </row>
    <row r="19" spans="1:10" ht="39.75" customHeight="1">
      <c r="A19" s="62" t="s">
        <v>204</v>
      </c>
      <c r="B19" s="63" t="s">
        <v>205</v>
      </c>
      <c r="C19">
        <v>594</v>
      </c>
      <c r="D19">
        <v>33</v>
      </c>
      <c r="E19" s="43">
        <f>D19/C19</f>
        <v>5.5555555555555552E-2</v>
      </c>
      <c r="F19" s="24">
        <f>G19/D19</f>
        <v>4349.909090909091</v>
      </c>
      <c r="G19" s="24">
        <v>143547</v>
      </c>
      <c r="H19">
        <v>0</v>
      </c>
      <c r="I19" s="43">
        <f>IF(H19=0,0,H19/D19)</f>
        <v>0</v>
      </c>
      <c r="J19" s="24">
        <f>IF(H19=0,0,G19/H19)</f>
        <v>0</v>
      </c>
    </row>
    <row r="20" spans="1:10" ht="39.75" customHeight="1">
      <c r="A20" s="64"/>
      <c r="B20" s="65"/>
      <c r="C20" s="66"/>
      <c r="D20" s="66"/>
      <c r="E20" s="78"/>
      <c r="F20" s="67"/>
      <c r="G20" s="67"/>
      <c r="H20" s="66"/>
      <c r="I20" s="66"/>
      <c r="J20" s="66"/>
    </row>
    <row r="21" spans="1:10" ht="39.75" customHeight="1">
      <c r="A21" s="62"/>
      <c r="B21" s="63"/>
      <c r="E21" s="43"/>
      <c r="G21" s="24"/>
    </row>
    <row r="22" spans="1:10" ht="39.75" customHeight="1">
      <c r="A22" s="68"/>
      <c r="B22" s="69"/>
      <c r="C22" s="70"/>
      <c r="D22" s="70"/>
      <c r="E22" s="85"/>
      <c r="F22" s="71"/>
      <c r="G22" s="71"/>
      <c r="H22" s="70"/>
      <c r="I22" s="70"/>
      <c r="J22" s="70"/>
    </row>
    <row r="23" spans="1:10">
      <c r="A23" s="57"/>
      <c r="B23" s="57"/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18FD-731F-43BA-931F-2C021240B2D3}">
  <sheetPr>
    <tabColor theme="7" tint="0.39997558519241921"/>
  </sheetPr>
  <dimension ref="A1:J23"/>
  <sheetViews>
    <sheetView workbookViewId="0"/>
  </sheetViews>
  <sheetFormatPr defaultRowHeight="18"/>
  <cols>
    <col min="1" max="4" width="16.5" customWidth="1"/>
    <col min="5" max="6" width="16.5" style="24" customWidth="1"/>
    <col min="7" max="10" width="16.5" customWidth="1"/>
  </cols>
  <sheetData>
    <row r="1" spans="1:9" ht="24" customHeight="1">
      <c r="A1" s="83" t="s">
        <v>109</v>
      </c>
      <c r="B1" s="83" t="s">
        <v>185</v>
      </c>
      <c r="C1" s="83" t="s">
        <v>186</v>
      </c>
      <c r="D1" s="83" t="s">
        <v>187</v>
      </c>
      <c r="E1" s="84" t="s">
        <v>188</v>
      </c>
      <c r="F1" s="84" t="s">
        <v>189</v>
      </c>
      <c r="G1" s="83" t="s">
        <v>190</v>
      </c>
      <c r="H1" s="83" t="s">
        <v>191</v>
      </c>
      <c r="I1" s="83" t="s">
        <v>192</v>
      </c>
    </row>
    <row r="2" spans="1:9" s="58" customFormat="1" ht="27" customHeight="1">
      <c r="A2" s="72">
        <v>45870</v>
      </c>
      <c r="B2" s="73">
        <f>SUM(C19:C22)</f>
        <v>5349</v>
      </c>
      <c r="C2" s="73">
        <f>SUM(D19:D22)</f>
        <v>353</v>
      </c>
      <c r="D2" s="74">
        <f>IF(C2=0,0,C2/B2)</f>
        <v>6.5993643671714342E-2</v>
      </c>
      <c r="E2" s="75">
        <f>IF(C2=0,0,F2/C2)</f>
        <v>440.37110481586404</v>
      </c>
      <c r="F2" s="75">
        <f>SUM(G19:G22)</f>
        <v>155451</v>
      </c>
      <c r="G2" s="73">
        <f>SUM(H19:H20)</f>
        <v>3</v>
      </c>
      <c r="H2" s="74">
        <f>IF(G2=0,0,G2/C2)</f>
        <v>8.4985835694051E-3</v>
      </c>
      <c r="I2" s="75">
        <f>IF(G2=0,0,F2/G2)</f>
        <v>51817</v>
      </c>
    </row>
    <row r="3" spans="1:9">
      <c r="A3" s="76" t="s">
        <v>193</v>
      </c>
      <c r="B3">
        <f>B2-B5</f>
        <v>-1419</v>
      </c>
      <c r="C3">
        <f t="shared" ref="C3:I3" si="0">C2-C5</f>
        <v>-163</v>
      </c>
      <c r="D3" s="43">
        <f t="shared" si="0"/>
        <v>-1.0247491080058707E-2</v>
      </c>
      <c r="E3" s="24">
        <f t="shared" si="0"/>
        <v>135.04164745152298</v>
      </c>
      <c r="F3" s="24">
        <f t="shared" si="0"/>
        <v>-2099</v>
      </c>
      <c r="G3">
        <f t="shared" si="0"/>
        <v>-4</v>
      </c>
      <c r="H3" s="43">
        <f t="shared" si="0"/>
        <v>-5.0673079034631169E-3</v>
      </c>
      <c r="I3" s="24">
        <f t="shared" si="0"/>
        <v>29309.857142857141</v>
      </c>
    </row>
    <row r="4" spans="1:9">
      <c r="A4" s="77">
        <v>45839</v>
      </c>
      <c r="B4" s="66">
        <v>5945</v>
      </c>
      <c r="C4" s="66">
        <v>433</v>
      </c>
      <c r="D4" s="78">
        <f>IF(C4=0,0,C4/B4)</f>
        <v>7.2834314550042051E-2</v>
      </c>
      <c r="E4" s="67">
        <v>343.25173210161665</v>
      </c>
      <c r="F4" s="67">
        <v>148628</v>
      </c>
      <c r="G4" s="66">
        <v>9</v>
      </c>
      <c r="H4" s="78">
        <f>IF(G4=0,0,G4/C4)</f>
        <v>2.0785219399538105E-2</v>
      </c>
      <c r="I4" s="67">
        <v>16514.222222222223</v>
      </c>
    </row>
    <row r="5" spans="1:9">
      <c r="A5" s="56">
        <v>45809</v>
      </c>
      <c r="B5">
        <v>6768</v>
      </c>
      <c r="C5">
        <v>516</v>
      </c>
      <c r="D5" s="43">
        <f t="shared" ref="D5" si="1">IF(C5=0,0,C5/B5)</f>
        <v>7.6241134751773049E-2</v>
      </c>
      <c r="E5" s="24">
        <f>IF(C5=0,0,F5/C5)</f>
        <v>305.32945736434107</v>
      </c>
      <c r="F5" s="24">
        <v>157550</v>
      </c>
      <c r="G5">
        <v>7</v>
      </c>
      <c r="H5" s="43">
        <f>IF(G5=0,0,G5/C5)</f>
        <v>1.3565891472868217E-2</v>
      </c>
      <c r="I5" s="24">
        <f>IF(G5=0,0,F5/G5)</f>
        <v>22507.142857142859</v>
      </c>
    </row>
    <row r="6" spans="1:9">
      <c r="A6" s="77">
        <v>45778</v>
      </c>
      <c r="B6" s="66">
        <v>5021</v>
      </c>
      <c r="C6" s="66">
        <v>409</v>
      </c>
      <c r="D6" s="78">
        <f>IF(C6=0,0,C6/B6)</f>
        <v>8.1457876916948821E-2</v>
      </c>
      <c r="E6" s="67">
        <f t="shared" ref="E6:E16" si="2">IF(C6=0,0,F6/C6)</f>
        <v>346.73105134474326</v>
      </c>
      <c r="F6" s="67">
        <v>141813</v>
      </c>
      <c r="G6" s="66">
        <v>8</v>
      </c>
      <c r="H6" s="78">
        <f t="shared" ref="H6:H16" si="3">IF(G6=0,0,G6/C6)</f>
        <v>1.9559902200488997E-2</v>
      </c>
      <c r="I6" s="67">
        <f t="shared" ref="I6:I16" si="4">IF(G6=0,0,F6/G6)</f>
        <v>17726.625</v>
      </c>
    </row>
    <row r="7" spans="1:9">
      <c r="A7" s="56">
        <v>45748</v>
      </c>
      <c r="B7">
        <v>4851</v>
      </c>
      <c r="C7">
        <v>403</v>
      </c>
      <c r="D7" s="43">
        <f t="shared" ref="D7:D16" si="5">IF(C7=0,0,C7/B7)</f>
        <v>8.3075654504225938E-2</v>
      </c>
      <c r="E7" s="24">
        <f t="shared" si="2"/>
        <v>298.6526054590571</v>
      </c>
      <c r="F7" s="24">
        <v>120357</v>
      </c>
      <c r="G7">
        <v>8</v>
      </c>
      <c r="H7" s="43">
        <f t="shared" si="3"/>
        <v>1.9851116625310174E-2</v>
      </c>
      <c r="I7" s="24">
        <f t="shared" si="4"/>
        <v>15044.625</v>
      </c>
    </row>
    <row r="8" spans="1:9">
      <c r="A8" s="77">
        <v>45717</v>
      </c>
      <c r="B8" s="66">
        <v>6114</v>
      </c>
      <c r="C8" s="66">
        <v>436</v>
      </c>
      <c r="D8" s="78">
        <f t="shared" si="5"/>
        <v>7.131174353941773E-2</v>
      </c>
      <c r="E8" s="67">
        <f t="shared" si="2"/>
        <v>323.81651376146789</v>
      </c>
      <c r="F8" s="67">
        <v>141184</v>
      </c>
      <c r="G8" s="66">
        <v>3</v>
      </c>
      <c r="H8" s="78">
        <f t="shared" si="3"/>
        <v>6.8807339449541288E-3</v>
      </c>
      <c r="I8" s="67">
        <f t="shared" si="4"/>
        <v>47061.333333333336</v>
      </c>
    </row>
    <row r="9" spans="1:9">
      <c r="A9" s="56">
        <v>45689</v>
      </c>
      <c r="B9">
        <v>6720</v>
      </c>
      <c r="C9">
        <v>438</v>
      </c>
      <c r="D9" s="43">
        <f t="shared" si="5"/>
        <v>6.5178571428571433E-2</v>
      </c>
      <c r="E9" s="24">
        <f t="shared" si="2"/>
        <v>319.92009132420094</v>
      </c>
      <c r="F9" s="24">
        <v>140125</v>
      </c>
      <c r="G9">
        <v>4</v>
      </c>
      <c r="H9" s="43">
        <f t="shared" si="3"/>
        <v>9.1324200913242004E-3</v>
      </c>
      <c r="I9" s="24">
        <f t="shared" si="4"/>
        <v>35031.25</v>
      </c>
    </row>
    <row r="10" spans="1:9">
      <c r="A10" s="77">
        <v>45658</v>
      </c>
      <c r="B10" s="66">
        <v>6655</v>
      </c>
      <c r="C10" s="66">
        <v>459</v>
      </c>
      <c r="D10" s="78">
        <f t="shared" si="5"/>
        <v>6.8970698722764845E-2</v>
      </c>
      <c r="E10" s="67">
        <f t="shared" si="2"/>
        <v>304.72984749455338</v>
      </c>
      <c r="F10" s="67">
        <v>139871</v>
      </c>
      <c r="G10" s="66">
        <v>5</v>
      </c>
      <c r="H10" s="78">
        <f t="shared" si="3"/>
        <v>1.0893246187363835E-2</v>
      </c>
      <c r="I10" s="67">
        <f t="shared" si="4"/>
        <v>27974.2</v>
      </c>
    </row>
    <row r="11" spans="1:9">
      <c r="A11" s="56">
        <v>45627</v>
      </c>
      <c r="B11">
        <v>9011</v>
      </c>
      <c r="C11">
        <v>570</v>
      </c>
      <c r="D11" s="43">
        <f t="shared" si="5"/>
        <v>6.3256020419487288E-2</v>
      </c>
      <c r="E11" s="24">
        <f t="shared" si="2"/>
        <v>321.74035087719301</v>
      </c>
      <c r="F11" s="24">
        <v>183392</v>
      </c>
      <c r="G11">
        <v>6</v>
      </c>
      <c r="H11" s="43">
        <f t="shared" si="3"/>
        <v>1.0526315789473684E-2</v>
      </c>
      <c r="I11" s="24">
        <f t="shared" si="4"/>
        <v>30565.333333333332</v>
      </c>
    </row>
    <row r="12" spans="1:9">
      <c r="A12" s="77">
        <v>45597</v>
      </c>
      <c r="B12" s="66">
        <v>9092</v>
      </c>
      <c r="C12" s="66">
        <v>583</v>
      </c>
      <c r="D12" s="78">
        <f t="shared" si="5"/>
        <v>6.4122305323361203E-2</v>
      </c>
      <c r="E12" s="67">
        <f t="shared" si="2"/>
        <v>363.48027444253859</v>
      </c>
      <c r="F12" s="67">
        <v>211909</v>
      </c>
      <c r="G12" s="66">
        <v>9</v>
      </c>
      <c r="H12" s="78">
        <f t="shared" si="3"/>
        <v>1.5437392795883362E-2</v>
      </c>
      <c r="I12" s="67">
        <f t="shared" si="4"/>
        <v>23545.444444444445</v>
      </c>
    </row>
    <row r="13" spans="1:9">
      <c r="A13" s="56">
        <v>45566</v>
      </c>
      <c r="B13">
        <v>11248</v>
      </c>
      <c r="C13">
        <v>600</v>
      </c>
      <c r="D13" s="43">
        <f t="shared" si="5"/>
        <v>5.3342816500711238E-2</v>
      </c>
      <c r="E13" s="24">
        <f t="shared" si="2"/>
        <v>344.35500000000002</v>
      </c>
      <c r="F13" s="24">
        <v>206613</v>
      </c>
      <c r="G13">
        <v>8</v>
      </c>
      <c r="H13" s="43">
        <f t="shared" si="3"/>
        <v>1.3333333333333334E-2</v>
      </c>
      <c r="I13" s="24">
        <f t="shared" si="4"/>
        <v>25826.625</v>
      </c>
    </row>
    <row r="14" spans="1:9">
      <c r="A14" s="77">
        <v>45536</v>
      </c>
      <c r="B14" s="66">
        <v>2432</v>
      </c>
      <c r="C14" s="66">
        <v>123</v>
      </c>
      <c r="D14" s="78">
        <f t="shared" si="5"/>
        <v>5.0575657894736843E-2</v>
      </c>
      <c r="E14" s="67">
        <f t="shared" si="2"/>
        <v>331.46341463414632</v>
      </c>
      <c r="F14" s="67">
        <v>40770</v>
      </c>
      <c r="G14" s="66">
        <v>1</v>
      </c>
      <c r="H14" s="78">
        <f t="shared" si="3"/>
        <v>8.130081300813009E-3</v>
      </c>
      <c r="I14" s="67">
        <f t="shared" si="4"/>
        <v>40770</v>
      </c>
    </row>
    <row r="15" spans="1:9">
      <c r="A15" s="79">
        <v>45505</v>
      </c>
      <c r="B15" s="80">
        <v>0</v>
      </c>
      <c r="C15" s="80">
        <v>0</v>
      </c>
      <c r="D15" s="81">
        <f t="shared" si="5"/>
        <v>0</v>
      </c>
      <c r="E15" s="82">
        <f t="shared" si="2"/>
        <v>0</v>
      </c>
      <c r="F15" s="82">
        <v>0</v>
      </c>
      <c r="G15" s="80">
        <v>0</v>
      </c>
      <c r="H15" s="81">
        <f t="shared" si="3"/>
        <v>0</v>
      </c>
      <c r="I15" s="82">
        <f t="shared" si="4"/>
        <v>0</v>
      </c>
    </row>
    <row r="16" spans="1:9" hidden="1">
      <c r="A16" s="112">
        <v>45474</v>
      </c>
      <c r="B16" s="70">
        <v>0</v>
      </c>
      <c r="C16" s="70">
        <v>0</v>
      </c>
      <c r="D16" s="85">
        <f t="shared" si="5"/>
        <v>0</v>
      </c>
      <c r="E16" s="71">
        <f t="shared" si="2"/>
        <v>0</v>
      </c>
      <c r="F16" s="71">
        <v>0</v>
      </c>
      <c r="G16" s="70">
        <v>0</v>
      </c>
      <c r="H16" s="85">
        <f t="shared" si="3"/>
        <v>0</v>
      </c>
      <c r="I16" s="71">
        <f t="shared" si="4"/>
        <v>0</v>
      </c>
    </row>
    <row r="17" spans="1:10">
      <c r="A17" s="56"/>
    </row>
    <row r="18" spans="1:10">
      <c r="A18" s="59" t="s">
        <v>194</v>
      </c>
      <c r="B18" s="60" t="s">
        <v>195</v>
      </c>
      <c r="C18" s="60" t="s">
        <v>185</v>
      </c>
      <c r="D18" s="60" t="s">
        <v>186</v>
      </c>
      <c r="E18" s="61" t="s">
        <v>187</v>
      </c>
      <c r="F18" s="61" t="s">
        <v>188</v>
      </c>
      <c r="G18" s="60" t="s">
        <v>189</v>
      </c>
      <c r="H18" s="60" t="s">
        <v>190</v>
      </c>
      <c r="I18" s="60" t="s">
        <v>191</v>
      </c>
      <c r="J18" s="60" t="s">
        <v>192</v>
      </c>
    </row>
    <row r="19" spans="1:10" ht="39.75" customHeight="1">
      <c r="A19" s="62" t="s">
        <v>206</v>
      </c>
      <c r="B19" s="63" t="s">
        <v>207</v>
      </c>
      <c r="C19">
        <v>121</v>
      </c>
      <c r="D19">
        <v>33</v>
      </c>
      <c r="E19" s="43">
        <f>D19/C19</f>
        <v>0.27272727272727271</v>
      </c>
      <c r="F19" s="24">
        <f>G19/D19</f>
        <v>1405.030303030303</v>
      </c>
      <c r="G19" s="24">
        <v>46366</v>
      </c>
      <c r="H19">
        <v>1</v>
      </c>
      <c r="I19" s="43">
        <f>IF(H19=0,0,H19/D19)</f>
        <v>3.0303030303030304E-2</v>
      </c>
      <c r="J19" s="24">
        <f>IF(H19=0,0,G19/H19)</f>
        <v>46366</v>
      </c>
    </row>
    <row r="20" spans="1:10" ht="39.75" customHeight="1">
      <c r="A20" s="64" t="s">
        <v>208</v>
      </c>
      <c r="B20" s="65" t="s">
        <v>209</v>
      </c>
      <c r="C20" s="66">
        <v>5228</v>
      </c>
      <c r="D20" s="66">
        <v>320</v>
      </c>
      <c r="E20" s="78">
        <f>D20/C20</f>
        <v>6.1208875286916604E-2</v>
      </c>
      <c r="F20" s="67">
        <f t="shared" ref="F20" si="6">G20/D20</f>
        <v>340.890625</v>
      </c>
      <c r="G20" s="67">
        <v>109085</v>
      </c>
      <c r="H20" s="66">
        <v>2</v>
      </c>
      <c r="I20" s="78">
        <f>IF(H20=0,0,H20/D20)</f>
        <v>6.2500000000000003E-3</v>
      </c>
      <c r="J20" s="67">
        <f>IF(H20=0,0,G20/H20)</f>
        <v>54542.5</v>
      </c>
    </row>
    <row r="21" spans="1:10" ht="39.75" customHeight="1">
      <c r="A21" s="62"/>
      <c r="B21" s="63"/>
      <c r="E21" s="43"/>
      <c r="G21" s="24"/>
    </row>
    <row r="22" spans="1:10" ht="39.75" customHeight="1">
      <c r="A22" s="68"/>
      <c r="B22" s="69"/>
      <c r="C22" s="70"/>
      <c r="D22" s="70"/>
      <c r="E22" s="85"/>
      <c r="F22" s="71"/>
      <c r="G22" s="71"/>
      <c r="H22" s="70"/>
      <c r="I22" s="70"/>
      <c r="J22" s="70"/>
    </row>
    <row r="23" spans="1:10">
      <c r="A23" s="57"/>
      <c r="B23" s="57"/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C814-B067-4BA3-ADDB-21E3DC7814F4}">
  <sheetPr>
    <tabColor theme="5" tint="0.39997558519241921"/>
  </sheetPr>
  <dimension ref="A1:J22"/>
  <sheetViews>
    <sheetView workbookViewId="0">
      <selection sqref="A1:I11"/>
    </sheetView>
  </sheetViews>
  <sheetFormatPr defaultRowHeight="18"/>
  <cols>
    <col min="1" max="4" width="16.5" customWidth="1"/>
    <col min="5" max="6" width="16.5" style="24" customWidth="1"/>
    <col min="7" max="10" width="16.5" customWidth="1"/>
  </cols>
  <sheetData>
    <row r="1" spans="1:9" ht="24" customHeight="1">
      <c r="A1" s="83" t="s">
        <v>109</v>
      </c>
      <c r="B1" s="83" t="s">
        <v>185</v>
      </c>
      <c r="C1" s="83" t="s">
        <v>186</v>
      </c>
      <c r="D1" s="83" t="s">
        <v>187</v>
      </c>
      <c r="E1" s="84" t="s">
        <v>188</v>
      </c>
      <c r="F1" s="84" t="s">
        <v>189</v>
      </c>
      <c r="G1" s="83" t="s">
        <v>190</v>
      </c>
      <c r="H1" s="83" t="s">
        <v>191</v>
      </c>
      <c r="I1" s="83" t="s">
        <v>192</v>
      </c>
    </row>
    <row r="2" spans="1:9" s="58" customFormat="1" ht="27" customHeight="1">
      <c r="A2" s="72">
        <v>45839</v>
      </c>
      <c r="B2" s="73">
        <f>SUM(C18:C21)</f>
        <v>986</v>
      </c>
      <c r="C2" s="73">
        <f>SUM(D18:D21)</f>
        <v>90</v>
      </c>
      <c r="D2" s="74">
        <f>IF(C2=0,0,C2/B2)</f>
        <v>9.1277890466531439E-2</v>
      </c>
      <c r="E2" s="75">
        <f>IF(C2=0,0,F2/C2)</f>
        <v>852.58888888888885</v>
      </c>
      <c r="F2" s="75">
        <f>SUM(G18:G21)</f>
        <v>76733</v>
      </c>
      <c r="G2" s="73">
        <f>SUM(H18:H21)</f>
        <v>0</v>
      </c>
      <c r="H2" s="74">
        <f>IF(G2=0,0,G2/C2)</f>
        <v>0</v>
      </c>
      <c r="I2" s="75">
        <f>IF(G2=0,0,F2/G2)</f>
        <v>0</v>
      </c>
    </row>
    <row r="3" spans="1:9">
      <c r="A3" s="76" t="s">
        <v>193</v>
      </c>
      <c r="B3">
        <f>B2-B4</f>
        <v>-794</v>
      </c>
      <c r="C3">
        <f t="shared" ref="C3:I3" si="0">C2-C4</f>
        <v>-40</v>
      </c>
      <c r="D3" s="43">
        <f t="shared" si="0"/>
        <v>1.8244182601362902E-2</v>
      </c>
      <c r="E3" s="24">
        <f t="shared" si="0"/>
        <v>-31.495726495726558</v>
      </c>
      <c r="F3" s="24">
        <f t="shared" si="0"/>
        <v>-38198</v>
      </c>
      <c r="G3">
        <f t="shared" si="0"/>
        <v>-1</v>
      </c>
      <c r="H3" s="43">
        <f t="shared" si="0"/>
        <v>-7.6923076923076927E-3</v>
      </c>
      <c r="I3" s="24">
        <f t="shared" si="0"/>
        <v>-114931</v>
      </c>
    </row>
    <row r="4" spans="1:9">
      <c r="A4" s="77">
        <v>45809</v>
      </c>
      <c r="B4" s="66">
        <v>1780</v>
      </c>
      <c r="C4" s="66">
        <v>130</v>
      </c>
      <c r="D4" s="78">
        <f t="shared" ref="D4" si="1">IF(C4=0,0,C4/B4)</f>
        <v>7.3033707865168537E-2</v>
      </c>
      <c r="E4" s="67">
        <f>IF(C4=0,0,F4/C4)</f>
        <v>884.0846153846154</v>
      </c>
      <c r="F4" s="67">
        <v>114931</v>
      </c>
      <c r="G4" s="66">
        <v>1</v>
      </c>
      <c r="H4" s="78">
        <f>IF(G4=0,0,G4/C4)</f>
        <v>7.6923076923076927E-3</v>
      </c>
      <c r="I4" s="67">
        <f>IF(G4=0,0,F4/G4)</f>
        <v>114931</v>
      </c>
    </row>
    <row r="5" spans="1:9">
      <c r="A5" s="56">
        <v>45778</v>
      </c>
      <c r="B5">
        <v>2878</v>
      </c>
      <c r="C5">
        <v>306</v>
      </c>
      <c r="D5" s="43">
        <f>IF(C5=0,0,C5/B5)</f>
        <v>0.1063238359972203</v>
      </c>
      <c r="E5" s="24">
        <f t="shared" ref="E5:E15" si="2">IF(C5=0,0,F5/C5)</f>
        <v>506.98692810457516</v>
      </c>
      <c r="F5" s="24">
        <v>155138</v>
      </c>
      <c r="G5">
        <v>2</v>
      </c>
      <c r="H5" s="43">
        <f t="shared" ref="H5:H15" si="3">IF(G5=0,0,G5/C5)</f>
        <v>6.5359477124183009E-3</v>
      </c>
      <c r="I5" s="24">
        <f t="shared" ref="I5:I15" si="4">IF(G5=0,0,F5/G5)</f>
        <v>77569</v>
      </c>
    </row>
    <row r="6" spans="1:9">
      <c r="A6" s="77">
        <v>45748</v>
      </c>
      <c r="B6" s="66">
        <v>2980</v>
      </c>
      <c r="C6" s="66">
        <v>343</v>
      </c>
      <c r="D6" s="78">
        <f t="shared" ref="D6:D15" si="5">IF(C6=0,0,C6/B6)</f>
        <v>0.11510067114093959</v>
      </c>
      <c r="E6" s="67">
        <f t="shared" si="2"/>
        <v>451.64139941690962</v>
      </c>
      <c r="F6" s="67">
        <v>154913</v>
      </c>
      <c r="G6" s="66">
        <v>4</v>
      </c>
      <c r="H6" s="78">
        <f t="shared" si="3"/>
        <v>1.1661807580174927E-2</v>
      </c>
      <c r="I6" s="67">
        <f t="shared" si="4"/>
        <v>38728.25</v>
      </c>
    </row>
    <row r="7" spans="1:9">
      <c r="A7" s="56">
        <v>45717</v>
      </c>
      <c r="B7">
        <v>2872</v>
      </c>
      <c r="C7">
        <v>259</v>
      </c>
      <c r="D7" s="43">
        <f t="shared" si="5"/>
        <v>9.0181058495821725E-2</v>
      </c>
      <c r="E7" s="24">
        <f t="shared" si="2"/>
        <v>600.65637065637065</v>
      </c>
      <c r="F7" s="24">
        <v>155570</v>
      </c>
      <c r="G7">
        <v>5</v>
      </c>
      <c r="H7" s="43">
        <f t="shared" si="3"/>
        <v>1.9305019305019305E-2</v>
      </c>
      <c r="I7" s="24">
        <f t="shared" si="4"/>
        <v>31114</v>
      </c>
    </row>
    <row r="8" spans="1:9">
      <c r="A8" s="77">
        <v>45689</v>
      </c>
      <c r="B8" s="66">
        <v>3802</v>
      </c>
      <c r="C8" s="66">
        <v>349</v>
      </c>
      <c r="D8" s="78">
        <f t="shared" si="5"/>
        <v>9.1793792740662808E-2</v>
      </c>
      <c r="E8" s="67">
        <f t="shared" si="2"/>
        <v>595.8252148997135</v>
      </c>
      <c r="F8" s="67">
        <v>207943</v>
      </c>
      <c r="G8" s="66">
        <v>7</v>
      </c>
      <c r="H8" s="78">
        <f t="shared" si="3"/>
        <v>2.0057306590257881E-2</v>
      </c>
      <c r="I8" s="67">
        <f t="shared" si="4"/>
        <v>29706.142857142859</v>
      </c>
    </row>
    <row r="9" spans="1:9">
      <c r="A9" s="56">
        <v>45658</v>
      </c>
      <c r="B9">
        <v>2570</v>
      </c>
      <c r="C9">
        <v>169</v>
      </c>
      <c r="D9" s="43">
        <f t="shared" si="5"/>
        <v>6.5758754863813232E-2</v>
      </c>
      <c r="E9" s="24">
        <f t="shared" si="2"/>
        <v>921.84615384615381</v>
      </c>
      <c r="F9" s="24">
        <v>155792</v>
      </c>
      <c r="G9">
        <v>3</v>
      </c>
      <c r="H9" s="43">
        <f t="shared" si="3"/>
        <v>1.7751479289940829E-2</v>
      </c>
      <c r="I9" s="24">
        <f t="shared" si="4"/>
        <v>51930.666666666664</v>
      </c>
    </row>
    <row r="10" spans="1:9">
      <c r="A10" s="77">
        <v>45627</v>
      </c>
      <c r="B10" s="66">
        <v>9785</v>
      </c>
      <c r="C10" s="66">
        <v>394</v>
      </c>
      <c r="D10" s="78">
        <f t="shared" si="5"/>
        <v>4.0265712825753704E-2</v>
      </c>
      <c r="E10" s="67">
        <f t="shared" si="2"/>
        <v>446.74365482233503</v>
      </c>
      <c r="F10" s="67">
        <v>176017</v>
      </c>
      <c r="G10" s="66">
        <v>2</v>
      </c>
      <c r="H10" s="78">
        <f t="shared" si="3"/>
        <v>5.076142131979695E-3</v>
      </c>
      <c r="I10" s="67">
        <f t="shared" si="4"/>
        <v>88008.5</v>
      </c>
    </row>
    <row r="11" spans="1:9">
      <c r="A11" s="56">
        <v>45597</v>
      </c>
      <c r="B11">
        <v>25079</v>
      </c>
      <c r="C11">
        <v>2824</v>
      </c>
      <c r="D11" s="43">
        <f t="shared" si="5"/>
        <v>0.11260417082020814</v>
      </c>
      <c r="E11" s="24">
        <f t="shared" si="2"/>
        <v>66.074716713881017</v>
      </c>
      <c r="F11" s="24">
        <v>186595</v>
      </c>
      <c r="G11">
        <v>0</v>
      </c>
      <c r="H11" s="43">
        <f t="shared" si="3"/>
        <v>0</v>
      </c>
      <c r="I11" s="24">
        <f t="shared" si="4"/>
        <v>0</v>
      </c>
    </row>
    <row r="12" spans="1:9">
      <c r="A12" s="77">
        <v>45566</v>
      </c>
      <c r="B12" s="66">
        <v>0</v>
      </c>
      <c r="C12" s="66">
        <v>0</v>
      </c>
      <c r="D12" s="78">
        <f t="shared" si="5"/>
        <v>0</v>
      </c>
      <c r="E12" s="67">
        <f t="shared" si="2"/>
        <v>0</v>
      </c>
      <c r="F12" s="67">
        <v>0</v>
      </c>
      <c r="G12" s="66">
        <v>0</v>
      </c>
      <c r="H12" s="78">
        <f t="shared" si="3"/>
        <v>0</v>
      </c>
      <c r="I12" s="67">
        <f t="shared" si="4"/>
        <v>0</v>
      </c>
    </row>
    <row r="13" spans="1:9">
      <c r="A13" s="56">
        <v>45536</v>
      </c>
      <c r="B13">
        <v>0</v>
      </c>
      <c r="C13">
        <v>0</v>
      </c>
      <c r="D13" s="43">
        <f t="shared" si="5"/>
        <v>0</v>
      </c>
      <c r="E13" s="24">
        <f t="shared" si="2"/>
        <v>0</v>
      </c>
      <c r="F13" s="24">
        <v>0</v>
      </c>
      <c r="G13">
        <v>0</v>
      </c>
      <c r="H13" s="43">
        <f t="shared" si="3"/>
        <v>0</v>
      </c>
      <c r="I13" s="24">
        <f t="shared" si="4"/>
        <v>0</v>
      </c>
    </row>
    <row r="14" spans="1:9">
      <c r="A14" s="77">
        <v>45505</v>
      </c>
      <c r="B14" s="66">
        <v>0</v>
      </c>
      <c r="C14" s="66">
        <v>0</v>
      </c>
      <c r="D14" s="78">
        <f t="shared" si="5"/>
        <v>0</v>
      </c>
      <c r="E14" s="67">
        <f t="shared" si="2"/>
        <v>0</v>
      </c>
      <c r="F14" s="67">
        <v>0</v>
      </c>
      <c r="G14" s="66">
        <v>0</v>
      </c>
      <c r="H14" s="78">
        <f t="shared" si="3"/>
        <v>0</v>
      </c>
      <c r="I14" s="67">
        <f t="shared" si="4"/>
        <v>0</v>
      </c>
    </row>
    <row r="15" spans="1:9">
      <c r="A15" s="79">
        <v>45474</v>
      </c>
      <c r="B15" s="80">
        <v>0</v>
      </c>
      <c r="C15" s="80">
        <v>0</v>
      </c>
      <c r="D15" s="81">
        <f t="shared" si="5"/>
        <v>0</v>
      </c>
      <c r="E15" s="82">
        <f t="shared" si="2"/>
        <v>0</v>
      </c>
      <c r="F15" s="82">
        <v>0</v>
      </c>
      <c r="G15" s="80">
        <v>0</v>
      </c>
      <c r="H15" s="81">
        <f t="shared" si="3"/>
        <v>0</v>
      </c>
      <c r="I15" s="82">
        <f t="shared" si="4"/>
        <v>0</v>
      </c>
    </row>
    <row r="16" spans="1:9">
      <c r="A16" s="56"/>
    </row>
    <row r="17" spans="1:10">
      <c r="A17" s="59" t="s">
        <v>194</v>
      </c>
      <c r="B17" s="60" t="s">
        <v>195</v>
      </c>
      <c r="C17" s="60" t="s">
        <v>185</v>
      </c>
      <c r="D17" s="60" t="s">
        <v>186</v>
      </c>
      <c r="E17" s="61" t="s">
        <v>187</v>
      </c>
      <c r="F17" s="61" t="s">
        <v>188</v>
      </c>
      <c r="G17" s="60" t="s">
        <v>189</v>
      </c>
      <c r="H17" s="60" t="s">
        <v>190</v>
      </c>
      <c r="I17" s="60" t="s">
        <v>191</v>
      </c>
      <c r="J17" s="60" t="s">
        <v>192</v>
      </c>
    </row>
    <row r="18" spans="1:10" ht="39.75" customHeight="1">
      <c r="A18" s="62" t="s">
        <v>210</v>
      </c>
      <c r="B18" s="63" t="s">
        <v>211</v>
      </c>
      <c r="C18">
        <v>5</v>
      </c>
      <c r="D18">
        <v>0</v>
      </c>
      <c r="E18" s="43">
        <f>D18/C18</f>
        <v>0</v>
      </c>
      <c r="F18" s="24">
        <f>IF(D18=0,0,G18/D18)</f>
        <v>0</v>
      </c>
      <c r="G18" s="24">
        <v>0</v>
      </c>
      <c r="H18">
        <v>0</v>
      </c>
      <c r="I18" s="43">
        <f>IF(H18=0,0,H18/D18)</f>
        <v>0</v>
      </c>
      <c r="J18" s="24">
        <f>IF(H18=0,0,G18/H18)</f>
        <v>0</v>
      </c>
    </row>
    <row r="19" spans="1:10" ht="39.75" customHeight="1">
      <c r="A19" s="64" t="s">
        <v>212</v>
      </c>
      <c r="B19" s="65" t="s">
        <v>213</v>
      </c>
      <c r="C19" s="66">
        <v>344</v>
      </c>
      <c r="D19" s="66">
        <v>27</v>
      </c>
      <c r="E19" s="78">
        <f>D19/C19</f>
        <v>7.8488372093023256E-2</v>
      </c>
      <c r="F19" s="67">
        <f t="shared" ref="F19:F21" si="6">IF(D19=0,0,G19/D19)</f>
        <v>1514.9259259259259</v>
      </c>
      <c r="G19" s="67">
        <v>40903</v>
      </c>
      <c r="H19" s="66">
        <v>0</v>
      </c>
      <c r="I19" s="78">
        <f t="shared" ref="I19:I21" si="7">IF(H19=0,0,H19/D19)</f>
        <v>0</v>
      </c>
      <c r="J19" s="67">
        <f t="shared" ref="J19:J21" si="8">IF(H19=0,0,G19/H19)</f>
        <v>0</v>
      </c>
    </row>
    <row r="20" spans="1:10" ht="39.75" customHeight="1">
      <c r="A20" s="62" t="s">
        <v>214</v>
      </c>
      <c r="B20" s="63" t="s">
        <v>215</v>
      </c>
      <c r="C20">
        <v>14</v>
      </c>
      <c r="D20">
        <v>2</v>
      </c>
      <c r="E20" s="43">
        <f t="shared" ref="E20:E21" si="9">D20/C20</f>
        <v>0.14285714285714285</v>
      </c>
      <c r="F20" s="24">
        <f t="shared" si="6"/>
        <v>4705.5</v>
      </c>
      <c r="G20" s="24">
        <v>9411</v>
      </c>
      <c r="H20">
        <v>0</v>
      </c>
      <c r="I20" s="43">
        <f t="shared" si="7"/>
        <v>0</v>
      </c>
      <c r="J20" s="24">
        <f t="shared" si="8"/>
        <v>0</v>
      </c>
    </row>
    <row r="21" spans="1:10" ht="39.75" customHeight="1">
      <c r="A21" s="68" t="s">
        <v>216</v>
      </c>
      <c r="B21" s="69" t="s">
        <v>217</v>
      </c>
      <c r="C21" s="70">
        <v>623</v>
      </c>
      <c r="D21" s="70">
        <v>61</v>
      </c>
      <c r="E21" s="85">
        <f t="shared" si="9"/>
        <v>9.7913322632423749E-2</v>
      </c>
      <c r="F21" s="71">
        <f t="shared" si="6"/>
        <v>433.09836065573768</v>
      </c>
      <c r="G21" s="71">
        <v>26419</v>
      </c>
      <c r="H21" s="70">
        <v>0</v>
      </c>
      <c r="I21" s="85">
        <f t="shared" si="7"/>
        <v>0</v>
      </c>
      <c r="J21" s="71">
        <f t="shared" si="8"/>
        <v>0</v>
      </c>
    </row>
    <row r="22" spans="1:10">
      <c r="A22" s="57"/>
      <c r="B22" s="57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中島 麻耶</dc:creator>
  <cp:keywords/>
  <dc:description/>
  <cp:lastModifiedBy>神吉　まあや</cp:lastModifiedBy>
  <cp:revision/>
  <dcterms:created xsi:type="dcterms:W3CDTF">2025-03-24T16:30:48Z</dcterms:created>
  <dcterms:modified xsi:type="dcterms:W3CDTF">2026-07-02T07:12:01Z</dcterms:modified>
  <cp:category/>
  <cp:contentStatus/>
</cp:coreProperties>
</file>